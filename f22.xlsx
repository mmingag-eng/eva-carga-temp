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xr:revisionPtr revIDLastSave="0" documentId="13_ncr:1_{DB912043-3AAF-4EB3-AF9D-351EC582B1E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imulador" sheetId="1" r:id="rId1"/>
    <sheet name="Diagrama circular" sheetId="2" r:id="rId2"/>
    <sheet name="Datos" sheetId="3" r:id="rId3"/>
    <sheet name="Guía" sheetId="4" r:id="rId4"/>
    <sheet name="Datos circular" sheetId="5" r:id="rId5"/>
  </sheets>
  <calcPr calcId="181029"/>
</workbook>
</file>

<file path=xl/calcChain.xml><?xml version="1.0" encoding="utf-8"?>
<calcChain xmlns="http://schemas.openxmlformats.org/spreadsheetml/2006/main">
  <c r="AR62" i="5" l="1"/>
  <c r="AO62" i="5"/>
  <c r="AN62" i="5"/>
  <c r="H62" i="5"/>
  <c r="J62" i="5" s="1"/>
  <c r="E62" i="5"/>
  <c r="A62" i="5"/>
  <c r="AU61" i="5"/>
  <c r="AR61" i="5"/>
  <c r="AQ61" i="5"/>
  <c r="AN61" i="5"/>
  <c r="K61" i="5"/>
  <c r="M61" i="5" s="1"/>
  <c r="H61" i="5"/>
  <c r="A61" i="5"/>
  <c r="AT61" i="5" s="1"/>
  <c r="AU60" i="5"/>
  <c r="AT60" i="5"/>
  <c r="AQ60" i="5"/>
  <c r="AP60" i="5"/>
  <c r="N60" i="5"/>
  <c r="K60" i="5"/>
  <c r="C60" i="5"/>
  <c r="B60" i="5"/>
  <c r="D60" i="5" s="1"/>
  <c r="A60" i="5"/>
  <c r="AS60" i="5" s="1"/>
  <c r="R59" i="5"/>
  <c r="Q59" i="5"/>
  <c r="S59" i="5" s="1"/>
  <c r="B59" i="5"/>
  <c r="A59" i="5"/>
  <c r="AR58" i="5"/>
  <c r="AO58" i="5"/>
  <c r="AN58" i="5"/>
  <c r="H58" i="5"/>
  <c r="J58" i="5" s="1"/>
  <c r="E58" i="5"/>
  <c r="A58" i="5"/>
  <c r="AU57" i="5"/>
  <c r="AR57" i="5"/>
  <c r="AQ57" i="5"/>
  <c r="AN57" i="5"/>
  <c r="K57" i="5"/>
  <c r="M57" i="5" s="1"/>
  <c r="H57" i="5"/>
  <c r="A57" i="5"/>
  <c r="AT57" i="5" s="1"/>
  <c r="AU56" i="5"/>
  <c r="AT56" i="5"/>
  <c r="AQ56" i="5"/>
  <c r="AP56" i="5"/>
  <c r="N56" i="5"/>
  <c r="K56" i="5"/>
  <c r="C56" i="5"/>
  <c r="B56" i="5"/>
  <c r="D56" i="5" s="1"/>
  <c r="A56" i="5"/>
  <c r="AS56" i="5" s="1"/>
  <c r="AT55" i="5"/>
  <c r="AS55" i="5"/>
  <c r="A55" i="5"/>
  <c r="AR54" i="5"/>
  <c r="AO54" i="5"/>
  <c r="AN54" i="5"/>
  <c r="H54" i="5"/>
  <c r="J54" i="5" s="1"/>
  <c r="E54" i="5"/>
  <c r="A54" i="5"/>
  <c r="AU53" i="5"/>
  <c r="AR53" i="5"/>
  <c r="AQ53" i="5"/>
  <c r="AP53" i="5"/>
  <c r="AN53" i="5"/>
  <c r="N53" i="5"/>
  <c r="L53" i="5"/>
  <c r="K53" i="5"/>
  <c r="M53" i="5" s="1"/>
  <c r="H53" i="5"/>
  <c r="C53" i="5"/>
  <c r="B53" i="5"/>
  <c r="D53" i="5" s="1"/>
  <c r="A53" i="5"/>
  <c r="AT53" i="5" s="1"/>
  <c r="AT52" i="5"/>
  <c r="AS52" i="5"/>
  <c r="AO52" i="5"/>
  <c r="N52" i="5"/>
  <c r="P52" i="5" s="1"/>
  <c r="E52" i="5"/>
  <c r="A52" i="5"/>
  <c r="AT51" i="5"/>
  <c r="AS51" i="5"/>
  <c r="AO51" i="5"/>
  <c r="AN51" i="5"/>
  <c r="N51" i="5"/>
  <c r="E51" i="5"/>
  <c r="A51" i="5"/>
  <c r="AS50" i="5"/>
  <c r="AQ50" i="5"/>
  <c r="AO50" i="5"/>
  <c r="Q50" i="5"/>
  <c r="K50" i="5"/>
  <c r="M50" i="5" s="1"/>
  <c r="G50" i="5"/>
  <c r="E50" i="5"/>
  <c r="F50" i="5" s="1"/>
  <c r="B50" i="5"/>
  <c r="D50" i="5" s="1"/>
  <c r="A50" i="5"/>
  <c r="AT49" i="5"/>
  <c r="AS49" i="5"/>
  <c r="AR49" i="5"/>
  <c r="AO49" i="5"/>
  <c r="AN49" i="5"/>
  <c r="N49" i="5"/>
  <c r="I49" i="5"/>
  <c r="H49" i="5"/>
  <c r="J49" i="5" s="1"/>
  <c r="E49" i="5"/>
  <c r="G49" i="5" s="1"/>
  <c r="B49" i="5"/>
  <c r="A49" i="5"/>
  <c r="AU48" i="5"/>
  <c r="AS48" i="5"/>
  <c r="AR48" i="5"/>
  <c r="AO48" i="5"/>
  <c r="AN48" i="5"/>
  <c r="M48" i="5"/>
  <c r="K48" i="5"/>
  <c r="L48" i="5" s="1"/>
  <c r="H48" i="5"/>
  <c r="E48" i="5"/>
  <c r="F48" i="5" s="1"/>
  <c r="A48" i="5"/>
  <c r="AU47" i="5"/>
  <c r="AT47" i="5"/>
  <c r="AR47" i="5"/>
  <c r="AQ47" i="5"/>
  <c r="AP47" i="5"/>
  <c r="AN47" i="5"/>
  <c r="O47" i="5"/>
  <c r="N47" i="5"/>
  <c r="P47" i="5" s="1"/>
  <c r="K47" i="5"/>
  <c r="M47" i="5" s="1"/>
  <c r="H47" i="5"/>
  <c r="D47" i="5"/>
  <c r="C47" i="5"/>
  <c r="B47" i="5"/>
  <c r="A47" i="5"/>
  <c r="AS47" i="5" s="1"/>
  <c r="AT46" i="5"/>
  <c r="AO46" i="5"/>
  <c r="E46" i="5"/>
  <c r="G46" i="5" s="1"/>
  <c r="A46" i="5"/>
  <c r="AT45" i="5"/>
  <c r="AO45" i="5"/>
  <c r="Q45" i="5"/>
  <c r="E45" i="5"/>
  <c r="A45" i="5"/>
  <c r="AU44" i="5"/>
  <c r="AO44" i="5"/>
  <c r="K44" i="5"/>
  <c r="E44" i="5"/>
  <c r="F44" i="5" s="1"/>
  <c r="A44" i="5"/>
  <c r="AU43" i="5"/>
  <c r="AP43" i="5"/>
  <c r="H43" i="5"/>
  <c r="A43" i="5"/>
  <c r="AU42" i="5"/>
  <c r="AR42" i="5"/>
  <c r="AQ42" i="5"/>
  <c r="AN42" i="5"/>
  <c r="K42" i="5"/>
  <c r="H42" i="5"/>
  <c r="A42" i="5"/>
  <c r="AT42" i="5" s="1"/>
  <c r="AU41" i="5"/>
  <c r="AT41" i="5"/>
  <c r="AR41" i="5"/>
  <c r="AQ41" i="5"/>
  <c r="AP41" i="5"/>
  <c r="AN41" i="5"/>
  <c r="O41" i="5"/>
  <c r="N41" i="5"/>
  <c r="P41" i="5" s="1"/>
  <c r="K41" i="5"/>
  <c r="J41" i="5"/>
  <c r="H41" i="5"/>
  <c r="I41" i="5" s="1"/>
  <c r="B41" i="5"/>
  <c r="D41" i="5" s="1"/>
  <c r="A41" i="5"/>
  <c r="AS41" i="5" s="1"/>
  <c r="AT40" i="5"/>
  <c r="AP40" i="5"/>
  <c r="AO40" i="5"/>
  <c r="N40" i="5"/>
  <c r="F40" i="5"/>
  <c r="E40" i="5"/>
  <c r="G40" i="5" s="1"/>
  <c r="B40" i="5"/>
  <c r="A40" i="5"/>
  <c r="AO39" i="5"/>
  <c r="E39" i="5"/>
  <c r="A39" i="5"/>
  <c r="AR39" i="5" s="1"/>
  <c r="AU38" i="5"/>
  <c r="AR38" i="5"/>
  <c r="AQ38" i="5"/>
  <c r="AN38" i="5"/>
  <c r="L38" i="5"/>
  <c r="K38" i="5"/>
  <c r="M38" i="5" s="1"/>
  <c r="H38" i="5"/>
  <c r="A38" i="5"/>
  <c r="AT38" i="5" s="1"/>
  <c r="AU37" i="5"/>
  <c r="AT37" i="5"/>
  <c r="AR37" i="5"/>
  <c r="AQ37" i="5"/>
  <c r="AP37" i="5"/>
  <c r="AN37" i="5"/>
  <c r="N37" i="5"/>
  <c r="P37" i="5" s="1"/>
  <c r="K37" i="5"/>
  <c r="J37" i="5"/>
  <c r="H37" i="5"/>
  <c r="I37" i="5" s="1"/>
  <c r="D37" i="5"/>
  <c r="B37" i="5"/>
  <c r="C37" i="5" s="1"/>
  <c r="A37" i="5"/>
  <c r="AS37" i="5" s="1"/>
  <c r="AU36" i="5"/>
  <c r="K36" i="5"/>
  <c r="A36" i="5"/>
  <c r="Q36" i="5" s="1"/>
  <c r="Q35" i="5"/>
  <c r="A35" i="5"/>
  <c r="AQ34" i="5"/>
  <c r="A34" i="5"/>
  <c r="AU33" i="5"/>
  <c r="AT33" i="5"/>
  <c r="AR33" i="5"/>
  <c r="AQ33" i="5"/>
  <c r="AP33" i="5"/>
  <c r="AN33" i="5"/>
  <c r="O33" i="5"/>
  <c r="N33" i="5"/>
  <c r="P33" i="5" s="1"/>
  <c r="L33" i="5"/>
  <c r="K33" i="5"/>
  <c r="M33" i="5" s="1"/>
  <c r="J33" i="5"/>
  <c r="H33" i="5"/>
  <c r="I33" i="5" s="1"/>
  <c r="B33" i="5"/>
  <c r="A33" i="5"/>
  <c r="AS33" i="5" s="1"/>
  <c r="K32" i="5"/>
  <c r="A32" i="5"/>
  <c r="AS31" i="5"/>
  <c r="Q31" i="5"/>
  <c r="N31" i="5"/>
  <c r="A31" i="5"/>
  <c r="AN31" i="5" s="1"/>
  <c r="A30" i="5"/>
  <c r="AT29" i="5"/>
  <c r="AQ29" i="5"/>
  <c r="Q29" i="5"/>
  <c r="N29" i="5"/>
  <c r="A29" i="5"/>
  <c r="A28" i="5"/>
  <c r="X27" i="5"/>
  <c r="A27" i="5"/>
  <c r="AS26" i="5"/>
  <c r="Q26" i="5"/>
  <c r="A26" i="5"/>
  <c r="AN26" i="5" s="1"/>
  <c r="AQ25" i="5"/>
  <c r="AP25" i="5"/>
  <c r="R25" i="5"/>
  <c r="Q25" i="5"/>
  <c r="S25" i="5" s="1"/>
  <c r="D25" i="5"/>
  <c r="B25" i="5"/>
  <c r="C25" i="5" s="1"/>
  <c r="A25" i="5"/>
  <c r="AT25" i="5" s="1"/>
  <c r="AQ24" i="5"/>
  <c r="A24" i="5"/>
  <c r="AU23" i="5"/>
  <c r="AR23" i="5"/>
  <c r="AQ23" i="5"/>
  <c r="AP23" i="5"/>
  <c r="N23" i="5"/>
  <c r="J23" i="5"/>
  <c r="I23" i="5"/>
  <c r="H23" i="5"/>
  <c r="E23" i="5"/>
  <c r="D23" i="5"/>
  <c r="B23" i="5"/>
  <c r="C23" i="5" s="1"/>
  <c r="A23" i="5"/>
  <c r="AU22" i="5"/>
  <c r="AS22" i="5"/>
  <c r="AR22" i="5"/>
  <c r="AO22" i="5"/>
  <c r="AN22" i="5"/>
  <c r="K22" i="5"/>
  <c r="I22" i="5"/>
  <c r="H22" i="5"/>
  <c r="J22" i="5" s="1"/>
  <c r="E22" i="5"/>
  <c r="A22" i="5"/>
  <c r="AN21" i="5"/>
  <c r="A21" i="5"/>
  <c r="AR20" i="5"/>
  <c r="AQ20" i="5"/>
  <c r="N20" i="5"/>
  <c r="P20" i="5" s="1"/>
  <c r="K20" i="5"/>
  <c r="B20" i="5"/>
  <c r="A20" i="5"/>
  <c r="AS20" i="5" s="1"/>
  <c r="AP19" i="5"/>
  <c r="N19" i="5"/>
  <c r="A19" i="5"/>
  <c r="AS18" i="5"/>
  <c r="Q18" i="5"/>
  <c r="A18" i="5"/>
  <c r="AU17" i="5"/>
  <c r="AT17" i="5"/>
  <c r="AR17" i="5"/>
  <c r="AQ17" i="5"/>
  <c r="AP17" i="5"/>
  <c r="AN17" i="5"/>
  <c r="P17" i="5"/>
  <c r="O17" i="5"/>
  <c r="N17" i="5"/>
  <c r="K17" i="5"/>
  <c r="H17" i="5"/>
  <c r="D17" i="5"/>
  <c r="C17" i="5"/>
  <c r="B17" i="5"/>
  <c r="A17" i="5"/>
  <c r="AS17" i="5" s="1"/>
  <c r="AU16" i="5"/>
  <c r="AT16" i="5"/>
  <c r="AQ16" i="5"/>
  <c r="AP16" i="5"/>
  <c r="N16" i="5"/>
  <c r="P16" i="5" s="1"/>
  <c r="K16" i="5"/>
  <c r="B16" i="5"/>
  <c r="A16" i="5"/>
  <c r="AS16" i="5" s="1"/>
  <c r="AP15" i="5"/>
  <c r="N15" i="5"/>
  <c r="A15" i="5"/>
  <c r="AS14" i="5"/>
  <c r="A14" i="5"/>
  <c r="AU13" i="5"/>
  <c r="AT13" i="5"/>
  <c r="AR13" i="5"/>
  <c r="AQ13" i="5"/>
  <c r="AP13" i="5"/>
  <c r="AN13" i="5"/>
  <c r="P13" i="5"/>
  <c r="O13" i="5"/>
  <c r="N13" i="5"/>
  <c r="K13" i="5"/>
  <c r="H13" i="5"/>
  <c r="D13" i="5"/>
  <c r="C13" i="5"/>
  <c r="B13" i="5"/>
  <c r="A13" i="5"/>
  <c r="AS13" i="5" s="1"/>
  <c r="AU12" i="5"/>
  <c r="AT12" i="5"/>
  <c r="AQ12" i="5"/>
  <c r="AP12" i="5"/>
  <c r="N12" i="5"/>
  <c r="P12" i="5" s="1"/>
  <c r="K12" i="5"/>
  <c r="B12" i="5"/>
  <c r="A12" i="5"/>
  <c r="AS12" i="5" s="1"/>
  <c r="AP11" i="5"/>
  <c r="N11" i="5"/>
  <c r="A11" i="5"/>
  <c r="A10" i="5"/>
  <c r="AU9" i="5"/>
  <c r="AT9" i="5"/>
  <c r="AR9" i="5"/>
  <c r="AQ9" i="5"/>
  <c r="AP9" i="5"/>
  <c r="AN9" i="5"/>
  <c r="P9" i="5"/>
  <c r="O9" i="5"/>
  <c r="N9" i="5"/>
  <c r="K9" i="5"/>
  <c r="H9" i="5"/>
  <c r="D9" i="5"/>
  <c r="C9" i="5"/>
  <c r="B9" i="5"/>
  <c r="A9" i="5"/>
  <c r="AS9" i="5" s="1"/>
  <c r="AT8" i="5"/>
  <c r="AO8" i="5"/>
  <c r="E8" i="5"/>
  <c r="A8" i="5"/>
  <c r="AT7" i="5"/>
  <c r="AR7" i="5"/>
  <c r="AP7" i="5"/>
  <c r="AO7" i="5"/>
  <c r="AF7" i="5"/>
  <c r="M7" i="5"/>
  <c r="K7" i="5"/>
  <c r="L7" i="5" s="1"/>
  <c r="H7" i="5"/>
  <c r="E7" i="5"/>
  <c r="F7" i="5" s="1"/>
  <c r="A7" i="5"/>
  <c r="AU6" i="5"/>
  <c r="AT6" i="5"/>
  <c r="AR6" i="5"/>
  <c r="AQ6" i="5"/>
  <c r="AP6" i="5"/>
  <c r="AN6" i="5"/>
  <c r="AD6" i="5"/>
  <c r="AC6" i="5"/>
  <c r="AB6" i="5"/>
  <c r="W6" i="5"/>
  <c r="Z6" i="5" s="1"/>
  <c r="X29" i="5" s="1"/>
  <c r="N6" i="5"/>
  <c r="P6" i="5" s="1"/>
  <c r="L6" i="5"/>
  <c r="K6" i="5"/>
  <c r="M6" i="5" s="1"/>
  <c r="H6" i="5"/>
  <c r="I6" i="5" s="1"/>
  <c r="B6" i="5"/>
  <c r="A6" i="5"/>
  <c r="AS6" i="5" s="1"/>
  <c r="AU5" i="5"/>
  <c r="AT5" i="5"/>
  <c r="AS5" i="5"/>
  <c r="AP5" i="5"/>
  <c r="AO5" i="5"/>
  <c r="AD5" i="5"/>
  <c r="AB5" i="5"/>
  <c r="AA5" i="5"/>
  <c r="Y27" i="5" s="1"/>
  <c r="Z5" i="5"/>
  <c r="W5" i="5"/>
  <c r="AC5" i="5" s="1"/>
  <c r="N5" i="5"/>
  <c r="P5" i="5" s="1"/>
  <c r="G5" i="5"/>
  <c r="E5" i="5"/>
  <c r="F5" i="5" s="1"/>
  <c r="B5" i="5"/>
  <c r="A5" i="5"/>
  <c r="AR4" i="5"/>
  <c r="AD4" i="5"/>
  <c r="AC4" i="5"/>
  <c r="AA4" i="5"/>
  <c r="Y25" i="5" s="1"/>
  <c r="Z4" i="5"/>
  <c r="X25" i="5" s="1"/>
  <c r="W4" i="5"/>
  <c r="AB4" i="5" s="1"/>
  <c r="E4" i="5"/>
  <c r="A4" i="5"/>
  <c r="AU3" i="5"/>
  <c r="AR3" i="5"/>
  <c r="AQ3" i="5"/>
  <c r="AP3" i="5"/>
  <c r="AN3" i="5"/>
  <c r="AD3" i="5"/>
  <c r="AB3" i="5"/>
  <c r="AA3" i="5"/>
  <c r="Y23" i="5" s="1"/>
  <c r="W3" i="5"/>
  <c r="Z3" i="5" s="1"/>
  <c r="X23" i="5" s="1"/>
  <c r="N3" i="5"/>
  <c r="K3" i="5"/>
  <c r="M3" i="5" s="1"/>
  <c r="J3" i="5"/>
  <c r="H3" i="5"/>
  <c r="I3" i="5" s="1"/>
  <c r="B3" i="5"/>
  <c r="A3" i="5"/>
  <c r="AT3" i="5" s="1"/>
  <c r="AS2" i="5"/>
  <c r="AD2" i="5"/>
  <c r="AB2" i="5"/>
  <c r="AA2" i="5"/>
  <c r="Y21" i="5" s="1"/>
  <c r="Z2" i="5"/>
  <c r="X21" i="5" s="1"/>
  <c r="W2" i="5"/>
  <c r="AC2" i="5" s="1"/>
  <c r="A2" i="5"/>
  <c r="L9" i="3"/>
  <c r="J9" i="3"/>
  <c r="L8" i="3"/>
  <c r="J8" i="3"/>
  <c r="L7" i="3"/>
  <c r="J7" i="3"/>
  <c r="L6" i="3"/>
  <c r="J6" i="3"/>
  <c r="I6" i="3"/>
  <c r="L5" i="3"/>
  <c r="J5" i="3"/>
  <c r="L4" i="3"/>
  <c r="K4" i="3"/>
  <c r="J4" i="3"/>
  <c r="A4" i="3"/>
  <c r="N3" i="3"/>
  <c r="A3" i="3"/>
  <c r="K2" i="3"/>
  <c r="I2" i="3"/>
  <c r="F11" i="2"/>
  <c r="F10" i="2"/>
  <c r="E8" i="2"/>
  <c r="B8" i="2"/>
  <c r="E6" i="2" s="1"/>
  <c r="F7" i="2"/>
  <c r="E7" i="2"/>
  <c r="B7" i="2"/>
  <c r="E10" i="2" s="1"/>
  <c r="F6" i="2"/>
  <c r="B6" i="2"/>
  <c r="F9" i="2" s="1"/>
  <c r="F5" i="2"/>
  <c r="B5" i="2"/>
  <c r="F8" i="2" s="1"/>
  <c r="A17" i="1"/>
  <c r="E15" i="1"/>
  <c r="A18" i="1" s="1"/>
  <c r="F10" i="1"/>
  <c r="G10" i="1" s="1"/>
  <c r="G3" i="3" s="1"/>
  <c r="E10" i="1"/>
  <c r="F9" i="1"/>
  <c r="E9" i="1"/>
  <c r="G8" i="1"/>
  <c r="F8" i="1"/>
  <c r="E8" i="1"/>
  <c r="G7" i="1"/>
  <c r="D2" i="3" s="1"/>
  <c r="F7" i="1"/>
  <c r="I10" i="3" s="1"/>
  <c r="E7" i="1"/>
  <c r="D3" i="3" s="1"/>
  <c r="F6" i="1"/>
  <c r="E13" i="1" s="1"/>
  <c r="E6" i="1"/>
  <c r="F5" i="1"/>
  <c r="E5" i="1"/>
  <c r="C3" i="3" l="1"/>
  <c r="K11" i="3"/>
  <c r="K10" i="3"/>
  <c r="K7" i="3"/>
  <c r="G6" i="1"/>
  <c r="E16" i="1" s="1"/>
  <c r="I4" i="3"/>
  <c r="I5" i="3"/>
  <c r="E2" i="3"/>
  <c r="I3" i="3"/>
  <c r="E4" i="3"/>
  <c r="K9" i="3"/>
  <c r="G5" i="1"/>
  <c r="B2" i="3" s="1"/>
  <c r="G9" i="1"/>
  <c r="E9" i="2"/>
  <c r="I7" i="3"/>
  <c r="K8" i="3"/>
  <c r="C2" i="3"/>
  <c r="I8" i="3"/>
  <c r="I11" i="3"/>
  <c r="I9" i="3"/>
  <c r="K6" i="3"/>
  <c r="G2" i="3"/>
  <c r="K3" i="3"/>
  <c r="E14" i="1"/>
  <c r="E5" i="2"/>
  <c r="E11" i="2" s="1"/>
  <c r="D13" i="2" s="1"/>
  <c r="A5" i="3"/>
  <c r="D4" i="3"/>
  <c r="G4" i="3"/>
  <c r="C4" i="3"/>
  <c r="K5" i="3"/>
  <c r="P19" i="5"/>
  <c r="O19" i="5"/>
  <c r="AU10" i="5"/>
  <c r="AQ10" i="5"/>
  <c r="K10" i="5"/>
  <c r="AT10" i="5"/>
  <c r="AP10" i="5"/>
  <c r="N10" i="5"/>
  <c r="B10" i="5"/>
  <c r="AR10" i="5"/>
  <c r="H10" i="5"/>
  <c r="AO10" i="5"/>
  <c r="E10" i="5"/>
  <c r="AN10" i="5"/>
  <c r="AS10" i="5"/>
  <c r="Q10" i="5"/>
  <c r="S18" i="5"/>
  <c r="R18" i="5"/>
  <c r="E3" i="3"/>
  <c r="B3" i="3"/>
  <c r="G4" i="5"/>
  <c r="F4" i="5"/>
  <c r="M17" i="5"/>
  <c r="L17" i="5"/>
  <c r="G8" i="5"/>
  <c r="F8" i="5"/>
  <c r="AR2" i="5"/>
  <c r="AN2" i="5"/>
  <c r="H2" i="5"/>
  <c r="AU2" i="5"/>
  <c r="AQ2" i="5"/>
  <c r="K2" i="5"/>
  <c r="AT2" i="5"/>
  <c r="AP2" i="5"/>
  <c r="N2" i="5"/>
  <c r="B2" i="5"/>
  <c r="Q2" i="5"/>
  <c r="D6" i="5"/>
  <c r="C6" i="5"/>
  <c r="D12" i="5"/>
  <c r="C12" i="5"/>
  <c r="AU14" i="5"/>
  <c r="AQ14" i="5"/>
  <c r="K14" i="5"/>
  <c r="AT14" i="5"/>
  <c r="AP14" i="5"/>
  <c r="N14" i="5"/>
  <c r="B14" i="5"/>
  <c r="AR14" i="5"/>
  <c r="H14" i="5"/>
  <c r="AO14" i="5"/>
  <c r="E14" i="5"/>
  <c r="AN14" i="5"/>
  <c r="O31" i="5"/>
  <c r="P31" i="5"/>
  <c r="S36" i="5"/>
  <c r="R36" i="5"/>
  <c r="E2" i="5"/>
  <c r="D3" i="5"/>
  <c r="C3" i="5"/>
  <c r="J7" i="5"/>
  <c r="I7" i="5"/>
  <c r="M9" i="5"/>
  <c r="L9" i="5"/>
  <c r="P11" i="5"/>
  <c r="O11" i="5"/>
  <c r="D16" i="5"/>
  <c r="C16" i="5"/>
  <c r="AU18" i="5"/>
  <c r="AQ18" i="5"/>
  <c r="K18" i="5"/>
  <c r="AT18" i="5"/>
  <c r="AP18" i="5"/>
  <c r="N18" i="5"/>
  <c r="B18" i="5"/>
  <c r="AR18" i="5"/>
  <c r="H18" i="5"/>
  <c r="AO18" i="5"/>
  <c r="E18" i="5"/>
  <c r="AN18" i="5"/>
  <c r="AS21" i="5"/>
  <c r="AO21" i="5"/>
  <c r="K21" i="5"/>
  <c r="AR21" i="5"/>
  <c r="E21" i="5"/>
  <c r="AQ21" i="5"/>
  <c r="N21" i="5"/>
  <c r="AU21" i="5"/>
  <c r="H21" i="5"/>
  <c r="AT21" i="5"/>
  <c r="Q21" i="5"/>
  <c r="AP21" i="5"/>
  <c r="B21" i="5"/>
  <c r="G23" i="5"/>
  <c r="F23" i="5"/>
  <c r="O23" i="5"/>
  <c r="P23" i="5"/>
  <c r="AT30" i="5"/>
  <c r="AP30" i="5"/>
  <c r="N30" i="5"/>
  <c r="B30" i="5"/>
  <c r="AR30" i="5"/>
  <c r="H30" i="5"/>
  <c r="AU30" i="5"/>
  <c r="AO30" i="5"/>
  <c r="K30" i="5"/>
  <c r="E30" i="5"/>
  <c r="Q30" i="5"/>
  <c r="AS30" i="5"/>
  <c r="AN30" i="5"/>
  <c r="AO2" i="5"/>
  <c r="P3" i="5"/>
  <c r="O3" i="5"/>
  <c r="D5" i="5"/>
  <c r="C5" i="5"/>
  <c r="M13" i="5"/>
  <c r="L13" i="5"/>
  <c r="Q14" i="5"/>
  <c r="P15" i="5"/>
  <c r="O15" i="5"/>
  <c r="D20" i="5"/>
  <c r="C20" i="5"/>
  <c r="AT24" i="5"/>
  <c r="AU24" i="5"/>
  <c r="AP24" i="5"/>
  <c r="N24" i="5"/>
  <c r="B24" i="5"/>
  <c r="AO24" i="5"/>
  <c r="K24" i="5"/>
  <c r="E24" i="5"/>
  <c r="AS24" i="5"/>
  <c r="AN24" i="5"/>
  <c r="H24" i="5"/>
  <c r="Q24" i="5"/>
  <c r="AR24" i="5"/>
  <c r="S29" i="5"/>
  <c r="R29" i="5"/>
  <c r="AQ30" i="5"/>
  <c r="AU4" i="5"/>
  <c r="AQ4" i="5"/>
  <c r="K4" i="5"/>
  <c r="Q4" i="5"/>
  <c r="AN4" i="5"/>
  <c r="AS4" i="5"/>
  <c r="AR8" i="5"/>
  <c r="AN8" i="5"/>
  <c r="H8" i="5"/>
  <c r="K8" i="5"/>
  <c r="Q8" i="5"/>
  <c r="AP8" i="5"/>
  <c r="AU8" i="5"/>
  <c r="AR11" i="5"/>
  <c r="AN11" i="5"/>
  <c r="H11" i="5"/>
  <c r="AU11" i="5"/>
  <c r="AQ11" i="5"/>
  <c r="K11" i="5"/>
  <c r="Q11" i="5"/>
  <c r="AS11" i="5"/>
  <c r="M12" i="5"/>
  <c r="L12" i="5"/>
  <c r="AR15" i="5"/>
  <c r="AN15" i="5"/>
  <c r="H15" i="5"/>
  <c r="AU15" i="5"/>
  <c r="AQ15" i="5"/>
  <c r="K15" i="5"/>
  <c r="Q15" i="5"/>
  <c r="AS15" i="5"/>
  <c r="M16" i="5"/>
  <c r="L16" i="5"/>
  <c r="AR19" i="5"/>
  <c r="AN19" i="5"/>
  <c r="H19" i="5"/>
  <c r="AU19" i="5"/>
  <c r="AQ19" i="5"/>
  <c r="K19" i="5"/>
  <c r="Q19" i="5"/>
  <c r="AS19" i="5"/>
  <c r="M20" i="5"/>
  <c r="L20" i="5"/>
  <c r="M22" i="5"/>
  <c r="L22" i="5"/>
  <c r="AS27" i="5"/>
  <c r="AO27" i="5"/>
  <c r="K27" i="5"/>
  <c r="AU27" i="5"/>
  <c r="AP27" i="5"/>
  <c r="H27" i="5"/>
  <c r="B27" i="5"/>
  <c r="AR27" i="5"/>
  <c r="E27" i="5"/>
  <c r="AT27" i="5"/>
  <c r="Q27" i="5"/>
  <c r="AQ27" i="5"/>
  <c r="N27" i="5"/>
  <c r="AN27" i="5"/>
  <c r="S31" i="5"/>
  <c r="R31" i="5"/>
  <c r="L32" i="5"/>
  <c r="AG5" i="5" s="1"/>
  <c r="M32" i="5"/>
  <c r="AH5" i="5" s="1"/>
  <c r="C33" i="5"/>
  <c r="D33" i="5"/>
  <c r="L3" i="5"/>
  <c r="AC3" i="5"/>
  <c r="B4" i="5"/>
  <c r="H4" i="5"/>
  <c r="AO4" i="5"/>
  <c r="AT4" i="5"/>
  <c r="O5" i="5"/>
  <c r="J6" i="5"/>
  <c r="O6" i="5"/>
  <c r="B8" i="5"/>
  <c r="AQ8" i="5"/>
  <c r="B11" i="5"/>
  <c r="AT11" i="5"/>
  <c r="B15" i="5"/>
  <c r="AT15" i="5"/>
  <c r="B19" i="5"/>
  <c r="AT19" i="5"/>
  <c r="F22" i="5"/>
  <c r="G22" i="5"/>
  <c r="AT28" i="5"/>
  <c r="AP28" i="5"/>
  <c r="N28" i="5"/>
  <c r="B28" i="5"/>
  <c r="AU28" i="5"/>
  <c r="AO28" i="5"/>
  <c r="K28" i="5"/>
  <c r="E28" i="5"/>
  <c r="AR28" i="5"/>
  <c r="H28" i="5"/>
  <c r="AN28" i="5"/>
  <c r="Q28" i="5"/>
  <c r="AQ28" i="5"/>
  <c r="AT34" i="5"/>
  <c r="AP34" i="5"/>
  <c r="N34" i="5"/>
  <c r="B34" i="5"/>
  <c r="AU34" i="5"/>
  <c r="AO34" i="5"/>
  <c r="K34" i="5"/>
  <c r="E34" i="5"/>
  <c r="AS34" i="5"/>
  <c r="AN34" i="5"/>
  <c r="AR34" i="5"/>
  <c r="H34" i="5"/>
  <c r="M42" i="5"/>
  <c r="L42" i="5"/>
  <c r="E3" i="5"/>
  <c r="Q3" i="5"/>
  <c r="AO3" i="5"/>
  <c r="AS3" i="5"/>
  <c r="N4" i="5"/>
  <c r="AP4" i="5"/>
  <c r="AR5" i="5"/>
  <c r="AN5" i="5"/>
  <c r="H5" i="5"/>
  <c r="K5" i="5"/>
  <c r="Q5" i="5"/>
  <c r="AQ5" i="5"/>
  <c r="AA6" i="5"/>
  <c r="Y29" i="5" s="1"/>
  <c r="AU7" i="5"/>
  <c r="AQ7" i="5"/>
  <c r="N7" i="5"/>
  <c r="B7" i="5"/>
  <c r="G7" i="5"/>
  <c r="Q7" i="5"/>
  <c r="AN7" i="5"/>
  <c r="AS7" i="5"/>
  <c r="N8" i="5"/>
  <c r="AS8" i="5"/>
  <c r="J9" i="5"/>
  <c r="I9" i="5"/>
  <c r="E11" i="5"/>
  <c r="AO11" i="5"/>
  <c r="O12" i="5"/>
  <c r="J13" i="5"/>
  <c r="I13" i="5"/>
  <c r="E15" i="5"/>
  <c r="AO15" i="5"/>
  <c r="O16" i="5"/>
  <c r="J17" i="5"/>
  <c r="I17" i="5"/>
  <c r="E19" i="5"/>
  <c r="AO19" i="5"/>
  <c r="O20" i="5"/>
  <c r="R26" i="5"/>
  <c r="S26" i="5"/>
  <c r="AS28" i="5"/>
  <c r="AR32" i="5"/>
  <c r="AO68" i="5" s="1"/>
  <c r="AN32" i="5"/>
  <c r="AO66" i="5" s="1"/>
  <c r="H32" i="5"/>
  <c r="AQ32" i="5"/>
  <c r="AP67" i="5" s="1"/>
  <c r="B32" i="5"/>
  <c r="AT32" i="5"/>
  <c r="AO69" i="5" s="1"/>
  <c r="AO32" i="5"/>
  <c r="AP66" i="5" s="1"/>
  <c r="E32" i="5"/>
  <c r="AU32" i="5"/>
  <c r="AP69" i="5" s="1"/>
  <c r="Q32" i="5"/>
  <c r="AS32" i="5"/>
  <c r="AP68" i="5" s="1"/>
  <c r="N32" i="5"/>
  <c r="AP32" i="5"/>
  <c r="AO67" i="5" s="1"/>
  <c r="Q34" i="5"/>
  <c r="S35" i="5"/>
  <c r="R35" i="5"/>
  <c r="J38" i="5"/>
  <c r="I38" i="5"/>
  <c r="L36" i="5"/>
  <c r="M36" i="5"/>
  <c r="G39" i="5"/>
  <c r="F39" i="5"/>
  <c r="D40" i="5"/>
  <c r="C40" i="5"/>
  <c r="M44" i="5"/>
  <c r="L44" i="5"/>
  <c r="G45" i="5"/>
  <c r="F45" i="5"/>
  <c r="C49" i="5"/>
  <c r="D49" i="5"/>
  <c r="D59" i="5"/>
  <c r="C59" i="5"/>
  <c r="E6" i="5"/>
  <c r="Q6" i="5"/>
  <c r="AO6" i="5"/>
  <c r="E9" i="5"/>
  <c r="Q9" i="5"/>
  <c r="AO9" i="5"/>
  <c r="H12" i="5"/>
  <c r="AN12" i="5"/>
  <c r="AR12" i="5"/>
  <c r="E13" i="5"/>
  <c r="Q13" i="5"/>
  <c r="AO13" i="5"/>
  <c r="H16" i="5"/>
  <c r="AN16" i="5"/>
  <c r="AR16" i="5"/>
  <c r="E17" i="5"/>
  <c r="Q17" i="5"/>
  <c r="AO17" i="5"/>
  <c r="H20" i="5"/>
  <c r="AN20" i="5"/>
  <c r="AT22" i="5"/>
  <c r="AP22" i="5"/>
  <c r="N22" i="5"/>
  <c r="B22" i="5"/>
  <c r="Q22" i="5"/>
  <c r="AQ22" i="5"/>
  <c r="AS23" i="5"/>
  <c r="AO23" i="5"/>
  <c r="K23" i="5"/>
  <c r="Q23" i="5"/>
  <c r="AN23" i="5"/>
  <c r="AT23" i="5"/>
  <c r="AS29" i="5"/>
  <c r="AO29" i="5"/>
  <c r="K29" i="5"/>
  <c r="AR29" i="5"/>
  <c r="E29" i="5"/>
  <c r="AU29" i="5"/>
  <c r="AP29" i="5"/>
  <c r="H29" i="5"/>
  <c r="B29" i="5"/>
  <c r="AN29" i="5"/>
  <c r="AU35" i="5"/>
  <c r="AQ35" i="5"/>
  <c r="K35" i="5"/>
  <c r="AT35" i="5"/>
  <c r="AO35" i="5"/>
  <c r="E35" i="5"/>
  <c r="AS35" i="5"/>
  <c r="AN35" i="5"/>
  <c r="N35" i="5"/>
  <c r="AR35" i="5"/>
  <c r="H35" i="5"/>
  <c r="B35" i="5"/>
  <c r="AP35" i="5"/>
  <c r="E12" i="5"/>
  <c r="Q12" i="5"/>
  <c r="AO12" i="5"/>
  <c r="E16" i="5"/>
  <c r="Q16" i="5"/>
  <c r="AO16" i="5"/>
  <c r="AT20" i="5"/>
  <c r="AP20" i="5"/>
  <c r="E20" i="5"/>
  <c r="Q20" i="5"/>
  <c r="AO20" i="5"/>
  <c r="AU20" i="5"/>
  <c r="AS25" i="5"/>
  <c r="AO25" i="5"/>
  <c r="K25" i="5"/>
  <c r="AR25" i="5"/>
  <c r="E25" i="5"/>
  <c r="AU25" i="5"/>
  <c r="H25" i="5"/>
  <c r="N25" i="5"/>
  <c r="AN25" i="5"/>
  <c r="AT26" i="5"/>
  <c r="AP26" i="5"/>
  <c r="N26" i="5"/>
  <c r="B26" i="5"/>
  <c r="AR26" i="5"/>
  <c r="H26" i="5"/>
  <c r="AU26" i="5"/>
  <c r="AO26" i="5"/>
  <c r="K26" i="5"/>
  <c r="E26" i="5"/>
  <c r="AQ26" i="5"/>
  <c r="O29" i="5"/>
  <c r="P29" i="5"/>
  <c r="AU31" i="5"/>
  <c r="AQ31" i="5"/>
  <c r="K31" i="5"/>
  <c r="AR31" i="5"/>
  <c r="H31" i="5"/>
  <c r="B31" i="5"/>
  <c r="AT31" i="5"/>
  <c r="AO31" i="5"/>
  <c r="E31" i="5"/>
  <c r="AP31" i="5"/>
  <c r="AR36" i="5"/>
  <c r="AN36" i="5"/>
  <c r="H36" i="5"/>
  <c r="AT36" i="5"/>
  <c r="AO36" i="5"/>
  <c r="E36" i="5"/>
  <c r="AS36" i="5"/>
  <c r="N36" i="5"/>
  <c r="AQ36" i="5"/>
  <c r="B36" i="5"/>
  <c r="AP36" i="5"/>
  <c r="M41" i="5"/>
  <c r="L41" i="5"/>
  <c r="J43" i="5"/>
  <c r="I43" i="5"/>
  <c r="I47" i="5"/>
  <c r="J47" i="5"/>
  <c r="J48" i="5"/>
  <c r="I48" i="5"/>
  <c r="M37" i="5"/>
  <c r="L37" i="5"/>
  <c r="H39" i="5"/>
  <c r="AS43" i="5"/>
  <c r="AO43" i="5"/>
  <c r="Q43" i="5"/>
  <c r="AT43" i="5"/>
  <c r="AN43" i="5"/>
  <c r="K43" i="5"/>
  <c r="AR43" i="5"/>
  <c r="N43" i="5"/>
  <c r="B43" i="5"/>
  <c r="AT44" i="5"/>
  <c r="AP44" i="5"/>
  <c r="N44" i="5"/>
  <c r="B44" i="5"/>
  <c r="AS44" i="5"/>
  <c r="AN44" i="5"/>
  <c r="AR44" i="5"/>
  <c r="H44" i="5"/>
  <c r="AQ44" i="5"/>
  <c r="S45" i="5"/>
  <c r="R45" i="5"/>
  <c r="AR46" i="5"/>
  <c r="AN46" i="5"/>
  <c r="H46" i="5"/>
  <c r="AS46" i="5"/>
  <c r="N46" i="5"/>
  <c r="AQ46" i="5"/>
  <c r="B46" i="5"/>
  <c r="K46" i="5"/>
  <c r="AP46" i="5"/>
  <c r="G52" i="5"/>
  <c r="F52" i="5"/>
  <c r="G58" i="5"/>
  <c r="F58" i="5"/>
  <c r="AU39" i="5"/>
  <c r="AQ39" i="5"/>
  <c r="K39" i="5"/>
  <c r="AT39" i="5"/>
  <c r="AP39" i="5"/>
  <c r="N39" i="5"/>
  <c r="B39" i="5"/>
  <c r="Q39" i="5"/>
  <c r="AS39" i="5"/>
  <c r="P40" i="5"/>
  <c r="O40" i="5"/>
  <c r="O49" i="5"/>
  <c r="P49" i="5"/>
  <c r="O51" i="5"/>
  <c r="P51" i="5"/>
  <c r="P53" i="5"/>
  <c r="O53" i="5"/>
  <c r="M60" i="5"/>
  <c r="L60" i="5"/>
  <c r="J61" i="5"/>
  <c r="I61" i="5"/>
  <c r="O37" i="5"/>
  <c r="AN39" i="5"/>
  <c r="AR40" i="5"/>
  <c r="AN40" i="5"/>
  <c r="H40" i="5"/>
  <c r="AU40" i="5"/>
  <c r="AQ40" i="5"/>
  <c r="K40" i="5"/>
  <c r="Q40" i="5"/>
  <c r="AS40" i="5"/>
  <c r="C41" i="5"/>
  <c r="J42" i="5"/>
  <c r="I42" i="5"/>
  <c r="E43" i="5"/>
  <c r="AQ43" i="5"/>
  <c r="G44" i="5"/>
  <c r="Q44" i="5"/>
  <c r="AU45" i="5"/>
  <c r="AQ45" i="5"/>
  <c r="K45" i="5"/>
  <c r="AS45" i="5"/>
  <c r="AN45" i="5"/>
  <c r="N45" i="5"/>
  <c r="AR45" i="5"/>
  <c r="H45" i="5"/>
  <c r="B45" i="5"/>
  <c r="AP45" i="5"/>
  <c r="F46" i="5"/>
  <c r="Q46" i="5"/>
  <c r="AU46" i="5"/>
  <c r="C50" i="5"/>
  <c r="O52" i="5"/>
  <c r="AR59" i="5"/>
  <c r="AN59" i="5"/>
  <c r="H59" i="5"/>
  <c r="AU59" i="5"/>
  <c r="AQ59" i="5"/>
  <c r="K59" i="5"/>
  <c r="AP59" i="5"/>
  <c r="N59" i="5"/>
  <c r="AO59" i="5"/>
  <c r="E59" i="5"/>
  <c r="AT59" i="5"/>
  <c r="AS59" i="5"/>
  <c r="P60" i="5"/>
  <c r="O60" i="5"/>
  <c r="E38" i="5"/>
  <c r="Q38" i="5"/>
  <c r="AO38" i="5"/>
  <c r="AS38" i="5"/>
  <c r="E42" i="5"/>
  <c r="Q42" i="5"/>
  <c r="AO42" i="5"/>
  <c r="AS42" i="5"/>
  <c r="R50" i="5"/>
  <c r="S50" i="5"/>
  <c r="G51" i="5"/>
  <c r="F51" i="5"/>
  <c r="I53" i="5"/>
  <c r="J53" i="5"/>
  <c r="AR55" i="5"/>
  <c r="AN55" i="5"/>
  <c r="H55" i="5"/>
  <c r="AU55" i="5"/>
  <c r="AQ55" i="5"/>
  <c r="K55" i="5"/>
  <c r="AP55" i="5"/>
  <c r="N55" i="5"/>
  <c r="AO55" i="5"/>
  <c r="E55" i="5"/>
  <c r="Q55" i="5"/>
  <c r="M56" i="5"/>
  <c r="L56" i="5"/>
  <c r="E33" i="5"/>
  <c r="Q33" i="5"/>
  <c r="AO33" i="5"/>
  <c r="E37" i="5"/>
  <c r="Q37" i="5"/>
  <c r="AO37" i="5"/>
  <c r="B38" i="5"/>
  <c r="N38" i="5"/>
  <c r="AP38" i="5"/>
  <c r="E41" i="5"/>
  <c r="Q41" i="5"/>
  <c r="AO41" i="5"/>
  <c r="B42" i="5"/>
  <c r="N42" i="5"/>
  <c r="AP42" i="5"/>
  <c r="L47" i="5"/>
  <c r="AT48" i="5"/>
  <c r="AP48" i="5"/>
  <c r="N48" i="5"/>
  <c r="B48" i="5"/>
  <c r="G48" i="5"/>
  <c r="Q48" i="5"/>
  <c r="AQ48" i="5"/>
  <c r="AU49" i="5"/>
  <c r="AQ49" i="5"/>
  <c r="K49" i="5"/>
  <c r="F49" i="5"/>
  <c r="Q49" i="5"/>
  <c r="AP49" i="5"/>
  <c r="AT50" i="5"/>
  <c r="AP50" i="5"/>
  <c r="N50" i="5"/>
  <c r="AR50" i="5"/>
  <c r="H50" i="5"/>
  <c r="L50" i="5"/>
  <c r="AN50" i="5"/>
  <c r="AU50" i="5"/>
  <c r="G54" i="5"/>
  <c r="F54" i="5"/>
  <c r="B55" i="5"/>
  <c r="P56" i="5"/>
  <c r="O56" i="5"/>
  <c r="J57" i="5"/>
  <c r="I57" i="5"/>
  <c r="G62" i="5"/>
  <c r="F62" i="5"/>
  <c r="AU51" i="5"/>
  <c r="AQ51" i="5"/>
  <c r="K51" i="5"/>
  <c r="Q51" i="5"/>
  <c r="AP51" i="5"/>
  <c r="AR52" i="5"/>
  <c r="AN52" i="5"/>
  <c r="H52" i="5"/>
  <c r="K52" i="5"/>
  <c r="Q52" i="5"/>
  <c r="AP52" i="5"/>
  <c r="AU52" i="5"/>
  <c r="E47" i="5"/>
  <c r="Q47" i="5"/>
  <c r="AO47" i="5"/>
  <c r="B51" i="5"/>
  <c r="H51" i="5"/>
  <c r="AR51" i="5"/>
  <c r="B52" i="5"/>
  <c r="AQ52" i="5"/>
  <c r="AU54" i="5"/>
  <c r="AQ54" i="5"/>
  <c r="K54" i="5"/>
  <c r="AT54" i="5"/>
  <c r="AP54" i="5"/>
  <c r="N54" i="5"/>
  <c r="B54" i="5"/>
  <c r="I54" i="5"/>
  <c r="Q54" i="5"/>
  <c r="AS54" i="5"/>
  <c r="L57" i="5"/>
  <c r="AU58" i="5"/>
  <c r="AQ58" i="5"/>
  <c r="K58" i="5"/>
  <c r="AT58" i="5"/>
  <c r="AP58" i="5"/>
  <c r="N58" i="5"/>
  <c r="B58" i="5"/>
  <c r="I58" i="5"/>
  <c r="Q58" i="5"/>
  <c r="AS58" i="5"/>
  <c r="L61" i="5"/>
  <c r="AU62" i="5"/>
  <c r="AQ62" i="5"/>
  <c r="K62" i="5"/>
  <c r="AT62" i="5"/>
  <c r="AP62" i="5"/>
  <c r="N62" i="5"/>
  <c r="B62" i="5"/>
  <c r="I62" i="5"/>
  <c r="Q62" i="5"/>
  <c r="AS62" i="5"/>
  <c r="E53" i="5"/>
  <c r="Q53" i="5"/>
  <c r="AO53" i="5"/>
  <c r="AS53" i="5"/>
  <c r="H56" i="5"/>
  <c r="AN56" i="5"/>
  <c r="AR56" i="5"/>
  <c r="E57" i="5"/>
  <c r="Q57" i="5"/>
  <c r="AO57" i="5"/>
  <c r="AS57" i="5"/>
  <c r="H60" i="5"/>
  <c r="AN60" i="5"/>
  <c r="AR60" i="5"/>
  <c r="E61" i="5"/>
  <c r="Q61" i="5"/>
  <c r="AO61" i="5"/>
  <c r="AS61" i="5"/>
  <c r="E56" i="5"/>
  <c r="Q56" i="5"/>
  <c r="AO56" i="5"/>
  <c r="B57" i="5"/>
  <c r="N57" i="5"/>
  <c r="AP57" i="5"/>
  <c r="E60" i="5"/>
  <c r="Q60" i="5"/>
  <c r="AO60" i="5"/>
  <c r="B61" i="5"/>
  <c r="N61" i="5"/>
  <c r="AP61" i="5"/>
  <c r="R60" i="5" l="1"/>
  <c r="S60" i="5"/>
  <c r="S53" i="5"/>
  <c r="R53" i="5"/>
  <c r="O38" i="5"/>
  <c r="P38" i="5"/>
  <c r="D61" i="5"/>
  <c r="C61" i="5"/>
  <c r="R56" i="5"/>
  <c r="S56" i="5"/>
  <c r="R61" i="5"/>
  <c r="S61" i="5"/>
  <c r="I60" i="5"/>
  <c r="J60" i="5"/>
  <c r="F57" i="5"/>
  <c r="G57" i="5"/>
  <c r="O62" i="5"/>
  <c r="P62" i="5"/>
  <c r="S58" i="5"/>
  <c r="R58" i="5"/>
  <c r="C51" i="5"/>
  <c r="D51" i="5"/>
  <c r="J52" i="5"/>
  <c r="I52" i="5"/>
  <c r="S51" i="5"/>
  <c r="R51" i="5"/>
  <c r="J50" i="5"/>
  <c r="I50" i="5"/>
  <c r="L49" i="5"/>
  <c r="M49" i="5"/>
  <c r="R48" i="5"/>
  <c r="S48" i="5"/>
  <c r="P42" i="5"/>
  <c r="O42" i="5"/>
  <c r="G41" i="5"/>
  <c r="F41" i="5"/>
  <c r="S33" i="5"/>
  <c r="R33" i="5"/>
  <c r="S55" i="5"/>
  <c r="R55" i="5"/>
  <c r="J55" i="5"/>
  <c r="I55" i="5"/>
  <c r="F42" i="5"/>
  <c r="G42" i="5"/>
  <c r="F38" i="5"/>
  <c r="G38" i="5"/>
  <c r="J59" i="5"/>
  <c r="I59" i="5"/>
  <c r="O45" i="5"/>
  <c r="P45" i="5"/>
  <c r="S39" i="5"/>
  <c r="R39" i="5"/>
  <c r="P46" i="5"/>
  <c r="O46" i="5"/>
  <c r="J44" i="5"/>
  <c r="I44" i="5"/>
  <c r="D44" i="5"/>
  <c r="C44" i="5"/>
  <c r="C43" i="5"/>
  <c r="D43" i="5"/>
  <c r="J36" i="5"/>
  <c r="I36" i="5"/>
  <c r="G31" i="5"/>
  <c r="F31" i="5"/>
  <c r="J31" i="5"/>
  <c r="I31" i="5"/>
  <c r="F26" i="5"/>
  <c r="G26" i="5"/>
  <c r="J26" i="5"/>
  <c r="I26" i="5"/>
  <c r="J25" i="5"/>
  <c r="I25" i="5"/>
  <c r="M25" i="5"/>
  <c r="L25" i="5"/>
  <c r="C35" i="5"/>
  <c r="D35" i="5"/>
  <c r="S23" i="5"/>
  <c r="R23" i="5"/>
  <c r="F13" i="5"/>
  <c r="G13" i="5"/>
  <c r="S6" i="5"/>
  <c r="R6" i="5"/>
  <c r="R34" i="5"/>
  <c r="S34" i="5"/>
  <c r="R32" i="5"/>
  <c r="AG7" i="5" s="1"/>
  <c r="S32" i="5"/>
  <c r="AH7" i="5" s="1"/>
  <c r="G15" i="5"/>
  <c r="F15" i="5"/>
  <c r="R7" i="5"/>
  <c r="S7" i="5"/>
  <c r="S5" i="5"/>
  <c r="R5" i="5"/>
  <c r="J28" i="5"/>
  <c r="I28" i="5"/>
  <c r="O27" i="5"/>
  <c r="P27" i="5"/>
  <c r="G27" i="5"/>
  <c r="F27" i="5"/>
  <c r="S15" i="5"/>
  <c r="R15" i="5"/>
  <c r="J15" i="5"/>
  <c r="I15" i="5"/>
  <c r="L8" i="5"/>
  <c r="M8" i="5"/>
  <c r="R30" i="5"/>
  <c r="S30" i="5"/>
  <c r="P30" i="5"/>
  <c r="O30" i="5"/>
  <c r="G14" i="5"/>
  <c r="F14" i="5"/>
  <c r="C14" i="5"/>
  <c r="D14" i="5"/>
  <c r="M14" i="5"/>
  <c r="L14" i="5"/>
  <c r="D2" i="5"/>
  <c r="C2" i="5"/>
  <c r="L2" i="5"/>
  <c r="M2" i="5"/>
  <c r="S10" i="5"/>
  <c r="R10" i="5"/>
  <c r="O10" i="5"/>
  <c r="P10" i="5"/>
  <c r="E5" i="3"/>
  <c r="A6" i="3"/>
  <c r="D5" i="3"/>
  <c r="C5" i="3"/>
  <c r="B5" i="3"/>
  <c r="G5" i="3"/>
  <c r="F5" i="3"/>
  <c r="D57" i="5"/>
  <c r="C57" i="5"/>
  <c r="L58" i="5"/>
  <c r="M58" i="5"/>
  <c r="R47" i="5"/>
  <c r="S47" i="5"/>
  <c r="P50" i="5"/>
  <c r="O50" i="5"/>
  <c r="S46" i="5"/>
  <c r="R46" i="5"/>
  <c r="P57" i="5"/>
  <c r="O57" i="5"/>
  <c r="G56" i="5"/>
  <c r="F56" i="5"/>
  <c r="F61" i="5"/>
  <c r="G61" i="5"/>
  <c r="S62" i="5"/>
  <c r="R62" i="5"/>
  <c r="C54" i="5"/>
  <c r="D54" i="5"/>
  <c r="M54" i="5"/>
  <c r="L54" i="5"/>
  <c r="D52" i="5"/>
  <c r="C52" i="5"/>
  <c r="M51" i="5"/>
  <c r="L51" i="5"/>
  <c r="D42" i="5"/>
  <c r="C42" i="5"/>
  <c r="S37" i="5"/>
  <c r="R37" i="5"/>
  <c r="F33" i="5"/>
  <c r="G33" i="5"/>
  <c r="G55" i="5"/>
  <c r="F55" i="5"/>
  <c r="L55" i="5"/>
  <c r="M55" i="5"/>
  <c r="G59" i="5"/>
  <c r="F59" i="5"/>
  <c r="L59" i="5"/>
  <c r="M59" i="5"/>
  <c r="C45" i="5"/>
  <c r="D45" i="5"/>
  <c r="G43" i="5"/>
  <c r="F43" i="5"/>
  <c r="C39" i="5"/>
  <c r="D39" i="5"/>
  <c r="L39" i="5"/>
  <c r="M39" i="5"/>
  <c r="L46" i="5"/>
  <c r="M46" i="5"/>
  <c r="O44" i="5"/>
  <c r="P44" i="5"/>
  <c r="O43" i="5"/>
  <c r="P43" i="5"/>
  <c r="J39" i="5"/>
  <c r="I39" i="5"/>
  <c r="D36" i="5"/>
  <c r="C36" i="5"/>
  <c r="G36" i="5"/>
  <c r="F36" i="5"/>
  <c r="M26" i="5"/>
  <c r="L26" i="5"/>
  <c r="S20" i="5"/>
  <c r="R20" i="5"/>
  <c r="S12" i="5"/>
  <c r="R12" i="5"/>
  <c r="J35" i="5"/>
  <c r="I35" i="5"/>
  <c r="M35" i="5"/>
  <c r="L35" i="5"/>
  <c r="C29" i="5"/>
  <c r="D29" i="5"/>
  <c r="G29" i="5"/>
  <c r="F29" i="5"/>
  <c r="M23" i="5"/>
  <c r="L23" i="5"/>
  <c r="R22" i="5"/>
  <c r="S22" i="5"/>
  <c r="R17" i="5"/>
  <c r="S17" i="5"/>
  <c r="I16" i="5"/>
  <c r="J16" i="5"/>
  <c r="R9" i="5"/>
  <c r="S9" i="5"/>
  <c r="F6" i="5"/>
  <c r="G6" i="5"/>
  <c r="D32" i="5"/>
  <c r="AH2" i="5" s="1"/>
  <c r="C32" i="5"/>
  <c r="AG2" i="5" s="1"/>
  <c r="G11" i="5"/>
  <c r="F11" i="5"/>
  <c r="P8" i="5"/>
  <c r="O8" i="5"/>
  <c r="L5" i="5"/>
  <c r="M5" i="5"/>
  <c r="S3" i="5"/>
  <c r="R3" i="5"/>
  <c r="J34" i="5"/>
  <c r="I34" i="5"/>
  <c r="F34" i="5"/>
  <c r="G34" i="5"/>
  <c r="D34" i="5"/>
  <c r="C34" i="5"/>
  <c r="D19" i="5"/>
  <c r="C19" i="5"/>
  <c r="D11" i="5"/>
  <c r="C11" i="5"/>
  <c r="I4" i="5"/>
  <c r="J4" i="5"/>
  <c r="L15" i="5"/>
  <c r="M15" i="5"/>
  <c r="I8" i="5"/>
  <c r="J8" i="5"/>
  <c r="D24" i="5"/>
  <c r="C24" i="5"/>
  <c r="F30" i="5"/>
  <c r="G30" i="5"/>
  <c r="J30" i="5"/>
  <c r="I30" i="5"/>
  <c r="S21" i="5"/>
  <c r="R21" i="5"/>
  <c r="O21" i="5"/>
  <c r="P21" i="5"/>
  <c r="M21" i="5"/>
  <c r="L21" i="5"/>
  <c r="G18" i="5"/>
  <c r="F18" i="5"/>
  <c r="C18" i="5"/>
  <c r="D18" i="5"/>
  <c r="M18" i="5"/>
  <c r="L18" i="5"/>
  <c r="O14" i="5"/>
  <c r="P14" i="5"/>
  <c r="P2" i="5"/>
  <c r="O2" i="5"/>
  <c r="J10" i="5"/>
  <c r="I10" i="5"/>
  <c r="E17" i="1"/>
  <c r="E18" i="1"/>
  <c r="I45" i="5"/>
  <c r="J45" i="5"/>
  <c r="R44" i="5"/>
  <c r="S44" i="5"/>
  <c r="S40" i="5"/>
  <c r="R40" i="5"/>
  <c r="I40" i="5"/>
  <c r="J40" i="5"/>
  <c r="O39" i="5"/>
  <c r="P39" i="5"/>
  <c r="D46" i="5"/>
  <c r="C46" i="5"/>
  <c r="I46" i="5"/>
  <c r="J46" i="5"/>
  <c r="S43" i="5"/>
  <c r="R43" i="5"/>
  <c r="M31" i="5"/>
  <c r="L31" i="5"/>
  <c r="C26" i="5"/>
  <c r="D26" i="5"/>
  <c r="G25" i="5"/>
  <c r="F25" i="5"/>
  <c r="G20" i="5"/>
  <c r="F20" i="5"/>
  <c r="S16" i="5"/>
  <c r="R16" i="5"/>
  <c r="G12" i="5"/>
  <c r="F12" i="5"/>
  <c r="G35" i="5"/>
  <c r="F35" i="5"/>
  <c r="J29" i="5"/>
  <c r="I29" i="5"/>
  <c r="C22" i="5"/>
  <c r="D22" i="5"/>
  <c r="F17" i="5"/>
  <c r="G17" i="5"/>
  <c r="F9" i="5"/>
  <c r="G9" i="5"/>
  <c r="P32" i="5"/>
  <c r="AH6" i="5" s="1"/>
  <c r="O32" i="5"/>
  <c r="AG6" i="5" s="1"/>
  <c r="G32" i="5"/>
  <c r="AH3" i="5" s="1"/>
  <c r="F32" i="5"/>
  <c r="AG3" i="5" s="1"/>
  <c r="D7" i="5"/>
  <c r="C7" i="5"/>
  <c r="J5" i="5"/>
  <c r="I5" i="5"/>
  <c r="O4" i="5"/>
  <c r="P4" i="5"/>
  <c r="G3" i="5"/>
  <c r="F3" i="5"/>
  <c r="M34" i="5"/>
  <c r="L34" i="5"/>
  <c r="P34" i="5"/>
  <c r="O34" i="5"/>
  <c r="R28" i="5"/>
  <c r="S28" i="5"/>
  <c r="F28" i="5"/>
  <c r="G28" i="5"/>
  <c r="C28" i="5"/>
  <c r="D28" i="5"/>
  <c r="C4" i="5"/>
  <c r="D4" i="5"/>
  <c r="S27" i="5"/>
  <c r="R27" i="5"/>
  <c r="C27" i="5"/>
  <c r="D27" i="5"/>
  <c r="M27" i="5"/>
  <c r="L27" i="5"/>
  <c r="S19" i="5"/>
  <c r="R19" i="5"/>
  <c r="J19" i="5"/>
  <c r="I19" i="5"/>
  <c r="S11" i="5"/>
  <c r="R11" i="5"/>
  <c r="J11" i="5"/>
  <c r="I11" i="5"/>
  <c r="S4" i="5"/>
  <c r="R4" i="5"/>
  <c r="R24" i="5"/>
  <c r="S24" i="5"/>
  <c r="F24" i="5"/>
  <c r="G24" i="5"/>
  <c r="P24" i="5"/>
  <c r="O24" i="5"/>
  <c r="S14" i="5"/>
  <c r="R14" i="5"/>
  <c r="M30" i="5"/>
  <c r="L30" i="5"/>
  <c r="O18" i="5"/>
  <c r="P18" i="5"/>
  <c r="G2" i="5"/>
  <c r="F2" i="5"/>
  <c r="J14" i="5"/>
  <c r="I14" i="5"/>
  <c r="F3" i="3"/>
  <c r="B4" i="3"/>
  <c r="C58" i="5"/>
  <c r="D58" i="5"/>
  <c r="O54" i="5"/>
  <c r="P54" i="5"/>
  <c r="R52" i="5"/>
  <c r="S52" i="5"/>
  <c r="D55" i="5"/>
  <c r="C55" i="5"/>
  <c r="S49" i="5"/>
  <c r="R49" i="5"/>
  <c r="D48" i="5"/>
  <c r="C48" i="5"/>
  <c r="G37" i="5"/>
  <c r="F37" i="5"/>
  <c r="O61" i="5"/>
  <c r="P61" i="5"/>
  <c r="G60" i="5"/>
  <c r="F60" i="5"/>
  <c r="R57" i="5"/>
  <c r="S57" i="5"/>
  <c r="I56" i="5"/>
  <c r="J56" i="5"/>
  <c r="F53" i="5"/>
  <c r="G53" i="5"/>
  <c r="C62" i="5"/>
  <c r="D62" i="5"/>
  <c r="M62" i="5"/>
  <c r="L62" i="5"/>
  <c r="O58" i="5"/>
  <c r="P58" i="5"/>
  <c r="S54" i="5"/>
  <c r="R54" i="5"/>
  <c r="I51" i="5"/>
  <c r="J51" i="5"/>
  <c r="G47" i="5"/>
  <c r="F47" i="5"/>
  <c r="L52" i="5"/>
  <c r="M52" i="5"/>
  <c r="P48" i="5"/>
  <c r="O48" i="5"/>
  <c r="R41" i="5"/>
  <c r="S41" i="5"/>
  <c r="D38" i="5"/>
  <c r="C38" i="5"/>
  <c r="P55" i="5"/>
  <c r="O55" i="5"/>
  <c r="R42" i="5"/>
  <c r="S42" i="5"/>
  <c r="R38" i="5"/>
  <c r="S38" i="5"/>
  <c r="P59" i="5"/>
  <c r="O59" i="5"/>
  <c r="M45" i="5"/>
  <c r="L45" i="5"/>
  <c r="L40" i="5"/>
  <c r="M40" i="5"/>
  <c r="M43" i="5"/>
  <c r="L43" i="5"/>
  <c r="P36" i="5"/>
  <c r="O36" i="5"/>
  <c r="C31" i="5"/>
  <c r="D31" i="5"/>
  <c r="P26" i="5"/>
  <c r="O26" i="5"/>
  <c r="O25" i="5"/>
  <c r="P25" i="5"/>
  <c r="G16" i="5"/>
  <c r="F16" i="5"/>
  <c r="O35" i="5"/>
  <c r="P35" i="5"/>
  <c r="M29" i="5"/>
  <c r="L29" i="5"/>
  <c r="P22" i="5"/>
  <c r="O22" i="5"/>
  <c r="I20" i="5"/>
  <c r="J20" i="5"/>
  <c r="R13" i="5"/>
  <c r="S13" i="5"/>
  <c r="I12" i="5"/>
  <c r="J12" i="5"/>
  <c r="J32" i="5"/>
  <c r="AH4" i="5" s="1"/>
  <c r="I32" i="5"/>
  <c r="AG4" i="5" s="1"/>
  <c r="G19" i="5"/>
  <c r="F19" i="5"/>
  <c r="P7" i="5"/>
  <c r="O7" i="5"/>
  <c r="M28" i="5"/>
  <c r="L28" i="5"/>
  <c r="P28" i="5"/>
  <c r="O28" i="5"/>
  <c r="D15" i="5"/>
  <c r="C15" i="5"/>
  <c r="D8" i="5"/>
  <c r="C8" i="5"/>
  <c r="J27" i="5"/>
  <c r="I27" i="5"/>
  <c r="L19" i="5"/>
  <c r="M19" i="5"/>
  <c r="L11" i="5"/>
  <c r="M11" i="5"/>
  <c r="S8" i="5"/>
  <c r="R8" i="5"/>
  <c r="M4" i="5"/>
  <c r="L4" i="5"/>
  <c r="J24" i="5"/>
  <c r="I24" i="5"/>
  <c r="M24" i="5"/>
  <c r="L24" i="5"/>
  <c r="C30" i="5"/>
  <c r="D30" i="5"/>
  <c r="C21" i="5"/>
  <c r="D21" i="5"/>
  <c r="J21" i="5"/>
  <c r="I21" i="5"/>
  <c r="G21" i="5"/>
  <c r="F21" i="5"/>
  <c r="J18" i="5"/>
  <c r="I18" i="5"/>
  <c r="S2" i="5"/>
  <c r="R2" i="5"/>
  <c r="J2" i="5"/>
  <c r="I2" i="5"/>
  <c r="G10" i="5"/>
  <c r="F10" i="5"/>
  <c r="C10" i="5"/>
  <c r="D10" i="5"/>
  <c r="M10" i="5"/>
  <c r="L10" i="5"/>
  <c r="F2" i="3"/>
  <c r="F4" i="3"/>
  <c r="F6" i="3" l="1"/>
  <c r="B6" i="3"/>
  <c r="E6" i="3"/>
  <c r="A7" i="3"/>
  <c r="G6" i="3"/>
  <c r="D6" i="3"/>
  <c r="C6" i="3"/>
  <c r="G7" i="3" l="1"/>
  <c r="C7" i="3"/>
  <c r="F7" i="3"/>
  <c r="B7" i="3"/>
  <c r="A8" i="3"/>
  <c r="E7" i="3"/>
  <c r="D7" i="3"/>
  <c r="A9" i="3" l="1"/>
  <c r="D8" i="3"/>
  <c r="G8" i="3"/>
  <c r="C8" i="3"/>
  <c r="E8" i="3"/>
  <c r="B8" i="3"/>
  <c r="F8" i="3"/>
  <c r="E9" i="3" l="1"/>
  <c r="A10" i="3"/>
  <c r="D9" i="3"/>
  <c r="G9" i="3"/>
  <c r="F9" i="3"/>
  <c r="C9" i="3"/>
  <c r="B9" i="3"/>
  <c r="A11" i="3" l="1"/>
  <c r="F10" i="3"/>
  <c r="B10" i="3"/>
  <c r="E10" i="3"/>
  <c r="C10" i="3"/>
  <c r="G10" i="3"/>
  <c r="D10" i="3"/>
  <c r="E11" i="3" l="1"/>
  <c r="D11" i="3"/>
  <c r="A12" i="3"/>
  <c r="B11" i="3"/>
  <c r="G11" i="3"/>
  <c r="F11" i="3"/>
  <c r="C11" i="3"/>
  <c r="A13" i="3" l="1"/>
  <c r="D12" i="3"/>
  <c r="G12" i="3"/>
  <c r="C12" i="3"/>
  <c r="F12" i="3"/>
  <c r="E12" i="3"/>
  <c r="B12" i="3"/>
  <c r="E13" i="3" l="1"/>
  <c r="A14" i="3"/>
  <c r="D13" i="3"/>
  <c r="B13" i="3"/>
  <c r="G13" i="3"/>
  <c r="F13" i="3"/>
  <c r="C13" i="3"/>
  <c r="F14" i="3" l="1"/>
  <c r="B14" i="3"/>
  <c r="A15" i="3"/>
  <c r="C14" i="3"/>
  <c r="G14" i="3"/>
  <c r="D14" i="3"/>
  <c r="E14" i="3"/>
  <c r="G15" i="3" l="1"/>
  <c r="C15" i="3"/>
  <c r="F15" i="3"/>
  <c r="E15" i="3"/>
  <c r="A16" i="3"/>
  <c r="D15" i="3"/>
  <c r="B15" i="3"/>
  <c r="A17" i="3" l="1"/>
  <c r="D16" i="3"/>
  <c r="E16" i="3"/>
  <c r="C16" i="3"/>
  <c r="G16" i="3"/>
  <c r="B16" i="3"/>
  <c r="F16" i="3"/>
  <c r="E17" i="3" l="1"/>
  <c r="A18" i="3"/>
  <c r="C17" i="3"/>
  <c r="G17" i="3"/>
  <c r="B17" i="3"/>
  <c r="F17" i="3"/>
  <c r="D17" i="3"/>
  <c r="F18" i="3" l="1"/>
  <c r="B18" i="3"/>
  <c r="G18" i="3"/>
  <c r="E18" i="3"/>
  <c r="D18" i="3"/>
  <c r="A19" i="3"/>
  <c r="C18" i="3"/>
  <c r="G19" i="3" l="1"/>
  <c r="C19" i="3"/>
  <c r="E19" i="3"/>
  <c r="D19" i="3"/>
  <c r="A20" i="3"/>
  <c r="B19" i="3"/>
  <c r="F19" i="3"/>
  <c r="A21" i="3" l="1"/>
  <c r="D20" i="3"/>
  <c r="C20" i="3"/>
  <c r="G20" i="3"/>
  <c r="B20" i="3"/>
  <c r="F20" i="3"/>
  <c r="E20" i="3"/>
  <c r="E21" i="3" l="1"/>
  <c r="G21" i="3"/>
  <c r="B21" i="3"/>
  <c r="F21" i="3"/>
  <c r="D21" i="3"/>
  <c r="A22" i="3"/>
  <c r="C21" i="3"/>
  <c r="F22" i="3" l="1"/>
  <c r="B22" i="3"/>
  <c r="E22" i="3"/>
  <c r="D22" i="3"/>
  <c r="A23" i="3"/>
  <c r="C22" i="3"/>
  <c r="G22" i="3"/>
  <c r="G23" i="3" l="1"/>
  <c r="C23" i="3"/>
  <c r="D23" i="3"/>
  <c r="A24" i="3"/>
  <c r="B23" i="3"/>
  <c r="F23" i="3"/>
  <c r="E23" i="3"/>
  <c r="A25" i="3" l="1"/>
  <c r="D24" i="3"/>
  <c r="G24" i="3"/>
  <c r="B24" i="3"/>
  <c r="F24" i="3"/>
  <c r="E24" i="3"/>
  <c r="C24" i="3"/>
  <c r="E25" i="3" l="1"/>
  <c r="F25" i="3"/>
  <c r="D25" i="3"/>
  <c r="A26" i="3"/>
  <c r="C25" i="3"/>
  <c r="B25" i="3"/>
  <c r="G25" i="3"/>
  <c r="F26" i="3" l="1"/>
  <c r="B26" i="3"/>
  <c r="D26" i="3"/>
  <c r="A27" i="3"/>
  <c r="C26" i="3"/>
  <c r="G26" i="3"/>
  <c r="E26" i="3"/>
  <c r="G27" i="3" l="1"/>
  <c r="C27" i="3"/>
  <c r="A28" i="3"/>
  <c r="B27" i="3"/>
  <c r="F27" i="3"/>
  <c r="E27" i="3"/>
  <c r="D27" i="3"/>
  <c r="A29" i="3" l="1"/>
  <c r="D28" i="3"/>
  <c r="F28" i="3"/>
  <c r="E28" i="3"/>
  <c r="C28" i="3"/>
  <c r="B28" i="3"/>
  <c r="G28" i="3"/>
  <c r="E29" i="3" l="1"/>
  <c r="D29" i="3"/>
  <c r="A30" i="3"/>
  <c r="C29" i="3"/>
  <c r="G29" i="3"/>
  <c r="B29" i="3"/>
  <c r="F29" i="3"/>
  <c r="F30" i="3" l="1"/>
  <c r="B30" i="3"/>
  <c r="A31" i="3"/>
  <c r="C30" i="3"/>
  <c r="G30" i="3"/>
  <c r="E30" i="3"/>
  <c r="D30" i="3"/>
  <c r="G31" i="3" l="1"/>
  <c r="C31" i="3"/>
  <c r="F31" i="3"/>
  <c r="E31" i="3"/>
  <c r="D31" i="3"/>
  <c r="B31" i="3"/>
  <c r="A32" i="3"/>
  <c r="A33" i="3" l="1"/>
  <c r="D32" i="3"/>
  <c r="E32" i="3"/>
  <c r="C32" i="3"/>
  <c r="G32" i="3"/>
  <c r="B32" i="3"/>
  <c r="F32" i="3"/>
  <c r="E33" i="3" l="1"/>
  <c r="A34" i="3"/>
  <c r="C33" i="3"/>
  <c r="G33" i="3"/>
  <c r="B33" i="3"/>
  <c r="F33" i="3"/>
  <c r="D33" i="3"/>
  <c r="F34" i="3" l="1"/>
  <c r="B34" i="3"/>
  <c r="G34" i="3"/>
  <c r="E34" i="3"/>
  <c r="D34" i="3"/>
  <c r="C34" i="3"/>
  <c r="A35" i="3"/>
  <c r="G35" i="3" l="1"/>
  <c r="C35" i="3"/>
  <c r="E35" i="3"/>
  <c r="D35" i="3"/>
  <c r="A36" i="3"/>
  <c r="B35" i="3"/>
  <c r="F35" i="3"/>
  <c r="A37" i="3" l="1"/>
  <c r="D36" i="3"/>
  <c r="C36" i="3"/>
  <c r="G36" i="3"/>
  <c r="B36" i="3"/>
  <c r="F36" i="3"/>
  <c r="E36" i="3"/>
  <c r="E37" i="3" l="1"/>
  <c r="G37" i="3"/>
  <c r="B37" i="3"/>
  <c r="F37" i="3"/>
  <c r="D37" i="3"/>
  <c r="C37" i="3"/>
  <c r="A38" i="3"/>
  <c r="F38" i="3" l="1"/>
  <c r="B38" i="3"/>
  <c r="E38" i="3"/>
  <c r="D38" i="3"/>
  <c r="A39" i="3"/>
  <c r="C38" i="3"/>
  <c r="G38" i="3"/>
  <c r="G39" i="3" l="1"/>
  <c r="C39" i="3"/>
  <c r="D39" i="3"/>
  <c r="A40" i="3"/>
  <c r="B39" i="3"/>
  <c r="F39" i="3"/>
  <c r="E39" i="3"/>
  <c r="A41" i="3" l="1"/>
  <c r="D40" i="3"/>
  <c r="G40" i="3"/>
  <c r="B40" i="3"/>
  <c r="F40" i="3"/>
  <c r="E40" i="3"/>
  <c r="C40" i="3"/>
  <c r="E41" i="3" l="1"/>
  <c r="F41" i="3"/>
  <c r="D41" i="3"/>
  <c r="A42" i="3"/>
  <c r="C41" i="3"/>
  <c r="G41" i="3"/>
  <c r="B41" i="3"/>
  <c r="F42" i="3" l="1"/>
  <c r="B42" i="3"/>
  <c r="D42" i="3"/>
  <c r="A43" i="3"/>
  <c r="C42" i="3"/>
  <c r="G42" i="3"/>
  <c r="E42" i="3"/>
  <c r="G43" i="3" l="1"/>
  <c r="C43" i="3"/>
  <c r="A44" i="3"/>
  <c r="B43" i="3"/>
  <c r="F43" i="3"/>
  <c r="E43" i="3"/>
  <c r="D43" i="3"/>
  <c r="A45" i="3" l="1"/>
  <c r="D44" i="3"/>
  <c r="F44" i="3"/>
  <c r="E44" i="3"/>
  <c r="C44" i="3"/>
  <c r="G44" i="3"/>
  <c r="B44" i="3"/>
  <c r="E45" i="3" l="1"/>
  <c r="D45" i="3"/>
  <c r="A46" i="3"/>
  <c r="C45" i="3"/>
  <c r="G45" i="3"/>
  <c r="B45" i="3"/>
  <c r="F45" i="3"/>
  <c r="F46" i="3" l="1"/>
  <c r="B46" i="3"/>
  <c r="A47" i="3"/>
  <c r="C46" i="3"/>
  <c r="G46" i="3"/>
  <c r="E46" i="3"/>
  <c r="D46" i="3"/>
  <c r="G47" i="3" l="1"/>
  <c r="C47" i="3"/>
  <c r="F47" i="3"/>
  <c r="E47" i="3"/>
  <c r="D47" i="3"/>
  <c r="A48" i="3"/>
  <c r="B47" i="3"/>
  <c r="A49" i="3" l="1"/>
  <c r="D48" i="3"/>
  <c r="E48" i="3"/>
  <c r="C48" i="3"/>
  <c r="G48" i="3"/>
  <c r="B48" i="3"/>
  <c r="F48" i="3"/>
  <c r="E49" i="3" l="1"/>
  <c r="A50" i="3"/>
  <c r="C49" i="3"/>
  <c r="G49" i="3"/>
  <c r="B49" i="3"/>
  <c r="F49" i="3"/>
  <c r="D49" i="3"/>
  <c r="F50" i="3" l="1"/>
  <c r="B50" i="3"/>
  <c r="G50" i="3"/>
  <c r="E50" i="3"/>
  <c r="D50" i="3"/>
  <c r="A51" i="3"/>
  <c r="C50" i="3"/>
  <c r="G51" i="3" l="1"/>
  <c r="C51" i="3"/>
  <c r="F51" i="3"/>
  <c r="B51" i="3"/>
  <c r="A52" i="3"/>
  <c r="E51" i="3"/>
  <c r="D51" i="3"/>
  <c r="A53" i="3" l="1"/>
  <c r="D52" i="3"/>
  <c r="G52" i="3"/>
  <c r="C52" i="3"/>
  <c r="F52" i="3"/>
  <c r="E52" i="3"/>
  <c r="B52" i="3"/>
  <c r="E53" i="3" l="1"/>
  <c r="A54" i="3"/>
  <c r="D53" i="3"/>
  <c r="B53" i="3"/>
  <c r="G53" i="3"/>
  <c r="F53" i="3"/>
  <c r="C53" i="3"/>
  <c r="F54" i="3" l="1"/>
  <c r="B54" i="3"/>
  <c r="E54" i="3"/>
  <c r="C54" i="3"/>
  <c r="A55" i="3"/>
  <c r="G54" i="3"/>
  <c r="D54" i="3"/>
  <c r="G55" i="3" l="1"/>
  <c r="C55" i="3"/>
  <c r="F55" i="3"/>
  <c r="B55" i="3"/>
  <c r="D55" i="3"/>
  <c r="A56" i="3"/>
  <c r="E55" i="3"/>
  <c r="A57" i="3" l="1"/>
  <c r="D56" i="3"/>
  <c r="G56" i="3"/>
  <c r="C56" i="3"/>
  <c r="E56" i="3"/>
  <c r="B56" i="3"/>
  <c r="F56" i="3"/>
  <c r="E57" i="3" l="1"/>
  <c r="A58" i="3"/>
  <c r="D57" i="3"/>
  <c r="F57" i="3"/>
  <c r="C57" i="3"/>
  <c r="B57" i="3"/>
  <c r="G57" i="3"/>
  <c r="F58" i="3" l="1"/>
  <c r="B58" i="3"/>
  <c r="E58" i="3"/>
  <c r="G58" i="3"/>
  <c r="D58" i="3"/>
  <c r="C58" i="3"/>
  <c r="A59" i="3"/>
  <c r="G59" i="3" l="1"/>
  <c r="C59" i="3"/>
  <c r="F59" i="3"/>
  <c r="B59" i="3"/>
  <c r="A60" i="3"/>
  <c r="E59" i="3"/>
  <c r="D59" i="3"/>
  <c r="A61" i="3" l="1"/>
  <c r="D60" i="3"/>
  <c r="G60" i="3"/>
  <c r="C60" i="3"/>
  <c r="F60" i="3"/>
  <c r="E60" i="3"/>
  <c r="B60" i="3"/>
  <c r="E61" i="3" l="1"/>
  <c r="A62" i="3"/>
  <c r="D61" i="3"/>
  <c r="B61" i="3"/>
  <c r="G61" i="3"/>
  <c r="F61" i="3"/>
  <c r="C61" i="3"/>
  <c r="F62" i="3" l="1"/>
  <c r="B62" i="3"/>
  <c r="E62" i="3"/>
  <c r="C62" i="3"/>
  <c r="A63" i="3"/>
  <c r="G62" i="3"/>
  <c r="D62" i="3"/>
  <c r="G63" i="3" l="1"/>
  <c r="C63" i="3"/>
  <c r="F63" i="3"/>
  <c r="B63" i="3"/>
  <c r="D63" i="3"/>
  <c r="A64" i="3"/>
  <c r="E63" i="3"/>
  <c r="A65" i="3" l="1"/>
  <c r="D64" i="3"/>
  <c r="G64" i="3"/>
  <c r="C64" i="3"/>
  <c r="E64" i="3"/>
  <c r="B64" i="3"/>
  <c r="F64" i="3"/>
  <c r="E65" i="3" l="1"/>
  <c r="A66" i="3"/>
  <c r="D65" i="3"/>
  <c r="F65" i="3"/>
  <c r="C65" i="3"/>
  <c r="B65" i="3"/>
  <c r="G65" i="3"/>
  <c r="F66" i="3" l="1"/>
  <c r="B66" i="3"/>
  <c r="E66" i="3"/>
  <c r="G66" i="3"/>
  <c r="D66" i="3"/>
  <c r="C66" i="3"/>
  <c r="A67" i="3"/>
  <c r="G67" i="3" l="1"/>
  <c r="C67" i="3"/>
  <c r="F67" i="3"/>
  <c r="B67" i="3"/>
  <c r="A68" i="3"/>
  <c r="E67" i="3"/>
  <c r="D67" i="3"/>
  <c r="A69" i="3" l="1"/>
  <c r="D68" i="3"/>
  <c r="G68" i="3"/>
  <c r="C68" i="3"/>
  <c r="F68" i="3"/>
  <c r="E68" i="3"/>
  <c r="B68" i="3"/>
  <c r="E69" i="3" l="1"/>
  <c r="A70" i="3"/>
  <c r="D69" i="3"/>
  <c r="B69" i="3"/>
  <c r="G69" i="3"/>
  <c r="F69" i="3"/>
  <c r="C69" i="3"/>
  <c r="F70" i="3" l="1"/>
  <c r="B70" i="3"/>
  <c r="E70" i="3"/>
  <c r="C70" i="3"/>
  <c r="A71" i="3"/>
  <c r="G70" i="3"/>
  <c r="D70" i="3"/>
  <c r="G71" i="3" l="1"/>
  <c r="C71" i="3"/>
  <c r="F71" i="3"/>
  <c r="B71" i="3"/>
  <c r="D71" i="3"/>
  <c r="A72" i="3"/>
  <c r="E71" i="3"/>
  <c r="A73" i="3" l="1"/>
  <c r="D72" i="3"/>
  <c r="G72" i="3"/>
  <c r="C72" i="3"/>
  <c r="E72" i="3"/>
  <c r="B72" i="3"/>
  <c r="F72" i="3"/>
  <c r="E73" i="3" l="1"/>
  <c r="A74" i="3"/>
  <c r="D73" i="3"/>
  <c r="F73" i="3"/>
  <c r="C73" i="3"/>
  <c r="B73" i="3"/>
  <c r="G73" i="3"/>
  <c r="F74" i="3" l="1"/>
  <c r="B74" i="3"/>
  <c r="E74" i="3"/>
  <c r="G74" i="3"/>
  <c r="D74" i="3"/>
  <c r="C74" i="3"/>
  <c r="A75" i="3"/>
  <c r="G75" i="3" l="1"/>
  <c r="C75" i="3"/>
  <c r="F75" i="3"/>
  <c r="B75" i="3"/>
  <c r="A76" i="3"/>
  <c r="E75" i="3"/>
  <c r="D75" i="3"/>
  <c r="A77" i="3" l="1"/>
  <c r="D76" i="3"/>
  <c r="G76" i="3"/>
  <c r="C76" i="3"/>
  <c r="F76" i="3"/>
  <c r="E76" i="3"/>
  <c r="B76" i="3"/>
  <c r="E77" i="3" l="1"/>
  <c r="A78" i="3"/>
  <c r="D77" i="3"/>
  <c r="B77" i="3"/>
  <c r="G77" i="3"/>
  <c r="F77" i="3"/>
  <c r="C77" i="3"/>
  <c r="F78" i="3" l="1"/>
  <c r="B78" i="3"/>
  <c r="E78" i="3"/>
  <c r="C78" i="3"/>
  <c r="A79" i="3"/>
  <c r="G78" i="3"/>
  <c r="D78" i="3"/>
  <c r="G79" i="3" l="1"/>
  <c r="C79" i="3"/>
  <c r="F79" i="3"/>
  <c r="B79" i="3"/>
  <c r="D79" i="3"/>
  <c r="A80" i="3"/>
  <c r="E79" i="3"/>
  <c r="A81" i="3" l="1"/>
  <c r="D80" i="3"/>
  <c r="G80" i="3"/>
  <c r="C80" i="3"/>
  <c r="E80" i="3"/>
  <c r="B80" i="3"/>
  <c r="F80" i="3"/>
  <c r="E81" i="3" l="1"/>
  <c r="A82" i="3"/>
  <c r="D81" i="3"/>
  <c r="F81" i="3"/>
  <c r="C81" i="3"/>
  <c r="B81" i="3"/>
  <c r="G81" i="3"/>
  <c r="F82" i="3" l="1"/>
  <c r="B82" i="3"/>
  <c r="E82" i="3"/>
  <c r="G82" i="3"/>
  <c r="D82" i="3"/>
  <c r="C82" i="3"/>
  <c r="A83" i="3"/>
  <c r="G83" i="3" l="1"/>
  <c r="C83" i="3"/>
  <c r="F83" i="3"/>
  <c r="B83" i="3"/>
  <c r="A84" i="3"/>
  <c r="E83" i="3"/>
  <c r="D83" i="3"/>
  <c r="A85" i="3" l="1"/>
  <c r="D84" i="3"/>
  <c r="G84" i="3"/>
  <c r="C84" i="3"/>
  <c r="F84" i="3"/>
  <c r="E84" i="3"/>
  <c r="B84" i="3"/>
  <c r="E85" i="3" l="1"/>
  <c r="A86" i="3"/>
  <c r="D85" i="3"/>
  <c r="B85" i="3"/>
  <c r="G85" i="3"/>
  <c r="F85" i="3"/>
  <c r="C85" i="3"/>
  <c r="F86" i="3" l="1"/>
  <c r="B86" i="3"/>
  <c r="E86" i="3"/>
  <c r="C86" i="3"/>
  <c r="A87" i="3"/>
  <c r="G86" i="3"/>
  <c r="D86" i="3"/>
  <c r="G87" i="3" l="1"/>
  <c r="C87" i="3"/>
  <c r="F87" i="3"/>
  <c r="B87" i="3"/>
  <c r="D87" i="3"/>
  <c r="A88" i="3"/>
  <c r="E87" i="3"/>
  <c r="A89" i="3" l="1"/>
  <c r="D88" i="3"/>
  <c r="G88" i="3"/>
  <c r="C88" i="3"/>
  <c r="E88" i="3"/>
  <c r="B88" i="3"/>
  <c r="F88" i="3"/>
  <c r="E89" i="3" l="1"/>
  <c r="A90" i="3"/>
  <c r="D89" i="3"/>
  <c r="F89" i="3"/>
  <c r="C89" i="3"/>
  <c r="B89" i="3"/>
  <c r="G89" i="3"/>
  <c r="F90" i="3" l="1"/>
  <c r="B90" i="3"/>
  <c r="E90" i="3"/>
  <c r="G90" i="3"/>
  <c r="D90" i="3"/>
  <c r="C90" i="3"/>
  <c r="A91" i="3"/>
  <c r="G91" i="3" l="1"/>
  <c r="C91" i="3"/>
  <c r="F91" i="3"/>
  <c r="B91" i="3"/>
  <c r="A92" i="3"/>
  <c r="E91" i="3"/>
  <c r="D91" i="3"/>
  <c r="A93" i="3" l="1"/>
  <c r="D92" i="3"/>
  <c r="G92" i="3"/>
  <c r="C92" i="3"/>
  <c r="F92" i="3"/>
  <c r="E92" i="3"/>
  <c r="B92" i="3"/>
  <c r="E93" i="3" l="1"/>
  <c r="A94" i="3"/>
  <c r="D93" i="3"/>
  <c r="B93" i="3"/>
  <c r="G93" i="3"/>
  <c r="F93" i="3"/>
  <c r="C93" i="3"/>
  <c r="F94" i="3" l="1"/>
  <c r="B94" i="3"/>
  <c r="E94" i="3"/>
  <c r="C94" i="3"/>
  <c r="A95" i="3"/>
  <c r="G94" i="3"/>
  <c r="D94" i="3"/>
  <c r="G95" i="3" l="1"/>
  <c r="C95" i="3"/>
  <c r="F95" i="3"/>
  <c r="B95" i="3"/>
  <c r="D95" i="3"/>
  <c r="A96" i="3"/>
  <c r="E95" i="3"/>
  <c r="A97" i="3" l="1"/>
  <c r="D96" i="3"/>
  <c r="G96" i="3"/>
  <c r="C96" i="3"/>
  <c r="E96" i="3"/>
  <c r="B96" i="3"/>
  <c r="F96" i="3"/>
  <c r="E97" i="3" l="1"/>
  <c r="A98" i="3"/>
  <c r="D97" i="3"/>
  <c r="F97" i="3"/>
  <c r="C97" i="3"/>
  <c r="B97" i="3"/>
  <c r="G97" i="3"/>
  <c r="F98" i="3" l="1"/>
  <c r="B98" i="3"/>
  <c r="E98" i="3"/>
  <c r="G98" i="3"/>
  <c r="D98" i="3"/>
  <c r="C98" i="3"/>
  <c r="A99" i="3"/>
  <c r="G99" i="3" l="1"/>
  <c r="C99" i="3"/>
  <c r="F99" i="3"/>
  <c r="B99" i="3"/>
  <c r="A100" i="3"/>
  <c r="E99" i="3"/>
  <c r="D99" i="3"/>
  <c r="A101" i="3" l="1"/>
  <c r="D100" i="3"/>
  <c r="G100" i="3"/>
  <c r="C100" i="3"/>
  <c r="F100" i="3"/>
  <c r="E100" i="3"/>
  <c r="B100" i="3"/>
  <c r="E101" i="3" l="1"/>
  <c r="A102" i="3"/>
  <c r="D101" i="3"/>
  <c r="B101" i="3"/>
  <c r="G101" i="3"/>
  <c r="F101" i="3"/>
  <c r="C101" i="3"/>
  <c r="F102" i="3" l="1"/>
  <c r="B102" i="3"/>
  <c r="E102" i="3"/>
  <c r="C102" i="3"/>
  <c r="A103" i="3"/>
  <c r="G102" i="3"/>
  <c r="D102" i="3"/>
  <c r="G103" i="3" l="1"/>
  <c r="C103" i="3"/>
  <c r="F103" i="3"/>
  <c r="B103" i="3"/>
  <c r="D103" i="3"/>
  <c r="A104" i="3"/>
  <c r="E103" i="3"/>
  <c r="A105" i="3" l="1"/>
  <c r="D104" i="3"/>
  <c r="G104" i="3"/>
  <c r="C104" i="3"/>
  <c r="E104" i="3"/>
  <c r="B104" i="3"/>
  <c r="F104" i="3"/>
  <c r="E105" i="3" l="1"/>
  <c r="A106" i="3"/>
  <c r="D105" i="3"/>
  <c r="F105" i="3"/>
  <c r="C105" i="3"/>
  <c r="B105" i="3"/>
  <c r="G105" i="3"/>
  <c r="F106" i="3" l="1"/>
  <c r="B106" i="3"/>
  <c r="E106" i="3"/>
  <c r="G106" i="3"/>
  <c r="D106" i="3"/>
  <c r="C106" i="3"/>
  <c r="A107" i="3"/>
  <c r="G107" i="3" l="1"/>
  <c r="C107" i="3"/>
  <c r="F107" i="3"/>
  <c r="B107" i="3"/>
  <c r="A108" i="3"/>
  <c r="E107" i="3"/>
  <c r="D107" i="3"/>
  <c r="A109" i="3" l="1"/>
  <c r="D108" i="3"/>
  <c r="G108" i="3"/>
  <c r="C108" i="3"/>
  <c r="F108" i="3"/>
  <c r="E108" i="3"/>
  <c r="B108" i="3"/>
  <c r="E109" i="3" l="1"/>
  <c r="A110" i="3"/>
  <c r="D109" i="3"/>
  <c r="B109" i="3"/>
  <c r="G109" i="3"/>
  <c r="F109" i="3"/>
  <c r="C109" i="3"/>
  <c r="F110" i="3" l="1"/>
  <c r="B110" i="3"/>
  <c r="E110" i="3"/>
  <c r="C110" i="3"/>
  <c r="A111" i="3"/>
  <c r="G110" i="3"/>
  <c r="D110" i="3"/>
  <c r="G111" i="3" l="1"/>
  <c r="C111" i="3"/>
  <c r="F111" i="3"/>
  <c r="B111" i="3"/>
  <c r="D111" i="3"/>
  <c r="A112" i="3"/>
  <c r="E111" i="3"/>
  <c r="A113" i="3" l="1"/>
  <c r="D112" i="3"/>
  <c r="G112" i="3"/>
  <c r="C112" i="3"/>
  <c r="E112" i="3"/>
  <c r="B112" i="3"/>
  <c r="F112" i="3"/>
  <c r="E113" i="3" l="1"/>
  <c r="A114" i="3"/>
  <c r="D113" i="3"/>
  <c r="F113" i="3"/>
  <c r="C113" i="3"/>
  <c r="B113" i="3"/>
  <c r="G113" i="3"/>
  <c r="E114" i="3" l="1"/>
  <c r="G114" i="3"/>
  <c r="B114" i="3"/>
  <c r="F114" i="3"/>
  <c r="A115" i="3"/>
  <c r="D114" i="3"/>
  <c r="C114" i="3"/>
  <c r="F115" i="3" l="1"/>
  <c r="B115" i="3"/>
  <c r="E115" i="3"/>
  <c r="D115" i="3"/>
  <c r="A116" i="3"/>
  <c r="G115" i="3"/>
  <c r="C115" i="3"/>
  <c r="G116" i="3" l="1"/>
  <c r="C116" i="3"/>
  <c r="D116" i="3"/>
  <c r="A117" i="3"/>
  <c r="B116" i="3"/>
  <c r="E116" i="3"/>
  <c r="F116" i="3"/>
  <c r="A118" i="3" l="1"/>
  <c r="D117" i="3"/>
  <c r="G117" i="3"/>
  <c r="B117" i="3"/>
  <c r="F117" i="3"/>
  <c r="E117" i="3"/>
  <c r="C117" i="3"/>
  <c r="E118" i="3" l="1"/>
  <c r="F118" i="3"/>
  <c r="D118" i="3"/>
  <c r="B118" i="3"/>
  <c r="A119" i="3"/>
  <c r="G118" i="3"/>
  <c r="C118" i="3"/>
  <c r="F119" i="3" l="1"/>
  <c r="B119" i="3"/>
  <c r="D119" i="3"/>
  <c r="A120" i="3"/>
  <c r="C119" i="3"/>
  <c r="E119" i="3"/>
  <c r="G119" i="3"/>
  <c r="G120" i="3" l="1"/>
  <c r="C120" i="3"/>
  <c r="A121" i="3"/>
  <c r="B120" i="3"/>
  <c r="F120" i="3"/>
  <c r="E120" i="3"/>
  <c r="D120" i="3"/>
  <c r="A122" i="3" l="1"/>
  <c r="D121" i="3"/>
  <c r="F121" i="3"/>
  <c r="E121" i="3"/>
  <c r="B121" i="3"/>
  <c r="G121" i="3"/>
  <c r="C121" i="3"/>
  <c r="E122" i="3" l="1"/>
  <c r="D122" i="3"/>
  <c r="A123" i="3"/>
  <c r="C122" i="3"/>
  <c r="F122" i="3"/>
  <c r="B122" i="3"/>
  <c r="G122" i="3"/>
  <c r="F123" i="3" l="1"/>
  <c r="B123" i="3"/>
  <c r="A124" i="3"/>
  <c r="C123" i="3"/>
  <c r="G123" i="3"/>
  <c r="E123" i="3"/>
  <c r="D123" i="3"/>
  <c r="G124" i="3" l="1"/>
  <c r="C124" i="3"/>
  <c r="F124" i="3"/>
  <c r="E124" i="3"/>
  <c r="B124" i="3"/>
  <c r="A125" i="3"/>
  <c r="D124" i="3"/>
  <c r="A126" i="3" l="1"/>
  <c r="D125" i="3"/>
  <c r="E125" i="3"/>
  <c r="C125" i="3"/>
  <c r="F125" i="3"/>
  <c r="B125" i="3"/>
  <c r="G125" i="3"/>
  <c r="E126" i="3" l="1"/>
  <c r="A127" i="3"/>
  <c r="C126" i="3"/>
  <c r="G126" i="3"/>
  <c r="B126" i="3"/>
  <c r="F126" i="3"/>
  <c r="D126" i="3"/>
  <c r="F127" i="3" l="1"/>
  <c r="B127" i="3"/>
  <c r="G127" i="3"/>
  <c r="E127" i="3"/>
  <c r="C127" i="3"/>
  <c r="A128" i="3"/>
  <c r="D127" i="3"/>
  <c r="G128" i="3" l="1"/>
  <c r="C128" i="3"/>
  <c r="E128" i="3"/>
  <c r="D128" i="3"/>
  <c r="F128" i="3"/>
  <c r="B128" i="3"/>
  <c r="A129" i="3"/>
  <c r="A130" i="3" l="1"/>
  <c r="D129" i="3"/>
  <c r="C129" i="3"/>
  <c r="G129" i="3"/>
  <c r="B129" i="3"/>
  <c r="F129" i="3"/>
  <c r="E129" i="3"/>
  <c r="E130" i="3" l="1"/>
  <c r="G130" i="3"/>
  <c r="B130" i="3"/>
  <c r="F130" i="3"/>
  <c r="C130" i="3"/>
  <c r="A131" i="3"/>
  <c r="D130" i="3"/>
  <c r="F131" i="3" l="1"/>
  <c r="B131" i="3"/>
  <c r="E131" i="3"/>
  <c r="D131" i="3"/>
  <c r="G131" i="3"/>
  <c r="C131" i="3"/>
  <c r="A132" i="3"/>
  <c r="G132" i="3" l="1"/>
  <c r="C132" i="3"/>
  <c r="D132" i="3"/>
  <c r="A133" i="3"/>
  <c r="B132" i="3"/>
  <c r="F132" i="3"/>
  <c r="E132" i="3"/>
  <c r="A134" i="3" l="1"/>
  <c r="D133" i="3"/>
  <c r="G133" i="3"/>
  <c r="B133" i="3"/>
  <c r="F133" i="3"/>
  <c r="C133" i="3"/>
  <c r="E133" i="3"/>
  <c r="E134" i="3" l="1"/>
  <c r="F134" i="3"/>
  <c r="D134" i="3"/>
  <c r="G134" i="3"/>
  <c r="C134" i="3"/>
  <c r="B134" i="3"/>
  <c r="A135" i="3"/>
  <c r="F135" i="3" l="1"/>
  <c r="B135" i="3"/>
  <c r="D135" i="3"/>
  <c r="A136" i="3"/>
  <c r="C135" i="3"/>
  <c r="G135" i="3"/>
  <c r="E135" i="3"/>
  <c r="G136" i="3" l="1"/>
  <c r="C136" i="3"/>
  <c r="A137" i="3"/>
  <c r="B136" i="3"/>
  <c r="F136" i="3"/>
  <c r="D136" i="3"/>
  <c r="E136" i="3"/>
  <c r="A138" i="3" l="1"/>
  <c r="D137" i="3"/>
  <c r="F137" i="3"/>
  <c r="E137" i="3"/>
  <c r="G137" i="3"/>
  <c r="C137" i="3"/>
  <c r="B137" i="3"/>
  <c r="E138" i="3" l="1"/>
  <c r="D138" i="3"/>
  <c r="A139" i="3"/>
  <c r="C138" i="3"/>
  <c r="G138" i="3"/>
  <c r="F138" i="3"/>
  <c r="B138" i="3"/>
  <c r="F139" i="3" l="1"/>
  <c r="B139" i="3"/>
  <c r="A140" i="3"/>
  <c r="C139" i="3"/>
  <c r="G139" i="3"/>
  <c r="D139" i="3"/>
  <c r="E139" i="3"/>
  <c r="G140" i="3" l="1"/>
  <c r="C140" i="3"/>
  <c r="F140" i="3"/>
  <c r="E140" i="3"/>
  <c r="A141" i="3"/>
  <c r="D140" i="3"/>
  <c r="B140" i="3"/>
  <c r="A142" i="3" l="1"/>
  <c r="D141" i="3"/>
  <c r="E141" i="3"/>
  <c r="C141" i="3"/>
  <c r="G141" i="3"/>
  <c r="F141" i="3"/>
  <c r="B141" i="3"/>
  <c r="E142" i="3" l="1"/>
  <c r="A143" i="3"/>
  <c r="C142" i="3"/>
  <c r="G142" i="3"/>
  <c r="B142" i="3"/>
  <c r="D142" i="3"/>
  <c r="F142" i="3"/>
  <c r="F143" i="3" l="1"/>
  <c r="B143" i="3"/>
  <c r="G143" i="3"/>
  <c r="E143" i="3"/>
  <c r="A144" i="3"/>
  <c r="D143" i="3"/>
  <c r="C143" i="3"/>
  <c r="G144" i="3" l="1"/>
  <c r="C144" i="3"/>
  <c r="E144" i="3"/>
  <c r="D144" i="3"/>
  <c r="A145" i="3"/>
  <c r="F144" i="3"/>
  <c r="B144" i="3"/>
  <c r="A146" i="3" l="1"/>
  <c r="D145" i="3"/>
  <c r="C145" i="3"/>
  <c r="G145" i="3"/>
  <c r="B145" i="3"/>
  <c r="E145" i="3"/>
  <c r="F145" i="3"/>
  <c r="E146" i="3" l="1"/>
  <c r="G146" i="3"/>
  <c r="B146" i="3"/>
  <c r="F146" i="3"/>
  <c r="A147" i="3"/>
  <c r="D146" i="3"/>
  <c r="C146" i="3"/>
  <c r="F147" i="3" l="1"/>
  <c r="B147" i="3"/>
  <c r="E147" i="3"/>
  <c r="D147" i="3"/>
  <c r="A148" i="3"/>
  <c r="G147" i="3"/>
  <c r="C147" i="3"/>
  <c r="G148" i="3" l="1"/>
  <c r="C148" i="3"/>
  <c r="D148" i="3"/>
  <c r="A149" i="3"/>
  <c r="B148" i="3"/>
  <c r="E148" i="3"/>
  <c r="F148" i="3"/>
  <c r="A150" i="3" l="1"/>
  <c r="D149" i="3"/>
  <c r="G149" i="3"/>
  <c r="B149" i="3"/>
  <c r="F149" i="3"/>
  <c r="E149" i="3"/>
  <c r="C149" i="3"/>
  <c r="E150" i="3" l="1"/>
  <c r="F150" i="3"/>
  <c r="D150" i="3"/>
  <c r="B150" i="3"/>
  <c r="A151" i="3"/>
  <c r="G150" i="3"/>
  <c r="C150" i="3"/>
  <c r="F151" i="3" l="1"/>
  <c r="B151" i="3"/>
  <c r="D151" i="3"/>
  <c r="A152" i="3"/>
  <c r="C151" i="3"/>
  <c r="E151" i="3"/>
  <c r="G151" i="3"/>
  <c r="G152" i="3" l="1"/>
  <c r="C152" i="3"/>
  <c r="A153" i="3"/>
  <c r="B152" i="3"/>
  <c r="F152" i="3"/>
  <c r="E152" i="3"/>
  <c r="D152" i="3"/>
  <c r="A154" i="3" l="1"/>
  <c r="D153" i="3"/>
  <c r="F153" i="3"/>
  <c r="E153" i="3"/>
  <c r="B153" i="3"/>
  <c r="G153" i="3"/>
  <c r="C153" i="3"/>
  <c r="E154" i="3" l="1"/>
  <c r="D154" i="3"/>
  <c r="A155" i="3"/>
  <c r="C154" i="3"/>
  <c r="F154" i="3"/>
  <c r="B154" i="3"/>
  <c r="G154" i="3"/>
  <c r="F155" i="3" l="1"/>
  <c r="B155" i="3"/>
  <c r="A156" i="3"/>
  <c r="C155" i="3"/>
  <c r="G155" i="3"/>
  <c r="E155" i="3"/>
  <c r="D155" i="3"/>
  <c r="G156" i="3" l="1"/>
  <c r="C156" i="3"/>
  <c r="F156" i="3"/>
  <c r="E156" i="3"/>
  <c r="B156" i="3"/>
  <c r="A157" i="3"/>
  <c r="D156" i="3"/>
  <c r="A158" i="3" l="1"/>
  <c r="D157" i="3"/>
  <c r="E157" i="3"/>
  <c r="C157" i="3"/>
  <c r="F157" i="3"/>
  <c r="B157" i="3"/>
  <c r="G157" i="3"/>
  <c r="E158" i="3" l="1"/>
  <c r="A159" i="3"/>
  <c r="C158" i="3"/>
  <c r="G158" i="3"/>
  <c r="B158" i="3"/>
  <c r="F158" i="3"/>
  <c r="D158" i="3"/>
  <c r="F159" i="3" l="1"/>
  <c r="B159" i="3"/>
  <c r="G159" i="3"/>
  <c r="E159" i="3"/>
  <c r="C159" i="3"/>
  <c r="A160" i="3"/>
  <c r="D159" i="3"/>
  <c r="G160" i="3" l="1"/>
  <c r="C160" i="3"/>
  <c r="E160" i="3"/>
  <c r="D160" i="3"/>
  <c r="F160" i="3"/>
  <c r="B160" i="3"/>
  <c r="A161" i="3"/>
  <c r="A162" i="3" l="1"/>
  <c r="D161" i="3"/>
  <c r="C161" i="3"/>
  <c r="G161" i="3"/>
  <c r="B161" i="3"/>
  <c r="F161" i="3"/>
  <c r="E161" i="3"/>
  <c r="E162" i="3" l="1"/>
  <c r="G162" i="3"/>
  <c r="B162" i="3"/>
  <c r="F162" i="3"/>
  <c r="C162" i="3"/>
  <c r="A163" i="3"/>
  <c r="D162" i="3"/>
  <c r="F163" i="3" l="1"/>
  <c r="B163" i="3"/>
  <c r="E163" i="3"/>
  <c r="D163" i="3"/>
  <c r="G163" i="3"/>
  <c r="C163" i="3"/>
  <c r="A164" i="3"/>
  <c r="G164" i="3" l="1"/>
  <c r="C164" i="3"/>
  <c r="D164" i="3"/>
  <c r="A165" i="3"/>
  <c r="B164" i="3"/>
  <c r="F164" i="3"/>
  <c r="E164" i="3"/>
  <c r="A166" i="3" l="1"/>
  <c r="D165" i="3"/>
  <c r="G165" i="3"/>
  <c r="B165" i="3"/>
  <c r="F165" i="3"/>
  <c r="C165" i="3"/>
  <c r="E165" i="3"/>
  <c r="E166" i="3" l="1"/>
  <c r="F166" i="3"/>
  <c r="D166" i="3"/>
  <c r="G166" i="3"/>
  <c r="C166" i="3"/>
  <c r="B166" i="3"/>
  <c r="A167" i="3"/>
  <c r="F167" i="3" l="1"/>
  <c r="B167" i="3"/>
  <c r="E167" i="3"/>
  <c r="D167" i="3"/>
  <c r="C167" i="3"/>
  <c r="A168" i="3"/>
  <c r="G167" i="3"/>
  <c r="G168" i="3" l="1"/>
  <c r="C168" i="3"/>
  <c r="F168" i="3"/>
  <c r="B168" i="3"/>
  <c r="E168" i="3"/>
  <c r="D168" i="3"/>
  <c r="A169" i="3"/>
  <c r="A170" i="3" l="1"/>
  <c r="D169" i="3"/>
  <c r="G169" i="3"/>
  <c r="C169" i="3"/>
  <c r="F169" i="3"/>
  <c r="E169" i="3"/>
  <c r="B169" i="3"/>
  <c r="E170" i="3" l="1"/>
  <c r="A171" i="3"/>
  <c r="D170" i="3"/>
  <c r="G170" i="3"/>
  <c r="F170" i="3"/>
  <c r="C170" i="3"/>
  <c r="B170" i="3"/>
  <c r="F171" i="3" l="1"/>
  <c r="B171" i="3"/>
  <c r="E171" i="3"/>
  <c r="A172" i="3"/>
  <c r="G171" i="3"/>
  <c r="C171" i="3"/>
  <c r="D171" i="3"/>
  <c r="G172" i="3" l="1"/>
  <c r="C172" i="3"/>
  <c r="F172" i="3"/>
  <c r="B172" i="3"/>
  <c r="A173" i="3"/>
  <c r="E172" i="3"/>
  <c r="D172" i="3"/>
  <c r="A174" i="3" l="1"/>
  <c r="D173" i="3"/>
  <c r="G173" i="3"/>
  <c r="C173" i="3"/>
  <c r="B173" i="3"/>
  <c r="E173" i="3"/>
  <c r="F173" i="3"/>
  <c r="E174" i="3" l="1"/>
  <c r="A175" i="3"/>
  <c r="D174" i="3"/>
  <c r="C174" i="3"/>
  <c r="B174" i="3"/>
  <c r="G174" i="3"/>
  <c r="F174" i="3"/>
  <c r="F175" i="3" l="1"/>
  <c r="B175" i="3"/>
  <c r="E175" i="3"/>
  <c r="D175" i="3"/>
  <c r="C175" i="3"/>
  <c r="G175" i="3"/>
  <c r="A176" i="3"/>
  <c r="G176" i="3" l="1"/>
  <c r="C176" i="3"/>
  <c r="F176" i="3"/>
  <c r="B176" i="3"/>
  <c r="E176" i="3"/>
  <c r="D176" i="3"/>
  <c r="A177" i="3"/>
  <c r="A178" i="3" l="1"/>
  <c r="D177" i="3"/>
  <c r="G177" i="3"/>
  <c r="C177" i="3"/>
  <c r="F177" i="3"/>
  <c r="E177" i="3"/>
  <c r="B177" i="3"/>
  <c r="E178" i="3" l="1"/>
  <c r="A179" i="3"/>
  <c r="D178" i="3"/>
  <c r="G178" i="3"/>
  <c r="F178" i="3"/>
  <c r="B178" i="3"/>
  <c r="C178" i="3"/>
  <c r="F179" i="3" l="1"/>
  <c r="B179" i="3"/>
  <c r="E179" i="3"/>
  <c r="A180" i="3"/>
  <c r="G179" i="3"/>
  <c r="D179" i="3"/>
  <c r="C179" i="3"/>
  <c r="G180" i="3" l="1"/>
  <c r="C180" i="3"/>
  <c r="F180" i="3"/>
  <c r="B180" i="3"/>
  <c r="A181" i="3"/>
  <c r="D180" i="3"/>
  <c r="E180" i="3"/>
  <c r="A182" i="3" l="1"/>
  <c r="D181" i="3"/>
  <c r="G181" i="3"/>
  <c r="C181" i="3"/>
  <c r="B181" i="3"/>
  <c r="F181" i="3"/>
  <c r="E181" i="3"/>
  <c r="E182" i="3" l="1"/>
  <c r="A183" i="3"/>
  <c r="D182" i="3"/>
  <c r="C182" i="3"/>
  <c r="B182" i="3"/>
  <c r="F182" i="3"/>
  <c r="G182" i="3"/>
  <c r="F183" i="3" l="1"/>
  <c r="B183" i="3"/>
  <c r="E183" i="3"/>
  <c r="D183" i="3"/>
  <c r="C183" i="3"/>
  <c r="A184" i="3"/>
  <c r="G183" i="3"/>
  <c r="G184" i="3" l="1"/>
  <c r="C184" i="3"/>
  <c r="F184" i="3"/>
  <c r="B184" i="3"/>
  <c r="E184" i="3"/>
  <c r="D184" i="3"/>
  <c r="A185" i="3"/>
  <c r="A186" i="3" l="1"/>
  <c r="D185" i="3"/>
  <c r="G185" i="3"/>
  <c r="C185" i="3"/>
  <c r="F185" i="3"/>
  <c r="E185" i="3"/>
  <c r="B185" i="3"/>
  <c r="E186" i="3" l="1"/>
  <c r="A187" i="3"/>
  <c r="D186" i="3"/>
  <c r="G186" i="3"/>
  <c r="F186" i="3"/>
  <c r="C186" i="3"/>
  <c r="B186" i="3"/>
  <c r="F187" i="3" l="1"/>
  <c r="B187" i="3"/>
  <c r="E187" i="3"/>
  <c r="A188" i="3"/>
  <c r="G187" i="3"/>
  <c r="C187" i="3"/>
  <c r="D187" i="3"/>
  <c r="G188" i="3" l="1"/>
  <c r="C188" i="3"/>
  <c r="F188" i="3"/>
  <c r="B188" i="3"/>
  <c r="A189" i="3"/>
  <c r="E188" i="3"/>
  <c r="D188" i="3"/>
  <c r="A190" i="3" l="1"/>
  <c r="D189" i="3"/>
  <c r="G189" i="3"/>
  <c r="C189" i="3"/>
  <c r="B189" i="3"/>
  <c r="E189" i="3"/>
  <c r="F189" i="3"/>
  <c r="E190" i="3" l="1"/>
  <c r="A191" i="3"/>
  <c r="D190" i="3"/>
  <c r="C190" i="3"/>
  <c r="B190" i="3"/>
  <c r="G190" i="3"/>
  <c r="F190" i="3"/>
  <c r="F191" i="3" l="1"/>
  <c r="B191" i="3"/>
  <c r="E191" i="3"/>
  <c r="D191" i="3"/>
  <c r="C191" i="3"/>
  <c r="G191" i="3"/>
  <c r="A192" i="3"/>
  <c r="G192" i="3" l="1"/>
  <c r="C192" i="3"/>
  <c r="F192" i="3"/>
  <c r="B192" i="3"/>
  <c r="E192" i="3"/>
  <c r="D192" i="3"/>
  <c r="A193" i="3"/>
  <c r="A194" i="3" l="1"/>
  <c r="D193" i="3"/>
  <c r="G193" i="3"/>
  <c r="C193" i="3"/>
  <c r="F193" i="3"/>
  <c r="E193" i="3"/>
  <c r="B193" i="3"/>
  <c r="E194" i="3" l="1"/>
  <c r="A195" i="3"/>
  <c r="D194" i="3"/>
  <c r="G194" i="3"/>
  <c r="F194" i="3"/>
  <c r="B194" i="3"/>
  <c r="C194" i="3"/>
  <c r="F195" i="3" l="1"/>
  <c r="B195" i="3"/>
  <c r="E195" i="3"/>
  <c r="A196" i="3"/>
  <c r="G195" i="3"/>
  <c r="D195" i="3"/>
  <c r="C195" i="3"/>
  <c r="G196" i="3" l="1"/>
  <c r="C196" i="3"/>
  <c r="F196" i="3"/>
  <c r="B196" i="3"/>
  <c r="A197" i="3"/>
  <c r="D196" i="3"/>
  <c r="E196" i="3"/>
  <c r="A198" i="3" l="1"/>
  <c r="D197" i="3"/>
  <c r="G197" i="3"/>
  <c r="C197" i="3"/>
  <c r="B197" i="3"/>
  <c r="F197" i="3"/>
  <c r="E197" i="3"/>
  <c r="E198" i="3" l="1"/>
  <c r="A199" i="3"/>
  <c r="D198" i="3"/>
  <c r="C198" i="3"/>
  <c r="B198" i="3"/>
  <c r="F198" i="3"/>
  <c r="G198" i="3"/>
  <c r="F199" i="3" l="1"/>
  <c r="B199" i="3"/>
  <c r="E199" i="3"/>
  <c r="D199" i="3"/>
  <c r="C199" i="3"/>
  <c r="A200" i="3"/>
  <c r="G199" i="3"/>
  <c r="G200" i="3" l="1"/>
  <c r="C200" i="3"/>
  <c r="F200" i="3"/>
  <c r="B200" i="3"/>
  <c r="E200" i="3"/>
  <c r="D200" i="3"/>
  <c r="A201" i="3"/>
  <c r="A202" i="3" l="1"/>
  <c r="D201" i="3"/>
  <c r="G201" i="3"/>
  <c r="C201" i="3"/>
  <c r="F201" i="3"/>
  <c r="E201" i="3"/>
  <c r="B201" i="3"/>
  <c r="E202" i="3" l="1"/>
  <c r="A203" i="3"/>
  <c r="D202" i="3"/>
  <c r="G202" i="3"/>
  <c r="F202" i="3"/>
  <c r="C202" i="3"/>
  <c r="B202" i="3"/>
  <c r="F203" i="3" l="1"/>
  <c r="B203" i="3"/>
  <c r="E203" i="3"/>
  <c r="A204" i="3"/>
  <c r="G203" i="3"/>
  <c r="C203" i="3"/>
  <c r="D203" i="3"/>
  <c r="G204" i="3" l="1"/>
  <c r="C204" i="3"/>
  <c r="F204" i="3"/>
  <c r="B204" i="3"/>
  <c r="A205" i="3"/>
  <c r="E204" i="3"/>
  <c r="D204" i="3"/>
  <c r="A206" i="3" l="1"/>
  <c r="D205" i="3"/>
  <c r="G205" i="3"/>
  <c r="C205" i="3"/>
  <c r="B205" i="3"/>
  <c r="E205" i="3"/>
  <c r="F205" i="3"/>
  <c r="E206" i="3" l="1"/>
  <c r="A207" i="3"/>
  <c r="D206" i="3"/>
  <c r="C206" i="3"/>
  <c r="B206" i="3"/>
  <c r="G206" i="3"/>
  <c r="F206" i="3"/>
  <c r="F207" i="3" l="1"/>
  <c r="B207" i="3"/>
  <c r="E207" i="3"/>
  <c r="D207" i="3"/>
  <c r="C207" i="3"/>
  <c r="G207" i="3"/>
  <c r="A208" i="3"/>
  <c r="G208" i="3" l="1"/>
  <c r="C208" i="3"/>
  <c r="F208" i="3"/>
  <c r="B208" i="3"/>
  <c r="E208" i="3"/>
  <c r="D208" i="3"/>
  <c r="A209" i="3"/>
  <c r="A210" i="3" l="1"/>
  <c r="D209" i="3"/>
  <c r="G209" i="3"/>
  <c r="C209" i="3"/>
  <c r="F209" i="3"/>
  <c r="E209" i="3"/>
  <c r="B209" i="3"/>
  <c r="E210" i="3" l="1"/>
  <c r="A211" i="3"/>
  <c r="D210" i="3"/>
  <c r="G210" i="3"/>
  <c r="F210" i="3"/>
  <c r="B210" i="3"/>
  <c r="C210" i="3"/>
  <c r="F211" i="3" l="1"/>
  <c r="B211" i="3"/>
  <c r="E211" i="3"/>
  <c r="A212" i="3"/>
  <c r="G211" i="3"/>
  <c r="D211" i="3"/>
  <c r="C211" i="3"/>
  <c r="G212" i="3" l="1"/>
  <c r="C212" i="3"/>
  <c r="F212" i="3"/>
  <c r="B212" i="3"/>
  <c r="A213" i="3"/>
  <c r="D212" i="3"/>
  <c r="E212" i="3"/>
  <c r="A214" i="3" l="1"/>
  <c r="D213" i="3"/>
  <c r="G213" i="3"/>
  <c r="C213" i="3"/>
  <c r="B213" i="3"/>
  <c r="F213" i="3"/>
  <c r="E213" i="3"/>
  <c r="E214" i="3" l="1"/>
  <c r="A215" i="3"/>
  <c r="D214" i="3"/>
  <c r="C214" i="3"/>
  <c r="B214" i="3"/>
  <c r="F214" i="3"/>
  <c r="G214" i="3"/>
  <c r="F215" i="3" l="1"/>
  <c r="B215" i="3"/>
  <c r="E215" i="3"/>
  <c r="D215" i="3"/>
  <c r="C215" i="3"/>
  <c r="A216" i="3"/>
  <c r="G215" i="3"/>
  <c r="G216" i="3" l="1"/>
  <c r="C216" i="3"/>
  <c r="F216" i="3"/>
  <c r="B216" i="3"/>
  <c r="E216" i="3"/>
  <c r="D216" i="3"/>
  <c r="A217" i="3"/>
  <c r="A218" i="3" l="1"/>
  <c r="D217" i="3"/>
  <c r="G217" i="3"/>
  <c r="C217" i="3"/>
  <c r="F217" i="3"/>
  <c r="E217" i="3"/>
  <c r="B217" i="3"/>
  <c r="E218" i="3" l="1"/>
  <c r="A219" i="3"/>
  <c r="D218" i="3"/>
  <c r="G218" i="3"/>
  <c r="F218" i="3"/>
  <c r="C218" i="3"/>
  <c r="B218" i="3"/>
  <c r="F219" i="3" l="1"/>
  <c r="B219" i="3"/>
  <c r="E219" i="3"/>
  <c r="A220" i="3"/>
  <c r="G219" i="3"/>
  <c r="C219" i="3"/>
  <c r="D219" i="3"/>
  <c r="G220" i="3" l="1"/>
  <c r="C220" i="3"/>
  <c r="F220" i="3"/>
  <c r="B220" i="3"/>
  <c r="A221" i="3"/>
  <c r="E220" i="3"/>
  <c r="D220" i="3"/>
  <c r="A222" i="3" l="1"/>
  <c r="D221" i="3"/>
  <c r="G221" i="3"/>
  <c r="C221" i="3"/>
  <c r="B221" i="3"/>
  <c r="E221" i="3"/>
  <c r="F221" i="3"/>
  <c r="E222" i="3" l="1"/>
  <c r="A223" i="3"/>
  <c r="D222" i="3"/>
  <c r="C222" i="3"/>
  <c r="B222" i="3"/>
  <c r="G222" i="3"/>
  <c r="F222" i="3"/>
  <c r="F223" i="3" l="1"/>
  <c r="B223" i="3"/>
  <c r="E223" i="3"/>
  <c r="D223" i="3"/>
  <c r="C223" i="3"/>
  <c r="G223" i="3"/>
  <c r="A224" i="3"/>
  <c r="G224" i="3" l="1"/>
  <c r="C224" i="3"/>
  <c r="F224" i="3"/>
  <c r="B224" i="3"/>
  <c r="E224" i="3"/>
  <c r="D224" i="3"/>
  <c r="A225" i="3"/>
  <c r="A226" i="3" l="1"/>
  <c r="D225" i="3"/>
  <c r="G225" i="3"/>
  <c r="C225" i="3"/>
  <c r="F225" i="3"/>
  <c r="E225" i="3"/>
  <c r="B225" i="3"/>
  <c r="E226" i="3" l="1"/>
  <c r="A227" i="3"/>
  <c r="D226" i="3"/>
  <c r="G226" i="3"/>
  <c r="F226" i="3"/>
  <c r="B226" i="3"/>
  <c r="C226" i="3"/>
  <c r="F227" i="3" l="1"/>
  <c r="B227" i="3"/>
  <c r="E227" i="3"/>
  <c r="A228" i="3"/>
  <c r="G227" i="3"/>
  <c r="D227" i="3"/>
  <c r="C227" i="3"/>
  <c r="G228" i="3" l="1"/>
  <c r="C228" i="3"/>
  <c r="F228" i="3"/>
  <c r="B228" i="3"/>
  <c r="A229" i="3"/>
  <c r="D228" i="3"/>
  <c r="E228" i="3"/>
  <c r="A230" i="3" l="1"/>
  <c r="D229" i="3"/>
  <c r="G229" i="3"/>
  <c r="C229" i="3"/>
  <c r="B229" i="3"/>
  <c r="F229" i="3"/>
  <c r="E229" i="3"/>
  <c r="E230" i="3" l="1"/>
  <c r="A231" i="3"/>
  <c r="D230" i="3"/>
  <c r="C230" i="3"/>
  <c r="B230" i="3"/>
  <c r="F230" i="3"/>
  <c r="G230" i="3"/>
  <c r="F231" i="3" l="1"/>
  <c r="B231" i="3"/>
  <c r="E231" i="3"/>
  <c r="D231" i="3"/>
  <c r="C231" i="3"/>
  <c r="A232" i="3"/>
  <c r="G231" i="3"/>
  <c r="G232" i="3" l="1"/>
  <c r="C232" i="3"/>
  <c r="F232" i="3"/>
  <c r="B232" i="3"/>
  <c r="E232" i="3"/>
  <c r="D232" i="3"/>
  <c r="A233" i="3"/>
  <c r="A234" i="3" l="1"/>
  <c r="D233" i="3"/>
  <c r="G233" i="3"/>
  <c r="C233" i="3"/>
  <c r="F233" i="3"/>
  <c r="E233" i="3"/>
  <c r="B233" i="3"/>
  <c r="E234" i="3" l="1"/>
  <c r="A235" i="3"/>
  <c r="D234" i="3"/>
  <c r="G234" i="3"/>
  <c r="F234" i="3"/>
  <c r="C234" i="3"/>
  <c r="B234" i="3"/>
  <c r="F235" i="3" l="1"/>
  <c r="B235" i="3"/>
  <c r="E235" i="3"/>
  <c r="A236" i="3"/>
  <c r="G235" i="3"/>
  <c r="C235" i="3"/>
  <c r="D235" i="3"/>
  <c r="G236" i="3" l="1"/>
  <c r="C236" i="3"/>
  <c r="F236" i="3"/>
  <c r="B236" i="3"/>
  <c r="A237" i="3"/>
  <c r="E236" i="3"/>
  <c r="D236" i="3"/>
  <c r="A238" i="3" l="1"/>
  <c r="D237" i="3"/>
  <c r="G237" i="3"/>
  <c r="C237" i="3"/>
  <c r="B237" i="3"/>
  <c r="E237" i="3"/>
  <c r="F237" i="3"/>
  <c r="E238" i="3" l="1"/>
  <c r="A239" i="3"/>
  <c r="D238" i="3"/>
  <c r="C238" i="3"/>
  <c r="B238" i="3"/>
  <c r="G238" i="3"/>
  <c r="F238" i="3"/>
  <c r="F239" i="3" l="1"/>
  <c r="B239" i="3"/>
  <c r="E239" i="3"/>
  <c r="D239" i="3"/>
  <c r="C239" i="3"/>
  <c r="G239" i="3"/>
  <c r="A240" i="3"/>
  <c r="G240" i="3" l="1"/>
  <c r="C240" i="3"/>
  <c r="F240" i="3"/>
  <c r="B240" i="3"/>
  <c r="E240" i="3"/>
  <c r="D240" i="3"/>
  <c r="A241" i="3"/>
  <c r="A242" i="3" l="1"/>
  <c r="D241" i="3"/>
  <c r="G241" i="3"/>
  <c r="C241" i="3"/>
  <c r="F241" i="3"/>
  <c r="E241" i="3"/>
  <c r="B241" i="3"/>
  <c r="E242" i="3" l="1"/>
  <c r="A243" i="3"/>
  <c r="D242" i="3"/>
  <c r="G242" i="3"/>
  <c r="F242" i="3"/>
  <c r="B242" i="3"/>
  <c r="C242" i="3"/>
  <c r="F243" i="3" l="1"/>
  <c r="B243" i="3"/>
  <c r="E243" i="3"/>
  <c r="A244" i="3"/>
  <c r="G243" i="3"/>
  <c r="D243" i="3"/>
  <c r="C243" i="3"/>
  <c r="G244" i="3" l="1"/>
  <c r="C244" i="3"/>
  <c r="F244" i="3"/>
  <c r="B244" i="3"/>
  <c r="A245" i="3"/>
  <c r="D244" i="3"/>
  <c r="E244" i="3"/>
  <c r="A246" i="3" l="1"/>
  <c r="D245" i="3"/>
  <c r="G245" i="3"/>
  <c r="C245" i="3"/>
  <c r="B245" i="3"/>
  <c r="F245" i="3"/>
  <c r="E245" i="3"/>
  <c r="E246" i="3" l="1"/>
  <c r="A247" i="3"/>
  <c r="D246" i="3"/>
  <c r="C246" i="3"/>
  <c r="B246" i="3"/>
  <c r="F246" i="3"/>
  <c r="G246" i="3"/>
  <c r="F247" i="3" l="1"/>
  <c r="B247" i="3"/>
  <c r="E247" i="3"/>
  <c r="A248" i="3"/>
  <c r="D247" i="3"/>
  <c r="G247" i="3"/>
  <c r="C247" i="3"/>
  <c r="G248" i="3" l="1"/>
  <c r="C248" i="3"/>
  <c r="F248" i="3"/>
  <c r="B248" i="3"/>
  <c r="E248" i="3"/>
  <c r="A249" i="3"/>
  <c r="D248" i="3"/>
  <c r="A250" i="3" l="1"/>
  <c r="D249" i="3"/>
  <c r="G249" i="3"/>
  <c r="C249" i="3"/>
  <c r="F249" i="3"/>
  <c r="B249" i="3"/>
  <c r="E249" i="3"/>
  <c r="E250" i="3" l="1"/>
  <c r="A251" i="3"/>
  <c r="D250" i="3"/>
  <c r="G250" i="3"/>
  <c r="C250" i="3"/>
  <c r="B250" i="3"/>
  <c r="F250" i="3"/>
  <c r="F251" i="3" l="1"/>
  <c r="B251" i="3"/>
  <c r="E251" i="3"/>
  <c r="A252" i="3"/>
  <c r="D251" i="3"/>
  <c r="G251" i="3"/>
  <c r="C251" i="3"/>
  <c r="G252" i="3" l="1"/>
  <c r="C252" i="3"/>
  <c r="F252" i="3"/>
  <c r="B252" i="3"/>
  <c r="E252" i="3"/>
  <c r="D252" i="3"/>
  <c r="A253" i="3"/>
  <c r="A254" i="3" l="1"/>
  <c r="D253" i="3"/>
  <c r="G253" i="3"/>
  <c r="C253" i="3"/>
  <c r="F253" i="3"/>
  <c r="B253" i="3"/>
  <c r="E253" i="3"/>
  <c r="E254" i="3" l="1"/>
  <c r="A255" i="3"/>
  <c r="D254" i="3"/>
  <c r="G254" i="3"/>
  <c r="C254" i="3"/>
  <c r="F254" i="3"/>
  <c r="B254" i="3"/>
  <c r="F255" i="3" l="1"/>
  <c r="B255" i="3"/>
  <c r="E255" i="3"/>
  <c r="A256" i="3"/>
  <c r="D255" i="3"/>
  <c r="C255" i="3"/>
  <c r="G255" i="3"/>
  <c r="G256" i="3" l="1"/>
  <c r="C256" i="3"/>
  <c r="F256" i="3"/>
  <c r="B256" i="3"/>
  <c r="E256" i="3"/>
  <c r="A257" i="3"/>
  <c r="D256" i="3"/>
  <c r="A258" i="3" l="1"/>
  <c r="D257" i="3"/>
  <c r="G257" i="3"/>
  <c r="C257" i="3"/>
  <c r="F257" i="3"/>
  <c r="B257" i="3"/>
  <c r="E257" i="3"/>
  <c r="E258" i="3" l="1"/>
  <c r="A259" i="3"/>
  <c r="D258" i="3"/>
  <c r="G258" i="3"/>
  <c r="C258" i="3"/>
  <c r="F258" i="3"/>
  <c r="B258" i="3"/>
  <c r="F259" i="3" l="1"/>
  <c r="B259" i="3"/>
  <c r="E259" i="3"/>
  <c r="A260" i="3"/>
  <c r="D259" i="3"/>
  <c r="C259" i="3"/>
  <c r="G259" i="3"/>
  <c r="E260" i="3" l="1"/>
  <c r="A261" i="3"/>
  <c r="C260" i="3"/>
  <c r="G260" i="3"/>
  <c r="B260" i="3"/>
  <c r="F260" i="3"/>
  <c r="D260" i="3"/>
  <c r="F261" i="3" l="1"/>
  <c r="B261" i="3"/>
  <c r="G261" i="3"/>
  <c r="E261" i="3"/>
  <c r="D261" i="3"/>
  <c r="A262" i="3"/>
  <c r="C261" i="3"/>
  <c r="G262" i="3" l="1"/>
  <c r="C262" i="3"/>
  <c r="E262" i="3"/>
  <c r="D262" i="3"/>
  <c r="A263" i="3"/>
  <c r="B262" i="3"/>
  <c r="F262" i="3"/>
  <c r="A264" i="3" l="1"/>
  <c r="D263" i="3"/>
  <c r="C263" i="3"/>
  <c r="G263" i="3"/>
  <c r="B263" i="3"/>
  <c r="F263" i="3"/>
  <c r="E263" i="3"/>
  <c r="E264" i="3" l="1"/>
  <c r="G264" i="3"/>
  <c r="B264" i="3"/>
  <c r="F264" i="3"/>
  <c r="D264" i="3"/>
  <c r="A265" i="3"/>
  <c r="C264" i="3"/>
  <c r="F265" i="3" l="1"/>
  <c r="B265" i="3"/>
  <c r="E265" i="3"/>
  <c r="D265" i="3"/>
  <c r="A266" i="3"/>
  <c r="C265" i="3"/>
  <c r="G265" i="3"/>
  <c r="G266" i="3" l="1"/>
  <c r="C266" i="3"/>
  <c r="D266" i="3"/>
  <c r="A267" i="3"/>
  <c r="B266" i="3"/>
  <c r="F266" i="3"/>
  <c r="E266" i="3"/>
  <c r="A268" i="3" l="1"/>
  <c r="D267" i="3"/>
  <c r="G267" i="3"/>
  <c r="B267" i="3"/>
  <c r="F267" i="3"/>
  <c r="E267" i="3"/>
  <c r="C267" i="3"/>
  <c r="E268" i="3" l="1"/>
  <c r="A269" i="3"/>
  <c r="D268" i="3"/>
  <c r="G268" i="3"/>
  <c r="F268" i="3"/>
  <c r="C268" i="3"/>
  <c r="B268" i="3"/>
  <c r="F269" i="3" l="1"/>
  <c r="B269" i="3"/>
  <c r="E269" i="3"/>
  <c r="A270" i="3"/>
  <c r="G269" i="3"/>
  <c r="D269" i="3"/>
  <c r="C269" i="3"/>
  <c r="G270" i="3" l="1"/>
  <c r="C270" i="3"/>
  <c r="F270" i="3"/>
  <c r="B270" i="3"/>
  <c r="A271" i="3"/>
  <c r="E270" i="3"/>
  <c r="D270" i="3"/>
  <c r="A272" i="3" l="1"/>
  <c r="D271" i="3"/>
  <c r="G271" i="3"/>
  <c r="C271" i="3"/>
  <c r="B271" i="3"/>
  <c r="F271" i="3"/>
  <c r="E271" i="3"/>
  <c r="E272" i="3" l="1"/>
  <c r="A273" i="3"/>
  <c r="D272" i="3"/>
  <c r="C272" i="3"/>
  <c r="B272" i="3"/>
  <c r="G272" i="3"/>
  <c r="F272" i="3"/>
  <c r="F273" i="3" l="1"/>
  <c r="B273" i="3"/>
  <c r="E273" i="3"/>
  <c r="D273" i="3"/>
  <c r="C273" i="3"/>
  <c r="A274" i="3"/>
  <c r="G273" i="3"/>
  <c r="G274" i="3" l="1"/>
  <c r="C274" i="3"/>
  <c r="F274" i="3"/>
  <c r="B274" i="3"/>
  <c r="E274" i="3"/>
  <c r="D274" i="3"/>
  <c r="A275" i="3"/>
  <c r="A276" i="3" l="1"/>
  <c r="D275" i="3"/>
  <c r="G275" i="3"/>
  <c r="C275" i="3"/>
  <c r="F275" i="3"/>
  <c r="E275" i="3"/>
  <c r="B275" i="3"/>
  <c r="E276" i="3" l="1"/>
  <c r="A277" i="3"/>
  <c r="D276" i="3"/>
  <c r="G276" i="3"/>
  <c r="F276" i="3"/>
  <c r="C276" i="3"/>
  <c r="B276" i="3"/>
  <c r="F277" i="3" l="1"/>
  <c r="B277" i="3"/>
  <c r="E277" i="3"/>
  <c r="A278" i="3"/>
  <c r="G277" i="3"/>
  <c r="D277" i="3"/>
  <c r="C277" i="3"/>
  <c r="G278" i="3" l="1"/>
  <c r="C278" i="3"/>
  <c r="F278" i="3"/>
  <c r="B278" i="3"/>
  <c r="A279" i="3"/>
  <c r="E278" i="3"/>
  <c r="D278" i="3"/>
  <c r="A280" i="3" l="1"/>
  <c r="D279" i="3"/>
  <c r="G279" i="3"/>
  <c r="C279" i="3"/>
  <c r="B279" i="3"/>
  <c r="F279" i="3"/>
  <c r="E279" i="3"/>
  <c r="E280" i="3" l="1"/>
  <c r="A281" i="3"/>
  <c r="D280" i="3"/>
  <c r="C280" i="3"/>
  <c r="B280" i="3"/>
  <c r="G280" i="3"/>
  <c r="F280" i="3"/>
  <c r="F281" i="3" l="1"/>
  <c r="B281" i="3"/>
  <c r="E281" i="3"/>
  <c r="D281" i="3"/>
  <c r="C281" i="3"/>
  <c r="A282" i="3"/>
  <c r="G281" i="3"/>
  <c r="G282" i="3" l="1"/>
  <c r="C282" i="3"/>
  <c r="F282" i="3"/>
  <c r="B282" i="3"/>
  <c r="E282" i="3"/>
  <c r="D282" i="3"/>
  <c r="A283" i="3"/>
  <c r="A284" i="3" l="1"/>
  <c r="D283" i="3"/>
  <c r="G283" i="3"/>
  <c r="C283" i="3"/>
  <c r="F283" i="3"/>
  <c r="E283" i="3"/>
  <c r="B283" i="3"/>
  <c r="E284" i="3" l="1"/>
  <c r="A285" i="3"/>
  <c r="D284" i="3"/>
  <c r="G284" i="3"/>
  <c r="F284" i="3"/>
  <c r="C284" i="3"/>
  <c r="B284" i="3"/>
  <c r="F285" i="3" l="1"/>
  <c r="B285" i="3"/>
  <c r="E285" i="3"/>
  <c r="A286" i="3"/>
  <c r="G285" i="3"/>
  <c r="D285" i="3"/>
  <c r="C285" i="3"/>
  <c r="G286" i="3" l="1"/>
  <c r="C286" i="3"/>
  <c r="F286" i="3"/>
  <c r="B286" i="3"/>
  <c r="A287" i="3"/>
  <c r="E286" i="3"/>
  <c r="D286" i="3"/>
  <c r="A288" i="3" l="1"/>
  <c r="D287" i="3"/>
  <c r="G287" i="3"/>
  <c r="C287" i="3"/>
  <c r="B287" i="3"/>
  <c r="F287" i="3"/>
  <c r="E287" i="3"/>
  <c r="E288" i="3" l="1"/>
  <c r="A289" i="3"/>
  <c r="D288" i="3"/>
  <c r="C288" i="3"/>
  <c r="B288" i="3"/>
  <c r="G288" i="3"/>
  <c r="F288" i="3"/>
  <c r="F289" i="3" l="1"/>
  <c r="B289" i="3"/>
  <c r="E289" i="3"/>
  <c r="D289" i="3"/>
  <c r="C289" i="3"/>
  <c r="A290" i="3"/>
  <c r="G289" i="3"/>
  <c r="G290" i="3" l="1"/>
  <c r="C290" i="3"/>
  <c r="F290" i="3"/>
  <c r="B290" i="3"/>
  <c r="E290" i="3"/>
  <c r="D290" i="3"/>
  <c r="A291" i="3"/>
  <c r="A292" i="3" l="1"/>
  <c r="D291" i="3"/>
  <c r="G291" i="3"/>
  <c r="C291" i="3"/>
  <c r="F291" i="3"/>
  <c r="E291" i="3"/>
  <c r="B291" i="3"/>
  <c r="E292" i="3" l="1"/>
  <c r="A293" i="3"/>
  <c r="D292" i="3"/>
  <c r="G292" i="3"/>
  <c r="F292" i="3"/>
  <c r="C292" i="3"/>
  <c r="B292" i="3"/>
  <c r="F293" i="3" l="1"/>
  <c r="B293" i="3"/>
  <c r="E293" i="3"/>
  <c r="A294" i="3"/>
  <c r="G293" i="3"/>
  <c r="D293" i="3"/>
  <c r="C293" i="3"/>
  <c r="G294" i="3" l="1"/>
  <c r="C294" i="3"/>
  <c r="F294" i="3"/>
  <c r="B294" i="3"/>
  <c r="A295" i="3"/>
  <c r="E294" i="3"/>
  <c r="D294" i="3"/>
  <c r="A296" i="3" l="1"/>
  <c r="D295" i="3"/>
  <c r="G295" i="3"/>
  <c r="C295" i="3"/>
  <c r="B295" i="3"/>
  <c r="F295" i="3"/>
  <c r="E295" i="3"/>
  <c r="E296" i="3" l="1"/>
  <c r="A297" i="3"/>
  <c r="D296" i="3"/>
  <c r="C296" i="3"/>
  <c r="B296" i="3"/>
  <c r="G296" i="3"/>
  <c r="F296" i="3"/>
  <c r="F297" i="3" l="1"/>
  <c r="B297" i="3"/>
  <c r="E297" i="3"/>
  <c r="D297" i="3"/>
  <c r="C297" i="3"/>
  <c r="A298" i="3"/>
  <c r="G297" i="3"/>
  <c r="G298" i="3" l="1"/>
  <c r="C298" i="3"/>
  <c r="F298" i="3"/>
  <c r="B298" i="3"/>
  <c r="E298" i="3"/>
  <c r="D298" i="3"/>
  <c r="A299" i="3"/>
  <c r="A300" i="3" l="1"/>
  <c r="D299" i="3"/>
  <c r="G299" i="3"/>
  <c r="C299" i="3"/>
  <c r="F299" i="3"/>
  <c r="E299" i="3"/>
  <c r="B299" i="3"/>
  <c r="E300" i="3" l="1"/>
  <c r="A301" i="3"/>
  <c r="D300" i="3"/>
  <c r="G300" i="3"/>
  <c r="F300" i="3"/>
  <c r="C300" i="3"/>
  <c r="B300" i="3"/>
  <c r="F301" i="3" l="1"/>
  <c r="B301" i="3"/>
  <c r="E301" i="3"/>
  <c r="A302" i="3"/>
  <c r="G301" i="3"/>
  <c r="D301" i="3"/>
  <c r="C301" i="3"/>
  <c r="G302" i="3" l="1"/>
  <c r="C302" i="3"/>
  <c r="F302" i="3"/>
  <c r="B302" i="3"/>
  <c r="A303" i="3"/>
  <c r="E302" i="3"/>
  <c r="D302" i="3"/>
  <c r="A304" i="3" l="1"/>
  <c r="D303" i="3"/>
  <c r="G303" i="3"/>
  <c r="C303" i="3"/>
  <c r="B303" i="3"/>
  <c r="F303" i="3"/>
  <c r="E303" i="3"/>
  <c r="E304" i="3" l="1"/>
  <c r="A305" i="3"/>
  <c r="D304" i="3"/>
  <c r="C304" i="3"/>
  <c r="B304" i="3"/>
  <c r="G304" i="3"/>
  <c r="F304" i="3"/>
  <c r="F305" i="3" l="1"/>
  <c r="B305" i="3"/>
  <c r="E305" i="3"/>
  <c r="D305" i="3"/>
  <c r="C305" i="3"/>
  <c r="A306" i="3"/>
  <c r="G305" i="3"/>
  <c r="G306" i="3" l="1"/>
  <c r="C306" i="3"/>
  <c r="F306" i="3"/>
  <c r="B306" i="3"/>
  <c r="E306" i="3"/>
  <c r="D306" i="3"/>
  <c r="A307" i="3"/>
  <c r="A308" i="3" l="1"/>
  <c r="D307" i="3"/>
  <c r="G307" i="3"/>
  <c r="C307" i="3"/>
  <c r="F307" i="3"/>
  <c r="E307" i="3"/>
  <c r="B307" i="3"/>
  <c r="E308" i="3" l="1"/>
  <c r="A309" i="3"/>
  <c r="D308" i="3"/>
  <c r="G308" i="3"/>
  <c r="F308" i="3"/>
  <c r="C308" i="3"/>
  <c r="B308" i="3"/>
  <c r="F309" i="3" l="1"/>
  <c r="B309" i="3"/>
  <c r="E309" i="3"/>
  <c r="A310" i="3"/>
  <c r="G309" i="3"/>
  <c r="D309" i="3"/>
  <c r="C309" i="3"/>
  <c r="G310" i="3" l="1"/>
  <c r="C310" i="3"/>
  <c r="F310" i="3"/>
  <c r="B310" i="3"/>
  <c r="A311" i="3"/>
  <c r="E310" i="3"/>
  <c r="D310" i="3"/>
  <c r="A312" i="3" l="1"/>
  <c r="D311" i="3"/>
  <c r="G311" i="3"/>
  <c r="C311" i="3"/>
  <c r="B311" i="3"/>
  <c r="F311" i="3"/>
  <c r="E311" i="3"/>
  <c r="E312" i="3" l="1"/>
  <c r="A313" i="3"/>
  <c r="D312" i="3"/>
  <c r="C312" i="3"/>
  <c r="B312" i="3"/>
  <c r="G312" i="3"/>
  <c r="F312" i="3"/>
  <c r="F313" i="3" l="1"/>
  <c r="B313" i="3"/>
  <c r="E313" i="3"/>
  <c r="A314" i="3"/>
  <c r="D313" i="3"/>
  <c r="G313" i="3"/>
  <c r="C313" i="3"/>
  <c r="G314" i="3" l="1"/>
  <c r="C314" i="3"/>
  <c r="F314" i="3"/>
  <c r="B314" i="3"/>
  <c r="E314" i="3"/>
  <c r="A315" i="3"/>
  <c r="D314" i="3"/>
  <c r="A316" i="3" l="1"/>
  <c r="D315" i="3"/>
  <c r="G315" i="3"/>
  <c r="C315" i="3"/>
  <c r="F315" i="3"/>
  <c r="B315" i="3"/>
  <c r="E315" i="3"/>
  <c r="E316" i="3" l="1"/>
  <c r="A317" i="3"/>
  <c r="D316" i="3"/>
  <c r="G316" i="3"/>
  <c r="C316" i="3"/>
  <c r="B316" i="3"/>
  <c r="F316" i="3"/>
  <c r="F317" i="3" l="1"/>
  <c r="B317" i="3"/>
  <c r="E317" i="3"/>
  <c r="A318" i="3"/>
  <c r="D317" i="3"/>
  <c r="G317" i="3"/>
  <c r="C317" i="3"/>
  <c r="G318" i="3" l="1"/>
  <c r="C318" i="3"/>
  <c r="F318" i="3"/>
  <c r="B318" i="3"/>
  <c r="E318" i="3"/>
  <c r="D318" i="3"/>
  <c r="A319" i="3"/>
  <c r="A320" i="3" l="1"/>
  <c r="D319" i="3"/>
  <c r="G319" i="3"/>
  <c r="C319" i="3"/>
  <c r="F319" i="3"/>
  <c r="B319" i="3"/>
  <c r="E319" i="3"/>
  <c r="E320" i="3" l="1"/>
  <c r="A321" i="3"/>
  <c r="D320" i="3"/>
  <c r="G320" i="3"/>
  <c r="C320" i="3"/>
  <c r="F320" i="3"/>
  <c r="B320" i="3"/>
  <c r="F321" i="3" l="1"/>
  <c r="B321" i="3"/>
  <c r="E321" i="3"/>
  <c r="A322" i="3"/>
  <c r="D321" i="3"/>
  <c r="G321" i="3"/>
  <c r="C321" i="3"/>
  <c r="G322" i="3" l="1"/>
  <c r="C322" i="3"/>
  <c r="F322" i="3"/>
  <c r="B322" i="3"/>
  <c r="E322" i="3"/>
  <c r="A323" i="3"/>
  <c r="D322" i="3"/>
  <c r="A324" i="3" l="1"/>
  <c r="D323" i="3"/>
  <c r="G323" i="3"/>
  <c r="C323" i="3"/>
  <c r="F323" i="3"/>
  <c r="B323" i="3"/>
  <c r="E323" i="3"/>
  <c r="E324" i="3" l="1"/>
  <c r="A325" i="3"/>
  <c r="D324" i="3"/>
  <c r="G324" i="3"/>
  <c r="C324" i="3"/>
  <c r="F324" i="3"/>
  <c r="B324" i="3"/>
  <c r="F325" i="3" l="1"/>
  <c r="B325" i="3"/>
  <c r="E325" i="3"/>
  <c r="A326" i="3"/>
  <c r="D325" i="3"/>
  <c r="C325" i="3"/>
  <c r="G325" i="3"/>
  <c r="G326" i="3" l="1"/>
  <c r="C326" i="3"/>
  <c r="F326" i="3"/>
  <c r="B326" i="3"/>
  <c r="E326" i="3"/>
  <c r="A327" i="3"/>
  <c r="D326" i="3"/>
  <c r="A328" i="3" l="1"/>
  <c r="D327" i="3"/>
  <c r="G327" i="3"/>
  <c r="C327" i="3"/>
  <c r="F327" i="3"/>
  <c r="B327" i="3"/>
  <c r="E327" i="3"/>
  <c r="E328" i="3" l="1"/>
  <c r="A329" i="3"/>
  <c r="D328" i="3"/>
  <c r="G328" i="3"/>
  <c r="C328" i="3"/>
  <c r="F328" i="3"/>
  <c r="B328" i="3"/>
  <c r="F329" i="3" l="1"/>
  <c r="B329" i="3"/>
  <c r="E329" i="3"/>
  <c r="A330" i="3"/>
  <c r="D329" i="3"/>
  <c r="G329" i="3"/>
  <c r="C329" i="3"/>
  <c r="G330" i="3" l="1"/>
  <c r="C330" i="3"/>
  <c r="F330" i="3"/>
  <c r="B330" i="3"/>
  <c r="E330" i="3"/>
  <c r="A331" i="3"/>
  <c r="D330" i="3"/>
  <c r="A332" i="3" l="1"/>
  <c r="D331" i="3"/>
  <c r="G331" i="3"/>
  <c r="C331" i="3"/>
  <c r="F331" i="3"/>
  <c r="B331" i="3"/>
  <c r="E331" i="3"/>
  <c r="E332" i="3" l="1"/>
  <c r="A333" i="3"/>
  <c r="D332" i="3"/>
  <c r="G332" i="3"/>
  <c r="C332" i="3"/>
  <c r="B332" i="3"/>
  <c r="F332" i="3"/>
  <c r="F333" i="3" l="1"/>
  <c r="B333" i="3"/>
  <c r="E333" i="3"/>
  <c r="A334" i="3"/>
  <c r="D333" i="3"/>
  <c r="G333" i="3"/>
  <c r="C333" i="3"/>
  <c r="G334" i="3" l="1"/>
  <c r="C334" i="3"/>
  <c r="F334" i="3"/>
  <c r="B334" i="3"/>
  <c r="E334" i="3"/>
  <c r="D334" i="3"/>
  <c r="A335" i="3"/>
  <c r="A336" i="3" l="1"/>
  <c r="D335" i="3"/>
  <c r="G335" i="3"/>
  <c r="C335" i="3"/>
  <c r="F335" i="3"/>
  <c r="B335" i="3"/>
  <c r="E335" i="3"/>
  <c r="E336" i="3" l="1"/>
  <c r="A337" i="3"/>
  <c r="D336" i="3"/>
  <c r="G336" i="3"/>
  <c r="C336" i="3"/>
  <c r="F336" i="3"/>
  <c r="B336" i="3"/>
  <c r="F337" i="3" l="1"/>
  <c r="B337" i="3"/>
  <c r="E337" i="3"/>
  <c r="A338" i="3"/>
  <c r="D337" i="3"/>
  <c r="G337" i="3"/>
  <c r="C337" i="3"/>
  <c r="G338" i="3" l="1"/>
  <c r="C338" i="3"/>
  <c r="F338" i="3"/>
  <c r="B338" i="3"/>
  <c r="E338" i="3"/>
  <c r="A339" i="3"/>
  <c r="D338" i="3"/>
  <c r="A340" i="3" l="1"/>
  <c r="D339" i="3"/>
  <c r="G339" i="3"/>
  <c r="C339" i="3"/>
  <c r="F339" i="3"/>
  <c r="B339" i="3"/>
  <c r="E339" i="3"/>
  <c r="E340" i="3" l="1"/>
  <c r="A341" i="3"/>
  <c r="D340" i="3"/>
  <c r="G340" i="3"/>
  <c r="C340" i="3"/>
  <c r="F340" i="3"/>
  <c r="B340" i="3"/>
  <c r="F341" i="3" l="1"/>
  <c r="B341" i="3"/>
  <c r="E341" i="3"/>
  <c r="A342" i="3"/>
  <c r="D341" i="3"/>
  <c r="C341" i="3"/>
  <c r="G341" i="3"/>
  <c r="G342" i="3" l="1"/>
  <c r="C342" i="3"/>
  <c r="F342" i="3"/>
  <c r="B342" i="3"/>
  <c r="E342" i="3"/>
  <c r="A343" i="3"/>
  <c r="D342" i="3"/>
  <c r="A344" i="3" l="1"/>
  <c r="D343" i="3"/>
  <c r="G343" i="3"/>
  <c r="C343" i="3"/>
  <c r="F343" i="3"/>
  <c r="B343" i="3"/>
  <c r="E343" i="3"/>
  <c r="E344" i="3" l="1"/>
  <c r="A345" i="3"/>
  <c r="D344" i="3"/>
  <c r="G344" i="3"/>
  <c r="C344" i="3"/>
  <c r="F344" i="3"/>
  <c r="B344" i="3"/>
  <c r="F345" i="3" l="1"/>
  <c r="B345" i="3"/>
  <c r="E345" i="3"/>
  <c r="A346" i="3"/>
  <c r="D345" i="3"/>
  <c r="G345" i="3"/>
  <c r="C345" i="3"/>
  <c r="G346" i="3" l="1"/>
  <c r="C346" i="3"/>
  <c r="F346" i="3"/>
  <c r="B346" i="3"/>
  <c r="E346" i="3"/>
  <c r="A347" i="3"/>
  <c r="D346" i="3"/>
  <c r="A348" i="3" l="1"/>
  <c r="D347" i="3"/>
  <c r="G347" i="3"/>
  <c r="C347" i="3"/>
  <c r="F347" i="3"/>
  <c r="B347" i="3"/>
  <c r="E347" i="3"/>
  <c r="E348" i="3" l="1"/>
  <c r="A349" i="3"/>
  <c r="D348" i="3"/>
  <c r="G348" i="3"/>
  <c r="C348" i="3"/>
  <c r="B348" i="3"/>
  <c r="F348" i="3"/>
  <c r="F349" i="3" l="1"/>
  <c r="B349" i="3"/>
  <c r="E349" i="3"/>
  <c r="A350" i="3"/>
  <c r="D349" i="3"/>
  <c r="G349" i="3"/>
  <c r="C349" i="3"/>
  <c r="G350" i="3" l="1"/>
  <c r="C350" i="3"/>
  <c r="F350" i="3"/>
  <c r="B350" i="3"/>
  <c r="E350" i="3"/>
  <c r="D350" i="3"/>
  <c r="A351" i="3"/>
  <c r="A352" i="3" l="1"/>
  <c r="D351" i="3"/>
  <c r="G351" i="3"/>
  <c r="C351" i="3"/>
  <c r="F351" i="3"/>
  <c r="B351" i="3"/>
  <c r="E351" i="3"/>
  <c r="E352" i="3" l="1"/>
  <c r="A353" i="3"/>
  <c r="D352" i="3"/>
  <c r="G352" i="3"/>
  <c r="C352" i="3"/>
  <c r="F352" i="3"/>
  <c r="B352" i="3"/>
  <c r="F353" i="3" l="1"/>
  <c r="B353" i="3"/>
  <c r="E353" i="3"/>
  <c r="A354" i="3"/>
  <c r="D353" i="3"/>
  <c r="G353" i="3"/>
  <c r="C353" i="3"/>
  <c r="G354" i="3" l="1"/>
  <c r="C354" i="3"/>
  <c r="F354" i="3"/>
  <c r="B354" i="3"/>
  <c r="E354" i="3"/>
  <c r="A355" i="3"/>
  <c r="D354" i="3"/>
  <c r="A356" i="3" l="1"/>
  <c r="D355" i="3"/>
  <c r="G355" i="3"/>
  <c r="C355" i="3"/>
  <c r="F355" i="3"/>
  <c r="B355" i="3"/>
  <c r="E355" i="3"/>
  <c r="E356" i="3" l="1"/>
  <c r="A357" i="3"/>
  <c r="D356" i="3"/>
  <c r="G356" i="3"/>
  <c r="C356" i="3"/>
  <c r="F356" i="3"/>
  <c r="B356" i="3"/>
  <c r="F357" i="3" l="1"/>
  <c r="B357" i="3"/>
  <c r="E357" i="3"/>
  <c r="A358" i="3"/>
  <c r="D357" i="3"/>
  <c r="C357" i="3"/>
  <c r="G357" i="3"/>
  <c r="G358" i="3" l="1"/>
  <c r="C358" i="3"/>
  <c r="F358" i="3"/>
  <c r="B358" i="3"/>
  <c r="E358" i="3"/>
  <c r="A359" i="3"/>
  <c r="D358" i="3"/>
  <c r="A360" i="3" l="1"/>
  <c r="D359" i="3"/>
  <c r="G359" i="3"/>
  <c r="C359" i="3"/>
  <c r="F359" i="3"/>
  <c r="B359" i="3"/>
  <c r="E359" i="3"/>
  <c r="E360" i="3" l="1"/>
  <c r="A361" i="3"/>
  <c r="D360" i="3"/>
  <c r="G360" i="3"/>
  <c r="C360" i="3"/>
  <c r="F360" i="3"/>
  <c r="B360" i="3"/>
  <c r="F361" i="3" l="1"/>
  <c r="B361" i="3"/>
  <c r="E361" i="3"/>
  <c r="A362" i="3"/>
  <c r="D361" i="3"/>
  <c r="G361" i="3"/>
  <c r="C361" i="3"/>
  <c r="G362" i="3" l="1"/>
  <c r="C362" i="3"/>
  <c r="F362" i="3"/>
  <c r="B362" i="3"/>
  <c r="E362" i="3"/>
  <c r="D36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Grados antes del PMI (180°) en que abre el escape. Valor de ejemplo típico de motor Otto; use el del manual del motor.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Grados después del PMS de cruce (360°) en que cierra el escape.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Grados antes del PMS de cruce (360°) en que abre la admisión.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Grados después del PMI (540°) en que cierra la admisión.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Alzada de la válvula de escape. Valor de ejemplo.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Alzada de la válvula de admisión. Valor de ejemplo.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Parte de la duración que ocupa cada flanco (subida y bajada). 0,50 = perfil sin meseta; valores menores dan una meseta más larga.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Desplazamiento del árbol de escape que produce el variador: se dibujan los perfiles adelantado (−), base y retrasado (+).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Desplazamiento del árbol de admisión que produce el variador.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Separación entre puntos de la tabla de la hoja Datos. Con 2° se cubren 0–720° en 361 filas.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9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Ángulo antes del PMS de combustión en que salta la chispa. Valor de ejemplo; use el del manual.</t>
        </r>
      </text>
    </comment>
  </commentList>
</comments>
</file>

<file path=xl/sharedStrings.xml><?xml version="1.0" encoding="utf-8"?>
<sst xmlns="http://schemas.openxmlformats.org/spreadsheetml/2006/main" count="152" uniqueCount="129">
  <si>
    <t>Simulador del alzado de válvulas y del cruce — Sistema de distribución</t>
  </si>
  <si>
    <t>Sistemas del Funcionamiento del Motor (MA.02.06) · Unidad 3 · Edite solo las celdas amarillas (texto azul); todo lo demás se recalcula.</t>
  </si>
  <si>
    <t>Datos de entrada</t>
  </si>
  <si>
    <t>Valor</t>
  </si>
  <si>
    <t>Perfil</t>
  </si>
  <si>
    <t>Apertura (°)</t>
  </si>
  <si>
    <t>Cierre (°)</t>
  </si>
  <si>
    <t>Duración (°)</t>
  </si>
  <si>
    <t>Adelanto de apertura de escape AAE (° cigüeñal)</t>
  </si>
  <si>
    <t>Escape adelantado</t>
  </si>
  <si>
    <t>Retraso de cierre de escape RCE (°)</t>
  </si>
  <si>
    <t>Escape base</t>
  </si>
  <si>
    <t>Adelanto de apertura de admisión AAA (°)</t>
  </si>
  <si>
    <t>Escape retrasado</t>
  </si>
  <si>
    <t>Retraso de cierre de admisión RCA (°)</t>
  </si>
  <si>
    <t>Admisión adelantada</t>
  </si>
  <si>
    <t>Alzada máxima de escape (mm)</t>
  </si>
  <si>
    <t>Admisión base</t>
  </si>
  <si>
    <t>Alzada máxima de admisión (mm)</t>
  </si>
  <si>
    <t>Admisión retrasada</t>
  </si>
  <si>
    <t>Fracción de rampa del perfil (0,10 – 0,50)</t>
  </si>
  <si>
    <t>Variación de fase del escape (± °)</t>
  </si>
  <si>
    <t>Resultado</t>
  </si>
  <si>
    <t>Grados</t>
  </si>
  <si>
    <t>Cómo se obtiene</t>
  </si>
  <si>
    <t>Variación de fase de la admisión (± °)</t>
  </si>
  <si>
    <t>Cruce base (°)</t>
  </si>
  <si>
    <t>RCE + AAA</t>
  </si>
  <si>
    <t>Paso de cálculo (°)</t>
  </si>
  <si>
    <t>Cruce máximo (°)</t>
  </si>
  <si>
    <t>Escape retrasado + admisión adelantada</t>
  </si>
  <si>
    <t>Cruce mínimo (°)</t>
  </si>
  <si>
    <t>Escape adelantado + admisión retrasada</t>
  </si>
  <si>
    <t>Comprobación</t>
  </si>
  <si>
    <t>Duración de escape (°)</t>
  </si>
  <si>
    <t>AAE + 180 + RCE</t>
  </si>
  <si>
    <t>Duración de admisión (°)</t>
  </si>
  <si>
    <t>AAA + 180 + RCA</t>
  </si>
  <si>
    <t>Duración de admisión en el árbol de levas (°)</t>
  </si>
  <si>
    <t>El árbol gira a la mitad que el cigüeñal</t>
  </si>
  <si>
    <t>Referencias angulares: PMS de inicio de admisión/cruce = 360°; PMI = 180° y 540°; PMS de combustión = 0° y 720°.</t>
  </si>
  <si>
    <t>Perfil de alzada: flancos en coseno (subida y bajada suaves) con meseta central, modelo didáctico del perfil real de la leva.</t>
  </si>
  <si>
    <t>Diagrama circular de la distribución y cruce de válvulas</t>
  </si>
  <si>
    <t>Usa los ángulos base de la hoja Simulador (sin variador). Edite solo la celda amarilla de esta hoja.</t>
  </si>
  <si>
    <t>Dato</t>
  </si>
  <si>
    <t>Fase del ciclo real</t>
  </si>
  <si>
    <t>Desde → hasta</t>
  </si>
  <si>
    <t>AAE (de la hoja Simulador)</t>
  </si>
  <si>
    <t>Admisión</t>
  </si>
  <si>
    <t>RCE</t>
  </si>
  <si>
    <t>Compresión</t>
  </si>
  <si>
    <t>AAA</t>
  </si>
  <si>
    <t>Combustión (explosión)</t>
  </si>
  <si>
    <t>RCA</t>
  </si>
  <si>
    <t>Trabajo útil (expansión)</t>
  </si>
  <si>
    <t>Avance de encendido AE (° antes del PMS)</t>
  </si>
  <si>
    <t>Escape</t>
  </si>
  <si>
    <t>Cruce de válvulas</t>
  </si>
  <si>
    <t>Total del ciclo: suma de fases − cruce (= 720°)</t>
  </si>
  <si>
    <t>En el ciclo teórico las válvulas abren y cierran justo en PMS y PMI; en el real se adelantan las aperturas y se retrasan los cierres, y aparece el cruce alrededor del PMS.</t>
  </si>
  <si>
    <t>Ángulo cigüeñal (°)</t>
  </si>
  <si>
    <t>Cruce máximo x</t>
  </si>
  <si>
    <t>Cruce máximo y</t>
  </si>
  <si>
    <t>Cruce mínimo x</t>
  </si>
  <si>
    <t>Cruce mínimo y</t>
  </si>
  <si>
    <t>PMS x</t>
  </si>
  <si>
    <t>PMS y</t>
  </si>
  <si>
    <t>Las columnas I–N dibujan los corchetes de cruce y la línea del PMS en el gráfico.</t>
  </si>
  <si>
    <t>Guía de uso del simulador</t>
  </si>
  <si>
    <t>Objetivo: relacionar los ángulos del diagrama de distribución (AAE, RCE, AAA, RCA) con la curva de alzado de las válvulas y observar cómo un variador de fase modifica el cruce.</t>
  </si>
  <si>
    <t>Cómo usarlo</t>
  </si>
  <si>
    <t>1. En la hoja Simulador escriba los ángulos del motor en las celdas amarillas (tómelos del manual o de Autodata).</t>
  </si>
  <si>
    <t>2. Ajuste la alzada máxima de cada válvula y la fracción de rampa para que el perfil se parezca al de la leva real.</t>
  </si>
  <si>
    <t>3. Indique cuántos grados desplaza el variador cada árbol. Con 0° las tres curvas de cada válvula coinciden.</t>
  </si>
  <si>
    <t>4. Lea en la tabla de resultados el cruce base, máximo y mínimo, y compárelo con los corchetes del gráfico.</t>
  </si>
  <si>
    <t>Actividades propuestas (Unidad 3)</t>
  </si>
  <si>
    <t>a) Con AAE = 45°, RCE = 20°, AAA = 20° y RCA = 50°, calcule a mano la duración de admisión y de escape y verifíquelas con el simulador.</t>
  </si>
  <si>
    <t>b) Ponga la variación de fase de la admisión en 0° y aumente la del escape de 5° en 5°. ¿Cómo cambia el cruce máximo?</t>
  </si>
  <si>
    <t>c) Simule un salto de un diente de la correa (en un piñón de 21 dientes, 360°/21 × 2 ≈ 34° de cigüeñal) desplazando ambas fases. ¿Qué ocurre con el cruce?</t>
  </si>
  <si>
    <t>d) Explique por qué a bajo régimen conviene el cruce mínimo y a alto régimen el cruce máximo.</t>
  </si>
  <si>
    <t>Modelo utilizado</t>
  </si>
  <si>
    <t>La alzada se calcula con flancos en forma de coseno y una meseta central: h = H·(1 − cos(π·u/r))/2 en la subida, H en la meseta y simétrico en la bajada, con u = (θ − apertura)/duración y r = fracción de rampa. Es un modelo didáctico; el perfil real lo define la leva de cada fabricante.</t>
  </si>
  <si>
    <t>Basado en la figura de perfiles posibles de las válvulas de escape y admisión con cruce máximo y mínimo de González Calleja, D. (2018). Motores (2.ª ed.). Paraninfo.</t>
  </si>
  <si>
    <t>t</t>
  </si>
  <si>
    <t>Admisión θ</t>
  </si>
  <si>
    <t>Admisión x</t>
  </si>
  <si>
    <t>Admisión y</t>
  </si>
  <si>
    <t>Compresión θ</t>
  </si>
  <si>
    <t>Compresión x</t>
  </si>
  <si>
    <t>Compresión y</t>
  </si>
  <si>
    <t>Combustión θ</t>
  </si>
  <si>
    <t>Combustión x</t>
  </si>
  <si>
    <t>Combustión y</t>
  </si>
  <si>
    <t>Trabajo útil θ</t>
  </si>
  <si>
    <t>Trabajo útil x</t>
  </si>
  <si>
    <t>Trabajo útil y</t>
  </si>
  <si>
    <t>Escape θ</t>
  </si>
  <si>
    <t>Escape x</t>
  </si>
  <si>
    <t>Escape y</t>
  </si>
  <si>
    <t>Cruce θ</t>
  </si>
  <si>
    <t>Cruce x</t>
  </si>
  <si>
    <t>Cruce y</t>
  </si>
  <si>
    <t>Evento</t>
  </si>
  <si>
    <t>θ</t>
  </si>
  <si>
    <t>x0</t>
  </si>
  <si>
    <t>y0</t>
  </si>
  <si>
    <t>x1</t>
  </si>
  <si>
    <t>y1</t>
  </si>
  <si>
    <t>xl</t>
  </si>
  <si>
    <t>yl</t>
  </si>
  <si>
    <t>Etiqueta</t>
  </si>
  <si>
    <t>Fase</t>
  </si>
  <si>
    <t>x</t>
  </si>
  <si>
    <t>y</t>
  </si>
  <si>
    <t>Expansión x</t>
  </si>
  <si>
    <t>Expansión y</t>
  </si>
  <si>
    <t>AE</t>
  </si>
  <si>
    <t>Combustión</t>
  </si>
  <si>
    <t>AAE</t>
  </si>
  <si>
    <t>Trabajo útil</t>
  </si>
  <si>
    <t>PMS</t>
  </si>
  <si>
    <t>PMI</t>
  </si>
  <si>
    <t>Eje</t>
  </si>
  <si>
    <t>AAA rayo</t>
  </si>
  <si>
    <t>RCA rayo</t>
  </si>
  <si>
    <t>AE rayo</t>
  </si>
  <si>
    <t>AAE rayo</t>
  </si>
  <si>
    <t>RCE rayo</t>
  </si>
  <si>
    <t>Expansión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</si>
</sst>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4"/>
      <color rgb="FF1F3A5F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1"/>
      <name val="Arial"/>
    </font>
    <font>
      <b/>
      <sz val="11"/>
      <color rgb="FF0000FF"/>
      <name val="Arial"/>
    </font>
    <font>
      <b/>
      <sz val="11"/>
      <color rgb="FFC0392B"/>
      <name val="Arial"/>
    </font>
    <font>
      <b/>
      <sz val="11"/>
      <color rgb="FF1F2A80"/>
      <name val="Arial"/>
    </font>
    <font>
      <b/>
      <sz val="11"/>
      <name val="Arial"/>
    </font>
    <font>
      <sz val="9"/>
      <color rgb="FF595959"/>
      <name val="Arial"/>
    </font>
    <font>
      <sz val="9"/>
      <color rgb="FFC0392B"/>
      <name val="Arial"/>
    </font>
    <font>
      <b/>
      <sz val="11"/>
      <color rgb="FF1F3A5F"/>
      <name val="Arial"/>
    </font>
    <font>
      <sz val="11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1" fontId="4" fillId="0" borderId="1" xfId="0" applyNumberFormat="1" applyFont="1" applyBorder="1" applyAlignment="1">
      <alignment horizontal="center"/>
    </xf>
    <xf numFmtId="0" fontId="7" fillId="0" borderId="1" xfId="0" applyFont="1" applyBorder="1"/>
    <xf numFmtId="2" fontId="5" fillId="3" borderId="1" xfId="0" applyNumberFormat="1" applyFont="1" applyFill="1" applyBorder="1" applyAlignment="1">
      <alignment horizontal="center"/>
    </xf>
    <xf numFmtId="0" fontId="8" fillId="4" borderId="1" xfId="0" applyFont="1" applyFill="1" applyBorder="1"/>
    <xf numFmtId="1" fontId="8" fillId="4" borderId="1" xfId="0" applyNumberFormat="1" applyFont="1" applyFill="1" applyBorder="1" applyAlignment="1">
      <alignment horizontal="center"/>
    </xf>
    <xf numFmtId="0" fontId="9" fillId="4" borderId="1" xfId="0" applyFont="1" applyFill="1" applyBorder="1"/>
    <xf numFmtId="0" fontId="8" fillId="0" borderId="0" xfId="0" applyFont="1"/>
    <xf numFmtId="0" fontId="10" fillId="0" borderId="0" xfId="0" applyFont="1"/>
    <xf numFmtId="0" fontId="12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4" fillId="0" borderId="0" xfId="0" applyFont="1"/>
    <xf numFmtId="2" fontId="4" fillId="0" borderId="0" xfId="0" applyNumberFormat="1" applyFont="1"/>
    <xf numFmtId="164" fontId="4" fillId="0" borderId="0" xfId="0" applyNumberFormat="1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3" fillId="2" borderId="0" xfId="0" applyFont="1" applyFill="1"/>
    <xf numFmtId="165" fontId="4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9" fillId="4" borderId="1" xfId="0" applyFont="1" applyFill="1" applyBorder="1"/>
    <xf numFmtId="0" fontId="0" fillId="4" borderId="1" xfId="0" applyFill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C"/>
              <a:t>Alzado de las válvulas y cruce según la fase del árbol de levas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6553085740367525E-2"/>
          <c:y val="0.10691519923645908"/>
          <c:w val="0.93099748753553879"/>
          <c:h val="0.83235351944643288"/>
        </c:manualLayout>
      </c:layout>
      <c:scatterChart>
        <c:scatterStyle val="lineMarker"/>
        <c:varyColors val="1"/>
        <c:ser>
          <c:idx val="0"/>
          <c:order val="0"/>
          <c:tx>
            <c:strRef>
              <c:f>Datos!$B$1</c:f>
              <c:strCache>
                <c:ptCount val="1"/>
                <c:pt idx="0">
                  <c:v>Escape adelantado</c:v>
                </c:pt>
              </c:strCache>
            </c:strRef>
          </c:tx>
          <c:spPr>
            <a:ln w="19050">
              <a:solidFill>
                <a:srgbClr val="E8501E"/>
              </a:solidFill>
              <a:prstDash val="sysDash"/>
            </a:ln>
          </c:spPr>
          <c:marker>
            <c:symbol val="none"/>
          </c:marker>
          <c:xVal>
            <c:numRef>
              <c:f>Datos!$A$2:$A$362</c:f>
              <c:numCache>
                <c:formatCode>General</c:formatCode>
                <c:ptCount val="36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</c:numCache>
            </c:numRef>
          </c:xVal>
          <c:yVal>
            <c:numRef>
              <c:f>Datos!$B$2:$B$362</c:f>
              <c:numCache>
                <c:formatCode>0.00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8.85233131109045E-3</c:v>
                </c:pt>
                <c:pt idx="62">
                  <c:v>3.5376329972934412E-2</c:v>
                </c:pt>
                <c:pt idx="63">
                  <c:v>7.9473133154437409E-2</c:v>
                </c:pt>
                <c:pt idx="64">
                  <c:v>0.14097837895600998</c:v>
                </c:pt>
                <c:pt idx="65">
                  <c:v>0.21966281903525098</c:v>
                </c:pt>
                <c:pt idx="66">
                  <c:v>0.31523317308369292</c:v>
                </c:pt>
                <c:pt idx="67">
                  <c:v>0.42733322196973361</c:v>
                </c:pt>
                <c:pt idx="68">
                  <c:v>0.555545135473277</c:v>
                </c:pt>
                <c:pt idx="69">
                  <c:v>0.69939102966322286</c:v>
                </c:pt>
                <c:pt idx="70">
                  <c:v>0.85833474811299837</c:v>
                </c:pt>
                <c:pt idx="71">
                  <c:v>1.0317838603150111</c:v>
                </c:pt>
                <c:pt idx="72">
                  <c:v>1.2190918698453344</c:v>
                </c:pt>
                <c:pt idx="73">
                  <c:v>1.4195606240481418</c:v>
                </c:pt>
                <c:pt idx="74">
                  <c:v>1.6324429162582883</c:v>
                </c:pt>
                <c:pt idx="75">
                  <c:v>1.8569452708627585</c:v>
                </c:pt>
                <c:pt idx="76">
                  <c:v>2.092230900820256</c:v>
                </c:pt>
                <c:pt idx="77">
                  <c:v>2.3374228266153612</c:v>
                </c:pt>
                <c:pt idx="78">
                  <c:v>2.5916071450219924</c:v>
                </c:pt>
                <c:pt idx="79">
                  <c:v>2.853836435492521</c:v>
                </c:pt>
                <c:pt idx="80">
                  <c:v>3.1231332914759085</c:v>
                </c:pt>
                <c:pt idx="81">
                  <c:v>3.3984939635025961</c:v>
                </c:pt>
                <c:pt idx="82">
                  <c:v>3.6788921004572885</c:v>
                </c:pt>
                <c:pt idx="83">
                  <c:v>3.9632825750947958</c:v>
                </c:pt>
                <c:pt idx="84">
                  <c:v>4.2506053795400769</c:v>
                </c:pt>
                <c:pt idx="85">
                  <c:v>4.5397895762528488</c:v>
                </c:pt>
                <c:pt idx="86">
                  <c:v>4.8297572897302725</c:v>
                </c:pt>
                <c:pt idx="87">
                  <c:v>5.1194277240695252</c:v>
                </c:pt>
                <c:pt idx="88">
                  <c:v>5.4077211914155265</c:v>
                </c:pt>
                <c:pt idx="89">
                  <c:v>5.6935631362786925</c:v>
                </c:pt>
                <c:pt idx="90">
                  <c:v>5.9758881407227964</c:v>
                </c:pt>
                <c:pt idx="91">
                  <c:v>6.2536438954944735</c:v>
                </c:pt>
                <c:pt idx="92">
                  <c:v>6.525795122292755</c:v>
                </c:pt>
                <c:pt idx="93">
                  <c:v>6.7913274325591813</c:v>
                </c:pt>
                <c:pt idx="94">
                  <c:v>7.0492511084056355</c:v>
                </c:pt>
                <c:pt idx="95">
                  <c:v>7.2986047915872501</c:v>
                </c:pt>
                <c:pt idx="96">
                  <c:v>7.5384590667704785</c:v>
                </c:pt>
                <c:pt idx="97">
                  <c:v>7.7679199257404585</c:v>
                </c:pt>
                <c:pt idx="98">
                  <c:v>7.9861320996354905</c:v>
                </c:pt>
                <c:pt idx="99">
                  <c:v>8.192282246788448</c:v>
                </c:pt>
                <c:pt idx="100">
                  <c:v>8.3856019842930483</c:v>
                </c:pt>
                <c:pt idx="101">
                  <c:v>8.565370751995447</c:v>
                </c:pt>
                <c:pt idx="102">
                  <c:v>8.7309184982362424</c:v>
                </c:pt>
                <c:pt idx="103">
                  <c:v>8.8816281773322654</c:v>
                </c:pt>
                <c:pt idx="104">
                  <c:v>9.0169380494893474</c:v>
                </c:pt>
                <c:pt idx="105">
                  <c:v>9.1363437745735983</c:v>
                </c:pt>
                <c:pt idx="106">
                  <c:v>9.2394002919370628</c:v>
                </c:pt>
                <c:pt idx="107">
                  <c:v>9.3257234792911223</c:v>
                </c:pt>
                <c:pt idx="108">
                  <c:v>9.3949915844445009</c:v>
                </c:pt>
                <c:pt idx="109">
                  <c:v>9.4469464245693597</c:v>
                </c:pt>
                <c:pt idx="110">
                  <c:v>9.4813943485254928</c:v>
                </c:pt>
                <c:pt idx="111">
                  <c:v>9.4982069586556985</c:v>
                </c:pt>
                <c:pt idx="112">
                  <c:v>9.5</c:v>
                </c:pt>
                <c:pt idx="113">
                  <c:v>9.5</c:v>
                </c:pt>
                <c:pt idx="114">
                  <c:v>9.5</c:v>
                </c:pt>
                <c:pt idx="115">
                  <c:v>9.5</c:v>
                </c:pt>
                <c:pt idx="116">
                  <c:v>9.5</c:v>
                </c:pt>
                <c:pt idx="117">
                  <c:v>9.5</c:v>
                </c:pt>
                <c:pt idx="118">
                  <c:v>9.5</c:v>
                </c:pt>
                <c:pt idx="119">
                  <c:v>9.5</c:v>
                </c:pt>
                <c:pt idx="120">
                  <c:v>9.5</c:v>
                </c:pt>
                <c:pt idx="121">
                  <c:v>9.5</c:v>
                </c:pt>
                <c:pt idx="122">
                  <c:v>9.5</c:v>
                </c:pt>
                <c:pt idx="123">
                  <c:v>9.5</c:v>
                </c:pt>
                <c:pt idx="124">
                  <c:v>9.5</c:v>
                </c:pt>
                <c:pt idx="125">
                  <c:v>9.5</c:v>
                </c:pt>
                <c:pt idx="126">
                  <c:v>9.5</c:v>
                </c:pt>
                <c:pt idx="127">
                  <c:v>9.5</c:v>
                </c:pt>
                <c:pt idx="128">
                  <c:v>9.5</c:v>
                </c:pt>
                <c:pt idx="129">
                  <c:v>9.5</c:v>
                </c:pt>
                <c:pt idx="130">
                  <c:v>9.5</c:v>
                </c:pt>
                <c:pt idx="131">
                  <c:v>9.5</c:v>
                </c:pt>
                <c:pt idx="132">
                  <c:v>9.4920105289504395</c:v>
                </c:pt>
                <c:pt idx="133">
                  <c:v>9.4663683121018369</c:v>
                </c:pt>
                <c:pt idx="134">
                  <c:v>9.4231467879337156</c:v>
                </c:pt>
                <c:pt idx="135">
                  <c:v>9.3625070559204797</c:v>
                </c:pt>
                <c:pt idx="136">
                  <c:v>9.2846751383772457</c:v>
                </c:pt>
                <c:pt idx="137">
                  <c:v>9.1899411380074483</c:v>
                </c:pt>
                <c:pt idx="138">
                  <c:v>9.0786581566038063</c:v>
                </c:pt>
                <c:pt idx="139">
                  <c:v>8.9512409789329173</c:v>
                </c:pt>
                <c:pt idx="140">
                  <c:v>8.8081645267090831</c:v>
                </c:pt>
                <c:pt idx="141">
                  <c:v>8.6499620884198407</c:v>
                </c:pt>
                <c:pt idx="142">
                  <c:v>8.4772233316011718</c:v>
                </c:pt>
                <c:pt idx="143">
                  <c:v>8.2905921049712372</c:v>
                </c:pt>
                <c:pt idx="144">
                  <c:v>8.0907640386147186</c:v>
                </c:pt>
                <c:pt idx="145">
                  <c:v>7.8784839511626208</c:v>
                </c:pt>
                <c:pt idx="146">
                  <c:v>7.6545430736317392</c:v>
                </c:pt>
                <c:pt idx="147">
                  <c:v>7.4197761002713305</c:v>
                </c:pt>
                <c:pt idx="148">
                  <c:v>7.1750580774094326</c:v>
                </c:pt>
                <c:pt idx="149">
                  <c:v>6.9213011418949595</c:v>
                </c:pt>
                <c:pt idx="150">
                  <c:v>6.6594511212924044</c:v>
                </c:pt>
                <c:pt idx="151">
                  <c:v>6.3904840085012093</c:v>
                </c:pt>
                <c:pt idx="152">
                  <c:v>6.1154023239399962</c:v>
                </c:pt>
                <c:pt idx="153">
                  <c:v>5.8352313788548029</c:v>
                </c:pt>
                <c:pt idx="154">
                  <c:v>5.5510154536791614</c:v>
                </c:pt>
                <c:pt idx="155">
                  <c:v>5.2638139056903537</c:v>
                </c:pt>
                <c:pt idx="156">
                  <c:v>4.9746972204697908</c:v>
                </c:pt>
                <c:pt idx="157">
                  <c:v>4.6847430218848993</c:v>
                </c:pt>
                <c:pt idx="158">
                  <c:v>4.3950320554644833</c:v>
                </c:pt>
                <c:pt idx="159">
                  <c:v>4.1066441601387416</c:v>
                </c:pt>
                <c:pt idx="160">
                  <c:v>3.820654243358423</c:v>
                </c:pt>
                <c:pt idx="161">
                  <c:v>3.5381282745950924</c:v>
                </c:pt>
                <c:pt idx="162">
                  <c:v>3.260119312155898</c:v>
                </c:pt>
                <c:pt idx="163">
                  <c:v>2.9876635781220915</c:v>
                </c:pt>
                <c:pt idx="164">
                  <c:v>2.7217765960411531</c:v>
                </c:pt>
                <c:pt idx="165">
                  <c:v>2.4634494057685323</c:v>
                </c:pt>
                <c:pt idx="166">
                  <c:v>2.2136448695673643</c:v>
                </c:pt>
                <c:pt idx="167">
                  <c:v>1.9732940832344832</c:v>
                </c:pt>
                <c:pt idx="168">
                  <c:v>1.7432929056294639</c:v>
                </c:pt>
                <c:pt idx="169">
                  <c:v>1.5244986195422456</c:v>
                </c:pt>
                <c:pt idx="170">
                  <c:v>1.3177267363452128</c:v>
                </c:pt>
                <c:pt idx="171">
                  <c:v>1.1237479563397885</c:v>
                </c:pt>
                <c:pt idx="172">
                  <c:v>0.94328529612720657</c:v>
                </c:pt>
                <c:pt idx="173">
                  <c:v>0.77701139371061678</c:v>
                </c:pt>
                <c:pt idx="174">
                  <c:v>0.6255460013732107</c:v>
                </c:pt>
                <c:pt idx="175">
                  <c:v>0.48945367567714926</c:v>
                </c:pt>
                <c:pt idx="176">
                  <c:v>0.36924167319336521</c:v>
                </c:pt>
                <c:pt idx="177">
                  <c:v>0.26535805980546001</c:v>
                </c:pt>
                <c:pt idx="178">
                  <c:v>0.17819004063490779</c:v>
                </c:pt>
                <c:pt idx="179">
                  <c:v>0.10806251681241599</c:v>
                </c:pt>
                <c:pt idx="180">
                  <c:v>5.5236874474785841E-2</c:v>
                </c:pt>
                <c:pt idx="181">
                  <c:v>1.9910010501046349E-2</c:v>
                </c:pt>
                <c:pt idx="182">
                  <c:v>2.2135986192304002E-3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0E-44CC-87E8-798729FC7A3E}"/>
            </c:ext>
          </c:extLst>
        </c:ser>
        <c:ser>
          <c:idx val="1"/>
          <c:order val="1"/>
          <c:tx>
            <c:strRef>
              <c:f>Datos!$C$1</c:f>
              <c:strCache>
                <c:ptCount val="1"/>
                <c:pt idx="0">
                  <c:v>Escape base</c:v>
                </c:pt>
              </c:strCache>
            </c:strRef>
          </c:tx>
          <c:spPr>
            <a:ln w="31750">
              <a:solidFill>
                <a:srgbClr val="E8501E"/>
              </a:solidFill>
              <a:prstDash val="solid"/>
            </a:ln>
          </c:spPr>
          <c:marker>
            <c:symbol val="none"/>
          </c:marker>
          <c:xVal>
            <c:numRef>
              <c:f>Datos!$A$2:$A$362</c:f>
              <c:numCache>
                <c:formatCode>General</c:formatCode>
                <c:ptCount val="36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</c:numCache>
            </c:numRef>
          </c:xVal>
          <c:yVal>
            <c:numRef>
              <c:f>Datos!$C$2:$C$362</c:f>
              <c:numCache>
                <c:formatCode>0.00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2.2135986192304002E-3</c:v>
                </c:pt>
                <c:pt idx="69">
                  <c:v>1.9910010501046349E-2</c:v>
                </c:pt>
                <c:pt idx="70">
                  <c:v>5.5236874474785841E-2</c:v>
                </c:pt>
                <c:pt idx="71">
                  <c:v>0.10806251681241599</c:v>
                </c:pt>
                <c:pt idx="72">
                  <c:v>0.17819004063490779</c:v>
                </c:pt>
                <c:pt idx="73">
                  <c:v>0.26535805980546001</c:v>
                </c:pt>
                <c:pt idx="74">
                  <c:v>0.3692416731933657</c:v>
                </c:pt>
                <c:pt idx="75">
                  <c:v>0.48945367567714976</c:v>
                </c:pt>
                <c:pt idx="76">
                  <c:v>0.62554600137320959</c:v>
                </c:pt>
                <c:pt idx="77">
                  <c:v>0.77701139371061578</c:v>
                </c:pt>
                <c:pt idx="78">
                  <c:v>0.94328529612720602</c:v>
                </c:pt>
                <c:pt idx="79">
                  <c:v>1.1237479563397885</c:v>
                </c:pt>
                <c:pt idx="80">
                  <c:v>1.3177267363452128</c:v>
                </c:pt>
                <c:pt idx="81">
                  <c:v>1.5244986195422456</c:v>
                </c:pt>
                <c:pt idx="82">
                  <c:v>1.743292905629465</c:v>
                </c:pt>
                <c:pt idx="83">
                  <c:v>1.9732940832344836</c:v>
                </c:pt>
                <c:pt idx="84">
                  <c:v>2.2136448695673661</c:v>
                </c:pt>
                <c:pt idx="85">
                  <c:v>2.4634494057685314</c:v>
                </c:pt>
                <c:pt idx="86">
                  <c:v>2.7217765960411531</c:v>
                </c:pt>
                <c:pt idx="87">
                  <c:v>2.9876635781220902</c:v>
                </c:pt>
                <c:pt idx="88">
                  <c:v>3.260119312155898</c:v>
                </c:pt>
                <c:pt idx="89">
                  <c:v>3.5381282745950924</c:v>
                </c:pt>
                <c:pt idx="90">
                  <c:v>3.8206542433584243</c:v>
                </c:pt>
                <c:pt idx="91">
                  <c:v>4.1066441601387424</c:v>
                </c:pt>
                <c:pt idx="92">
                  <c:v>4.3950320554644851</c:v>
                </c:pt>
                <c:pt idx="93">
                  <c:v>4.6847430218848984</c:v>
                </c:pt>
                <c:pt idx="94">
                  <c:v>4.9746972204697899</c:v>
                </c:pt>
                <c:pt idx="95">
                  <c:v>5.263813905690351</c:v>
                </c:pt>
                <c:pt idx="96">
                  <c:v>5.5510154536791605</c:v>
                </c:pt>
                <c:pt idx="97">
                  <c:v>5.8352313788548029</c:v>
                </c:pt>
                <c:pt idx="98">
                  <c:v>6.1154023239399962</c:v>
                </c:pt>
                <c:pt idx="99">
                  <c:v>6.3904840085012093</c:v>
                </c:pt>
                <c:pt idx="100">
                  <c:v>6.6594511212924061</c:v>
                </c:pt>
                <c:pt idx="101">
                  <c:v>6.9213011418949639</c:v>
                </c:pt>
                <c:pt idx="102">
                  <c:v>7.1750580774094326</c:v>
                </c:pt>
                <c:pt idx="103">
                  <c:v>7.4197761002713296</c:v>
                </c:pt>
                <c:pt idx="104">
                  <c:v>7.6545430736317392</c:v>
                </c:pt>
                <c:pt idx="105">
                  <c:v>7.8784839511626208</c:v>
                </c:pt>
                <c:pt idx="106">
                  <c:v>8.0907640386147186</c:v>
                </c:pt>
                <c:pt idx="107">
                  <c:v>8.2905921049712372</c:v>
                </c:pt>
                <c:pt idx="108">
                  <c:v>8.4772233316011736</c:v>
                </c:pt>
                <c:pt idx="109">
                  <c:v>8.6499620884198407</c:v>
                </c:pt>
                <c:pt idx="110">
                  <c:v>8.8081645267090813</c:v>
                </c:pt>
                <c:pt idx="111">
                  <c:v>8.9512409789329155</c:v>
                </c:pt>
                <c:pt idx="112">
                  <c:v>9.0786581566038063</c:v>
                </c:pt>
                <c:pt idx="113">
                  <c:v>9.1899411380074483</c:v>
                </c:pt>
                <c:pt idx="114">
                  <c:v>9.2846751383772457</c:v>
                </c:pt>
                <c:pt idx="115">
                  <c:v>9.3625070559204797</c:v>
                </c:pt>
                <c:pt idx="116">
                  <c:v>9.4231467879337156</c:v>
                </c:pt>
                <c:pt idx="117">
                  <c:v>9.4663683121018369</c:v>
                </c:pt>
                <c:pt idx="118">
                  <c:v>9.4920105289504395</c:v>
                </c:pt>
                <c:pt idx="119">
                  <c:v>9.5</c:v>
                </c:pt>
                <c:pt idx="120">
                  <c:v>9.5</c:v>
                </c:pt>
                <c:pt idx="121">
                  <c:v>9.5</c:v>
                </c:pt>
                <c:pt idx="122">
                  <c:v>9.5</c:v>
                </c:pt>
                <c:pt idx="123">
                  <c:v>9.5</c:v>
                </c:pt>
                <c:pt idx="124">
                  <c:v>9.5</c:v>
                </c:pt>
                <c:pt idx="125">
                  <c:v>9.5</c:v>
                </c:pt>
                <c:pt idx="126">
                  <c:v>9.5</c:v>
                </c:pt>
                <c:pt idx="127">
                  <c:v>9.5</c:v>
                </c:pt>
                <c:pt idx="128">
                  <c:v>9.5</c:v>
                </c:pt>
                <c:pt idx="129">
                  <c:v>9.5</c:v>
                </c:pt>
                <c:pt idx="130">
                  <c:v>9.5</c:v>
                </c:pt>
                <c:pt idx="131">
                  <c:v>9.5</c:v>
                </c:pt>
                <c:pt idx="132">
                  <c:v>9.5</c:v>
                </c:pt>
                <c:pt idx="133">
                  <c:v>9.5</c:v>
                </c:pt>
                <c:pt idx="134">
                  <c:v>9.5</c:v>
                </c:pt>
                <c:pt idx="135">
                  <c:v>9.5</c:v>
                </c:pt>
                <c:pt idx="136">
                  <c:v>9.5</c:v>
                </c:pt>
                <c:pt idx="137">
                  <c:v>9.5</c:v>
                </c:pt>
                <c:pt idx="138">
                  <c:v>9.5</c:v>
                </c:pt>
                <c:pt idx="139">
                  <c:v>9.4982069586556985</c:v>
                </c:pt>
                <c:pt idx="140">
                  <c:v>9.4813943485254928</c:v>
                </c:pt>
                <c:pt idx="141">
                  <c:v>9.4469464245693597</c:v>
                </c:pt>
                <c:pt idx="142">
                  <c:v>9.3949915844445009</c:v>
                </c:pt>
                <c:pt idx="143">
                  <c:v>9.3257234792911223</c:v>
                </c:pt>
                <c:pt idx="144">
                  <c:v>9.2394002919370628</c:v>
                </c:pt>
                <c:pt idx="145">
                  <c:v>9.1363437745735983</c:v>
                </c:pt>
                <c:pt idx="146">
                  <c:v>9.0169380494893474</c:v>
                </c:pt>
                <c:pt idx="147">
                  <c:v>8.8816281773322654</c:v>
                </c:pt>
                <c:pt idx="148">
                  <c:v>8.7309184982362424</c:v>
                </c:pt>
                <c:pt idx="149">
                  <c:v>8.565370751995447</c:v>
                </c:pt>
                <c:pt idx="150">
                  <c:v>8.3856019842930483</c:v>
                </c:pt>
                <c:pt idx="151">
                  <c:v>8.1922822467884515</c:v>
                </c:pt>
                <c:pt idx="152">
                  <c:v>7.9861320996354896</c:v>
                </c:pt>
                <c:pt idx="153">
                  <c:v>7.7679199257404568</c:v>
                </c:pt>
                <c:pt idx="154">
                  <c:v>7.5384590667704785</c:v>
                </c:pt>
                <c:pt idx="155">
                  <c:v>7.2986047915872501</c:v>
                </c:pt>
                <c:pt idx="156">
                  <c:v>7.0492511084056355</c:v>
                </c:pt>
                <c:pt idx="157">
                  <c:v>6.7913274325591813</c:v>
                </c:pt>
                <c:pt idx="158">
                  <c:v>6.525795122292755</c:v>
                </c:pt>
                <c:pt idx="159">
                  <c:v>6.2536438954944744</c:v>
                </c:pt>
                <c:pt idx="160">
                  <c:v>5.9758881407227991</c:v>
                </c:pt>
                <c:pt idx="161">
                  <c:v>5.6935631362786907</c:v>
                </c:pt>
                <c:pt idx="162">
                  <c:v>5.4077211914155257</c:v>
                </c:pt>
                <c:pt idx="163">
                  <c:v>5.1194277240695252</c:v>
                </c:pt>
                <c:pt idx="164">
                  <c:v>4.8297572897302725</c:v>
                </c:pt>
                <c:pt idx="165">
                  <c:v>4.5397895762528488</c:v>
                </c:pt>
                <c:pt idx="166">
                  <c:v>4.2506053795400778</c:v>
                </c:pt>
                <c:pt idx="167">
                  <c:v>3.9632825750947958</c:v>
                </c:pt>
                <c:pt idx="168">
                  <c:v>3.6788921004572916</c:v>
                </c:pt>
                <c:pt idx="169">
                  <c:v>3.3984939635025939</c:v>
                </c:pt>
                <c:pt idx="170">
                  <c:v>3.1231332914759071</c:v>
                </c:pt>
                <c:pt idx="171">
                  <c:v>2.8538364354925205</c:v>
                </c:pt>
                <c:pt idx="172">
                  <c:v>2.5916071450219924</c:v>
                </c:pt>
                <c:pt idx="173">
                  <c:v>2.3374228266153612</c:v>
                </c:pt>
                <c:pt idx="174">
                  <c:v>2.092230900820256</c:v>
                </c:pt>
                <c:pt idx="175">
                  <c:v>1.8569452708627592</c:v>
                </c:pt>
                <c:pt idx="176">
                  <c:v>1.6324429162582894</c:v>
                </c:pt>
                <c:pt idx="177">
                  <c:v>1.4195606240481433</c:v>
                </c:pt>
                <c:pt idx="178">
                  <c:v>1.2190918698453335</c:v>
                </c:pt>
                <c:pt idx="179">
                  <c:v>1.0317838603150107</c:v>
                </c:pt>
                <c:pt idx="180">
                  <c:v>0.85833474811299837</c:v>
                </c:pt>
                <c:pt idx="181">
                  <c:v>0.69939102966322286</c:v>
                </c:pt>
                <c:pt idx="182">
                  <c:v>0.555545135473277</c:v>
                </c:pt>
                <c:pt idx="183">
                  <c:v>0.42733322196973361</c:v>
                </c:pt>
                <c:pt idx="184">
                  <c:v>0.31523317308369347</c:v>
                </c:pt>
                <c:pt idx="185">
                  <c:v>0.21966281903525151</c:v>
                </c:pt>
                <c:pt idx="186">
                  <c:v>0.14097837895600998</c:v>
                </c:pt>
                <c:pt idx="187">
                  <c:v>7.9473133154436881E-2</c:v>
                </c:pt>
                <c:pt idx="188">
                  <c:v>3.5376329972934412E-2</c:v>
                </c:pt>
                <c:pt idx="189">
                  <c:v>8.85233131109045E-3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0E-44CC-87E8-798729FC7A3E}"/>
            </c:ext>
          </c:extLst>
        </c:ser>
        <c:ser>
          <c:idx val="2"/>
          <c:order val="2"/>
          <c:tx>
            <c:strRef>
              <c:f>Datos!$D$1</c:f>
              <c:strCache>
                <c:ptCount val="1"/>
                <c:pt idx="0">
                  <c:v>Escape retrasado</c:v>
                </c:pt>
              </c:strCache>
            </c:strRef>
          </c:tx>
          <c:spPr>
            <a:ln w="19050">
              <a:solidFill>
                <a:srgbClr val="E8501E"/>
              </a:solidFill>
              <a:prstDash val="lgDash"/>
            </a:ln>
          </c:spPr>
          <c:marker>
            <c:symbol val="none"/>
          </c:marker>
          <c:xVal>
            <c:numRef>
              <c:f>Datos!$A$2:$A$362</c:f>
              <c:numCache>
                <c:formatCode>General</c:formatCode>
                <c:ptCount val="36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</c:numCache>
            </c:numRef>
          </c:xVal>
          <c:yVal>
            <c:numRef>
              <c:f>Datos!$D$2:$D$362</c:f>
              <c:numCache>
                <c:formatCode>0.00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8.85233131109045E-3</c:v>
                </c:pt>
                <c:pt idx="77">
                  <c:v>3.5376329972934412E-2</c:v>
                </c:pt>
                <c:pt idx="78">
                  <c:v>7.9473133154437409E-2</c:v>
                </c:pt>
                <c:pt idx="79">
                  <c:v>0.14097837895600998</c:v>
                </c:pt>
                <c:pt idx="80">
                  <c:v>0.21966281903525098</c:v>
                </c:pt>
                <c:pt idx="81">
                  <c:v>0.31523317308369292</c:v>
                </c:pt>
                <c:pt idx="82">
                  <c:v>0.42733322196973361</c:v>
                </c:pt>
                <c:pt idx="83">
                  <c:v>0.555545135473277</c:v>
                </c:pt>
                <c:pt idx="84">
                  <c:v>0.69939102966322286</c:v>
                </c:pt>
                <c:pt idx="85">
                  <c:v>0.85833474811299837</c:v>
                </c:pt>
                <c:pt idx="86">
                  <c:v>1.0317838603150111</c:v>
                </c:pt>
                <c:pt idx="87">
                  <c:v>1.2190918698453344</c:v>
                </c:pt>
                <c:pt idx="88">
                  <c:v>1.4195606240481418</c:v>
                </c:pt>
                <c:pt idx="89">
                  <c:v>1.6324429162582883</c:v>
                </c:pt>
                <c:pt idx="90">
                  <c:v>1.8569452708627585</c:v>
                </c:pt>
                <c:pt idx="91">
                  <c:v>2.092230900820256</c:v>
                </c:pt>
                <c:pt idx="92">
                  <c:v>2.3374228266153612</c:v>
                </c:pt>
                <c:pt idx="93">
                  <c:v>2.5916071450219924</c:v>
                </c:pt>
                <c:pt idx="94">
                  <c:v>2.853836435492521</c:v>
                </c:pt>
                <c:pt idx="95">
                  <c:v>3.1231332914759085</c:v>
                </c:pt>
                <c:pt idx="96">
                  <c:v>3.3984939635025961</c:v>
                </c:pt>
                <c:pt idx="97">
                  <c:v>3.6788921004572885</c:v>
                </c:pt>
                <c:pt idx="98">
                  <c:v>3.9632825750947958</c:v>
                </c:pt>
                <c:pt idx="99">
                  <c:v>4.2506053795400769</c:v>
                </c:pt>
                <c:pt idx="100">
                  <c:v>4.5397895762528488</c:v>
                </c:pt>
                <c:pt idx="101">
                  <c:v>4.8297572897302725</c:v>
                </c:pt>
                <c:pt idx="102">
                  <c:v>5.1194277240695252</c:v>
                </c:pt>
                <c:pt idx="103">
                  <c:v>5.4077211914155265</c:v>
                </c:pt>
                <c:pt idx="104">
                  <c:v>5.6935631362786925</c:v>
                </c:pt>
                <c:pt idx="105">
                  <c:v>5.9758881407227964</c:v>
                </c:pt>
                <c:pt idx="106">
                  <c:v>6.2536438954944735</c:v>
                </c:pt>
                <c:pt idx="107">
                  <c:v>6.525795122292755</c:v>
                </c:pt>
                <c:pt idx="108">
                  <c:v>6.7913274325591813</c:v>
                </c:pt>
                <c:pt idx="109">
                  <c:v>7.0492511084056355</c:v>
                </c:pt>
                <c:pt idx="110">
                  <c:v>7.2986047915872501</c:v>
                </c:pt>
                <c:pt idx="111">
                  <c:v>7.5384590667704785</c:v>
                </c:pt>
                <c:pt idx="112">
                  <c:v>7.7679199257404585</c:v>
                </c:pt>
                <c:pt idx="113">
                  <c:v>7.9861320996354905</c:v>
                </c:pt>
                <c:pt idx="114">
                  <c:v>8.192282246788448</c:v>
                </c:pt>
                <c:pt idx="115">
                  <c:v>8.3856019842930483</c:v>
                </c:pt>
                <c:pt idx="116">
                  <c:v>8.565370751995447</c:v>
                </c:pt>
                <c:pt idx="117">
                  <c:v>8.7309184982362424</c:v>
                </c:pt>
                <c:pt idx="118">
                  <c:v>8.8816281773322654</c:v>
                </c:pt>
                <c:pt idx="119">
                  <c:v>9.0169380494893474</c:v>
                </c:pt>
                <c:pt idx="120">
                  <c:v>9.1363437745735983</c:v>
                </c:pt>
                <c:pt idx="121">
                  <c:v>9.2394002919370628</c:v>
                </c:pt>
                <c:pt idx="122">
                  <c:v>9.3257234792911223</c:v>
                </c:pt>
                <c:pt idx="123">
                  <c:v>9.3949915844445009</c:v>
                </c:pt>
                <c:pt idx="124">
                  <c:v>9.4469464245693597</c:v>
                </c:pt>
                <c:pt idx="125">
                  <c:v>9.4813943485254928</c:v>
                </c:pt>
                <c:pt idx="126">
                  <c:v>9.4982069586556985</c:v>
                </c:pt>
                <c:pt idx="127">
                  <c:v>9.5</c:v>
                </c:pt>
                <c:pt idx="128">
                  <c:v>9.5</c:v>
                </c:pt>
                <c:pt idx="129">
                  <c:v>9.5</c:v>
                </c:pt>
                <c:pt idx="130">
                  <c:v>9.5</c:v>
                </c:pt>
                <c:pt idx="131">
                  <c:v>9.5</c:v>
                </c:pt>
                <c:pt idx="132">
                  <c:v>9.5</c:v>
                </c:pt>
                <c:pt idx="133">
                  <c:v>9.5</c:v>
                </c:pt>
                <c:pt idx="134">
                  <c:v>9.5</c:v>
                </c:pt>
                <c:pt idx="135">
                  <c:v>9.5</c:v>
                </c:pt>
                <c:pt idx="136">
                  <c:v>9.5</c:v>
                </c:pt>
                <c:pt idx="137">
                  <c:v>9.5</c:v>
                </c:pt>
                <c:pt idx="138">
                  <c:v>9.5</c:v>
                </c:pt>
                <c:pt idx="139">
                  <c:v>9.5</c:v>
                </c:pt>
                <c:pt idx="140">
                  <c:v>9.5</c:v>
                </c:pt>
                <c:pt idx="141">
                  <c:v>9.5</c:v>
                </c:pt>
                <c:pt idx="142">
                  <c:v>9.5</c:v>
                </c:pt>
                <c:pt idx="143">
                  <c:v>9.5</c:v>
                </c:pt>
                <c:pt idx="144">
                  <c:v>9.5</c:v>
                </c:pt>
                <c:pt idx="145">
                  <c:v>9.5</c:v>
                </c:pt>
                <c:pt idx="146">
                  <c:v>9.5</c:v>
                </c:pt>
                <c:pt idx="147">
                  <c:v>9.4920105289504395</c:v>
                </c:pt>
                <c:pt idx="148">
                  <c:v>9.4663683121018369</c:v>
                </c:pt>
                <c:pt idx="149">
                  <c:v>9.4231467879337156</c:v>
                </c:pt>
                <c:pt idx="150">
                  <c:v>9.3625070559204797</c:v>
                </c:pt>
                <c:pt idx="151">
                  <c:v>9.2846751383772457</c:v>
                </c:pt>
                <c:pt idx="152">
                  <c:v>9.1899411380074483</c:v>
                </c:pt>
                <c:pt idx="153">
                  <c:v>9.0786581566038063</c:v>
                </c:pt>
                <c:pt idx="154">
                  <c:v>8.9512409789329173</c:v>
                </c:pt>
                <c:pt idx="155">
                  <c:v>8.8081645267090831</c:v>
                </c:pt>
                <c:pt idx="156">
                  <c:v>8.6499620884198407</c:v>
                </c:pt>
                <c:pt idx="157">
                  <c:v>8.4772233316011718</c:v>
                </c:pt>
                <c:pt idx="158">
                  <c:v>8.2905921049712372</c:v>
                </c:pt>
                <c:pt idx="159">
                  <c:v>8.0907640386147186</c:v>
                </c:pt>
                <c:pt idx="160">
                  <c:v>7.8784839511626208</c:v>
                </c:pt>
                <c:pt idx="161">
                  <c:v>7.6545430736317392</c:v>
                </c:pt>
                <c:pt idx="162">
                  <c:v>7.4197761002713305</c:v>
                </c:pt>
                <c:pt idx="163">
                  <c:v>7.1750580774094326</c:v>
                </c:pt>
                <c:pt idx="164">
                  <c:v>6.9213011418949595</c:v>
                </c:pt>
                <c:pt idx="165">
                  <c:v>6.6594511212924044</c:v>
                </c:pt>
                <c:pt idx="166">
                  <c:v>6.3904840085012093</c:v>
                </c:pt>
                <c:pt idx="167">
                  <c:v>6.1154023239399962</c:v>
                </c:pt>
                <c:pt idx="168">
                  <c:v>5.8352313788548029</c:v>
                </c:pt>
                <c:pt idx="169">
                  <c:v>5.5510154536791614</c:v>
                </c:pt>
                <c:pt idx="170">
                  <c:v>5.2638139056903537</c:v>
                </c:pt>
                <c:pt idx="171">
                  <c:v>4.9746972204697908</c:v>
                </c:pt>
                <c:pt idx="172">
                  <c:v>4.6847430218848993</c:v>
                </c:pt>
                <c:pt idx="173">
                  <c:v>4.3950320554644833</c:v>
                </c:pt>
                <c:pt idx="174">
                  <c:v>4.1066441601387416</c:v>
                </c:pt>
                <c:pt idx="175">
                  <c:v>3.820654243358423</c:v>
                </c:pt>
                <c:pt idx="176">
                  <c:v>3.5381282745950924</c:v>
                </c:pt>
                <c:pt idx="177">
                  <c:v>3.260119312155898</c:v>
                </c:pt>
                <c:pt idx="178">
                  <c:v>2.9876635781220915</c:v>
                </c:pt>
                <c:pt idx="179">
                  <c:v>2.7217765960411531</c:v>
                </c:pt>
                <c:pt idx="180">
                  <c:v>2.4634494057685323</c:v>
                </c:pt>
                <c:pt idx="181">
                  <c:v>2.2136448695673643</c:v>
                </c:pt>
                <c:pt idx="182">
                  <c:v>1.9732940832344832</c:v>
                </c:pt>
                <c:pt idx="183">
                  <c:v>1.7432929056294639</c:v>
                </c:pt>
                <c:pt idx="184">
                  <c:v>1.5244986195422456</c:v>
                </c:pt>
                <c:pt idx="185">
                  <c:v>1.3177267363452128</c:v>
                </c:pt>
                <c:pt idx="186">
                  <c:v>1.1237479563397885</c:v>
                </c:pt>
                <c:pt idx="187">
                  <c:v>0.94328529612720657</c:v>
                </c:pt>
                <c:pt idx="188">
                  <c:v>0.77701139371061678</c:v>
                </c:pt>
                <c:pt idx="189">
                  <c:v>0.6255460013732107</c:v>
                </c:pt>
                <c:pt idx="190">
                  <c:v>0.48945367567714926</c:v>
                </c:pt>
                <c:pt idx="191">
                  <c:v>0.36924167319336521</c:v>
                </c:pt>
                <c:pt idx="192">
                  <c:v>0.26535805980546001</c:v>
                </c:pt>
                <c:pt idx="193">
                  <c:v>0.17819004063490779</c:v>
                </c:pt>
                <c:pt idx="194">
                  <c:v>0.10806251681241599</c:v>
                </c:pt>
                <c:pt idx="195">
                  <c:v>5.5236874474785841E-2</c:v>
                </c:pt>
                <c:pt idx="196">
                  <c:v>1.9910010501046349E-2</c:v>
                </c:pt>
                <c:pt idx="197">
                  <c:v>2.2135986192304002E-3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0E-44CC-87E8-798729FC7A3E}"/>
            </c:ext>
          </c:extLst>
        </c:ser>
        <c:ser>
          <c:idx val="3"/>
          <c:order val="3"/>
          <c:tx>
            <c:strRef>
              <c:f>Datos!$E$1</c:f>
              <c:strCache>
                <c:ptCount val="1"/>
                <c:pt idx="0">
                  <c:v>Admisión adelantada</c:v>
                </c:pt>
              </c:strCache>
            </c:strRef>
          </c:tx>
          <c:spPr>
            <a:ln w="19050">
              <a:solidFill>
                <a:srgbClr val="2B2B8C"/>
              </a:solidFill>
              <a:prstDash val="sysDash"/>
            </a:ln>
          </c:spPr>
          <c:marker>
            <c:symbol val="none"/>
          </c:marker>
          <c:xVal>
            <c:numRef>
              <c:f>Datos!$A$2:$A$362</c:f>
              <c:numCache>
                <c:formatCode>General</c:formatCode>
                <c:ptCount val="36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</c:numCache>
            </c:numRef>
          </c:xVal>
          <c:yVal>
            <c:numRef>
              <c:f>Datos!$E$2:$E$362</c:f>
              <c:numCache>
                <c:formatCode>0.00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1.9021627951108788E-3</c:v>
                </c:pt>
                <c:pt idx="164">
                  <c:v>1.710925052023396E-2</c:v>
                </c:pt>
                <c:pt idx="165">
                  <c:v>4.7468988543203777E-2</c:v>
                </c:pt>
                <c:pt idx="166">
                  <c:v>9.2872696881325822E-2</c:v>
                </c:pt>
                <c:pt idx="167">
                  <c:v>0.15315784204262373</c:v>
                </c:pt>
                <c:pt idx="168">
                  <c:v>0.22810861885355191</c:v>
                </c:pt>
                <c:pt idx="169">
                  <c:v>0.31745672298551403</c:v>
                </c:pt>
                <c:pt idx="170">
                  <c:v>0.42088231141471866</c:v>
                </c:pt>
                <c:pt idx="171">
                  <c:v>0.53801514737719858</c:v>
                </c:pt>
                <c:pt idx="172">
                  <c:v>0.6684359257203335</c:v>
                </c:pt>
                <c:pt idx="173">
                  <c:v>0.81167777390647378</c:v>
                </c:pt>
                <c:pt idx="174">
                  <c:v>0.96722792329545204</c:v>
                </c:pt>
                <c:pt idx="175">
                  <c:v>1.134529544723238</c:v>
                </c:pt>
                <c:pt idx="176">
                  <c:v>1.3129837418058252</c:v>
                </c:pt>
                <c:pt idx="177">
                  <c:v>1.5019516948328515</c:v>
                </c:pt>
                <c:pt idx="178">
                  <c:v>1.7007569475763664</c:v>
                </c:pt>
                <c:pt idx="179">
                  <c:v>1.9086878288285647</c:v>
                </c:pt>
                <c:pt idx="180">
                  <c:v>2.1250000000000004</c:v>
                </c:pt>
                <c:pt idx="181">
                  <c:v>2.3489191196585613</c:v>
                </c:pt>
                <c:pt idx="182">
                  <c:v>2.5796436154708244</c:v>
                </c:pt>
                <c:pt idx="183">
                  <c:v>2.8163475536229727</c:v>
                </c:pt>
                <c:pt idx="184">
                  <c:v>3.0581835954494876</c:v>
                </c:pt>
                <c:pt idx="185">
                  <c:v>3.3042860306856636</c:v>
                </c:pt>
                <c:pt idx="186">
                  <c:v>3.5537738764856655</c:v>
                </c:pt>
                <c:pt idx="187">
                  <c:v>3.8057540311124729</c:v>
                </c:pt>
                <c:pt idx="188">
                  <c:v>4.0593244710103109</c:v>
                </c:pt>
                <c:pt idx="189">
                  <c:v>4.3135774798148692</c:v>
                </c:pt>
                <c:pt idx="190">
                  <c:v>4.5676028977423035</c:v>
                </c:pt>
                <c:pt idx="191">
                  <c:v>4.8204913797250368</c:v>
                </c:pt>
                <c:pt idx="192">
                  <c:v>5.0713376506311008</c:v>
                </c:pt>
                <c:pt idx="193">
                  <c:v>5.3192437459141599</c:v>
                </c:pt>
                <c:pt idx="194">
                  <c:v>5.5633222260935264</c:v>
                </c:pt>
                <c:pt idx="195">
                  <c:v>5.8026993535571787</c:v>
                </c:pt>
                <c:pt idx="196">
                  <c:v>6.0365182203156538</c:v>
                </c:pt>
                <c:pt idx="197">
                  <c:v>6.2639418155102442</c:v>
                </c:pt>
                <c:pt idx="198">
                  <c:v>6.4841560216946439</c:v>
                </c:pt>
                <c:pt idx="199">
                  <c:v>6.6963725291641119</c:v>
                </c:pt>
                <c:pt idx="200">
                  <c:v>6.8998316578996164</c:v>
                </c:pt>
                <c:pt idx="201">
                  <c:v>7.0938050770251477</c:v>
                </c:pt>
                <c:pt idx="202">
                  <c:v>7.2775984120432149</c:v>
                </c:pt>
                <c:pt idx="203">
                  <c:v>7.4505537305153462</c:v>
                </c:pt>
                <c:pt idx="204">
                  <c:v>7.6120518972894509</c:v>
                </c:pt>
                <c:pt idx="205">
                  <c:v>7.7615147908429787</c:v>
                </c:pt>
                <c:pt idx="206">
                  <c:v>7.8984073728079309</c:v>
                </c:pt>
                <c:pt idx="207">
                  <c:v>8.0222396032693553</c:v>
                </c:pt>
                <c:pt idx="208">
                  <c:v>8.1325681949810527</c:v>
                </c:pt>
                <c:pt idx="209">
                  <c:v>8.228998200218884</c:v>
                </c:pt>
                <c:pt idx="210">
                  <c:v>8.3111844245910973</c:v>
                </c:pt>
                <c:pt idx="211">
                  <c:v>8.3788326627446867</c:v>
                </c:pt>
                <c:pt idx="212">
                  <c:v>8.4317007515441755</c:v>
                </c:pt>
                <c:pt idx="213">
                  <c:v>8.4695994369528087</c:v>
                </c:pt>
                <c:pt idx="214">
                  <c:v>8.4923930515128738</c:v>
                </c:pt>
                <c:pt idx="215">
                  <c:v>8.5</c:v>
                </c:pt>
                <c:pt idx="216">
                  <c:v>8.5</c:v>
                </c:pt>
                <c:pt idx="217">
                  <c:v>8.5</c:v>
                </c:pt>
                <c:pt idx="218">
                  <c:v>8.5</c:v>
                </c:pt>
                <c:pt idx="219">
                  <c:v>8.5</c:v>
                </c:pt>
                <c:pt idx="220">
                  <c:v>8.5</c:v>
                </c:pt>
                <c:pt idx="221">
                  <c:v>8.5</c:v>
                </c:pt>
                <c:pt idx="222">
                  <c:v>8.5</c:v>
                </c:pt>
                <c:pt idx="223">
                  <c:v>8.5</c:v>
                </c:pt>
                <c:pt idx="224">
                  <c:v>8.5</c:v>
                </c:pt>
                <c:pt idx="225">
                  <c:v>8.5</c:v>
                </c:pt>
                <c:pt idx="226">
                  <c:v>8.5</c:v>
                </c:pt>
                <c:pt idx="227">
                  <c:v>8.5</c:v>
                </c:pt>
                <c:pt idx="228">
                  <c:v>8.5</c:v>
                </c:pt>
                <c:pt idx="229">
                  <c:v>8.5</c:v>
                </c:pt>
                <c:pt idx="230">
                  <c:v>8.5</c:v>
                </c:pt>
                <c:pt idx="231">
                  <c:v>8.5</c:v>
                </c:pt>
                <c:pt idx="232">
                  <c:v>8.5</c:v>
                </c:pt>
                <c:pt idx="233">
                  <c:v>8.5</c:v>
                </c:pt>
                <c:pt idx="234">
                  <c:v>8.5</c:v>
                </c:pt>
                <c:pt idx="235">
                  <c:v>8.5</c:v>
                </c:pt>
                <c:pt idx="236">
                  <c:v>8.4923930515128738</c:v>
                </c:pt>
                <c:pt idx="237">
                  <c:v>8.4695994369528087</c:v>
                </c:pt>
                <c:pt idx="238">
                  <c:v>8.4317007515441755</c:v>
                </c:pt>
                <c:pt idx="239">
                  <c:v>8.3788326627446867</c:v>
                </c:pt>
                <c:pt idx="240">
                  <c:v>8.3111844245910973</c:v>
                </c:pt>
                <c:pt idx="241">
                  <c:v>8.228998200218884</c:v>
                </c:pt>
                <c:pt idx="242">
                  <c:v>8.1325681949810527</c:v>
                </c:pt>
                <c:pt idx="243">
                  <c:v>8.0222396032693553</c:v>
                </c:pt>
                <c:pt idx="244">
                  <c:v>7.8984073728079309</c:v>
                </c:pt>
                <c:pt idx="245">
                  <c:v>7.7615147908429778</c:v>
                </c:pt>
                <c:pt idx="246">
                  <c:v>7.6120518972894509</c:v>
                </c:pt>
                <c:pt idx="247">
                  <c:v>7.4505537305153453</c:v>
                </c:pt>
                <c:pt idx="248">
                  <c:v>7.2775984120432149</c:v>
                </c:pt>
                <c:pt idx="249">
                  <c:v>7.0938050770251495</c:v>
                </c:pt>
                <c:pt idx="250">
                  <c:v>6.8998316578996191</c:v>
                </c:pt>
                <c:pt idx="251">
                  <c:v>6.6963725291641127</c:v>
                </c:pt>
                <c:pt idx="252">
                  <c:v>6.4841560216946466</c:v>
                </c:pt>
                <c:pt idx="253">
                  <c:v>6.2639418155102442</c:v>
                </c:pt>
                <c:pt idx="254">
                  <c:v>6.0365182203156538</c:v>
                </c:pt>
                <c:pt idx="255">
                  <c:v>5.8026993535571787</c:v>
                </c:pt>
                <c:pt idx="256">
                  <c:v>5.5633222260935264</c:v>
                </c:pt>
                <c:pt idx="257">
                  <c:v>5.3192437459141599</c:v>
                </c:pt>
                <c:pt idx="258">
                  <c:v>5.0713376506311008</c:v>
                </c:pt>
                <c:pt idx="259">
                  <c:v>4.8204913797250359</c:v>
                </c:pt>
                <c:pt idx="260">
                  <c:v>4.5676028977423027</c:v>
                </c:pt>
                <c:pt idx="261">
                  <c:v>4.3135774798148683</c:v>
                </c:pt>
                <c:pt idx="262">
                  <c:v>4.05932447101031</c:v>
                </c:pt>
                <c:pt idx="263">
                  <c:v>3.805754031112472</c:v>
                </c:pt>
                <c:pt idx="264">
                  <c:v>3.5537738764856623</c:v>
                </c:pt>
                <c:pt idx="265">
                  <c:v>3.3042860306856654</c:v>
                </c:pt>
                <c:pt idx="266">
                  <c:v>3.0581835954494894</c:v>
                </c:pt>
                <c:pt idx="267">
                  <c:v>2.8163475536229736</c:v>
                </c:pt>
                <c:pt idx="268">
                  <c:v>2.5796436154708253</c:v>
                </c:pt>
                <c:pt idx="269">
                  <c:v>2.3489191196585613</c:v>
                </c:pt>
                <c:pt idx="270">
                  <c:v>2.1250000000000004</c:v>
                </c:pt>
                <c:pt idx="271">
                  <c:v>1.9086878288285647</c:v>
                </c:pt>
                <c:pt idx="272">
                  <c:v>1.7007569475763664</c:v>
                </c:pt>
                <c:pt idx="273">
                  <c:v>1.5019516948328515</c:v>
                </c:pt>
                <c:pt idx="274">
                  <c:v>1.3129837418058248</c:v>
                </c:pt>
                <c:pt idx="275">
                  <c:v>1.1345295447232375</c:v>
                </c:pt>
                <c:pt idx="276">
                  <c:v>0.9672279232954516</c:v>
                </c:pt>
                <c:pt idx="277">
                  <c:v>0.81167777390647289</c:v>
                </c:pt>
                <c:pt idx="278">
                  <c:v>0.66843592572033306</c:v>
                </c:pt>
                <c:pt idx="279">
                  <c:v>0.53801514737719758</c:v>
                </c:pt>
                <c:pt idx="280">
                  <c:v>0.42088231141471955</c:v>
                </c:pt>
                <c:pt idx="281">
                  <c:v>0.31745672298551453</c:v>
                </c:pt>
                <c:pt idx="282">
                  <c:v>0.22810861885355238</c:v>
                </c:pt>
                <c:pt idx="283">
                  <c:v>0.15315784204262373</c:v>
                </c:pt>
                <c:pt idx="284">
                  <c:v>9.2872696881326294E-2</c:v>
                </c:pt>
                <c:pt idx="285">
                  <c:v>4.7468988543203777E-2</c:v>
                </c:pt>
                <c:pt idx="286">
                  <c:v>1.710925052023396E-2</c:v>
                </c:pt>
                <c:pt idx="287">
                  <c:v>1.9021627951108788E-3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0E-44CC-87E8-798729FC7A3E}"/>
            </c:ext>
          </c:extLst>
        </c:ser>
        <c:ser>
          <c:idx val="4"/>
          <c:order val="4"/>
          <c:tx>
            <c:strRef>
              <c:f>Datos!$F$1</c:f>
              <c:strCache>
                <c:ptCount val="1"/>
                <c:pt idx="0">
                  <c:v>Admisión base</c:v>
                </c:pt>
              </c:strCache>
            </c:strRef>
          </c:tx>
          <c:spPr>
            <a:ln w="31750">
              <a:solidFill>
                <a:srgbClr val="2B2B8C"/>
              </a:solidFill>
              <a:prstDash val="solid"/>
            </a:ln>
          </c:spPr>
          <c:marker>
            <c:symbol val="none"/>
          </c:marker>
          <c:xVal>
            <c:numRef>
              <c:f>Datos!$A$2:$A$362</c:f>
              <c:numCache>
                <c:formatCode>General</c:formatCode>
                <c:ptCount val="36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</c:numCache>
            </c:numRef>
          </c:xVal>
          <c:yVal>
            <c:numRef>
              <c:f>Datos!$F$2:$F$362</c:f>
              <c:numCache>
                <c:formatCode>0.00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7.6069484871255921E-3</c:v>
                </c:pt>
                <c:pt idx="172">
                  <c:v>3.0400563047191242E-2</c:v>
                </c:pt>
                <c:pt idx="173">
                  <c:v>6.8299248455823913E-2</c:v>
                </c:pt>
                <c:pt idx="174">
                  <c:v>0.12116733725531356</c:v>
                </c:pt>
                <c:pt idx="175">
                  <c:v>0.18881557540890212</c:v>
                </c:pt>
                <c:pt idx="176">
                  <c:v>0.27100179978111688</c:v>
                </c:pt>
                <c:pt idx="177">
                  <c:v>0.36743180501894634</c:v>
                </c:pt>
                <c:pt idx="178">
                  <c:v>0.47776039673064508</c:v>
                </c:pt>
                <c:pt idx="179">
                  <c:v>0.60159262719206907</c:v>
                </c:pt>
                <c:pt idx="180">
                  <c:v>0.73848520915702165</c:v>
                </c:pt>
                <c:pt idx="181">
                  <c:v>0.88794810271054936</c:v>
                </c:pt>
                <c:pt idx="182">
                  <c:v>1.0494462694846534</c:v>
                </c:pt>
                <c:pt idx="183">
                  <c:v>1.2224015879567844</c:v>
                </c:pt>
                <c:pt idx="184">
                  <c:v>1.4061949229748525</c:v>
                </c:pt>
                <c:pt idx="185">
                  <c:v>1.6001683421003823</c:v>
                </c:pt>
                <c:pt idx="186">
                  <c:v>1.8036274708358877</c:v>
                </c:pt>
                <c:pt idx="187">
                  <c:v>2.0158439783053552</c:v>
                </c:pt>
                <c:pt idx="188">
                  <c:v>2.2360581844897558</c:v>
                </c:pt>
                <c:pt idx="189">
                  <c:v>2.4634817796843462</c:v>
                </c:pt>
                <c:pt idx="190">
                  <c:v>2.6973006464428213</c:v>
                </c:pt>
                <c:pt idx="191">
                  <c:v>2.9366777739064744</c:v>
                </c:pt>
                <c:pt idx="192">
                  <c:v>3.1807562540858383</c:v>
                </c:pt>
                <c:pt idx="193">
                  <c:v>3.4286623493688984</c:v>
                </c:pt>
                <c:pt idx="194">
                  <c:v>3.6795086202749641</c:v>
                </c:pt>
                <c:pt idx="195">
                  <c:v>3.9323971022576973</c:v>
                </c:pt>
                <c:pt idx="196">
                  <c:v>4.1864225201851291</c:v>
                </c:pt>
                <c:pt idx="197">
                  <c:v>4.4406755289896882</c:v>
                </c:pt>
                <c:pt idx="198">
                  <c:v>4.6942459688875262</c:v>
                </c:pt>
                <c:pt idx="199">
                  <c:v>4.9462261235143359</c:v>
                </c:pt>
                <c:pt idx="200">
                  <c:v>5.1957139693143359</c:v>
                </c:pt>
                <c:pt idx="201">
                  <c:v>5.4418164045505106</c:v>
                </c:pt>
                <c:pt idx="202">
                  <c:v>5.6836524463770282</c:v>
                </c:pt>
                <c:pt idx="203">
                  <c:v>5.9203563845291756</c:v>
                </c:pt>
                <c:pt idx="204">
                  <c:v>6.1510808803414392</c:v>
                </c:pt>
                <c:pt idx="205">
                  <c:v>6.3750000000000009</c:v>
                </c:pt>
                <c:pt idx="206">
                  <c:v>6.5913121711714355</c:v>
                </c:pt>
                <c:pt idx="207">
                  <c:v>6.7992430524236331</c:v>
                </c:pt>
                <c:pt idx="208">
                  <c:v>6.9980483051671483</c:v>
                </c:pt>
                <c:pt idx="209">
                  <c:v>7.1870162581941752</c:v>
                </c:pt>
                <c:pt idx="210">
                  <c:v>7.3654704552767614</c:v>
                </c:pt>
                <c:pt idx="211">
                  <c:v>7.5327720767045481</c:v>
                </c:pt>
                <c:pt idx="212">
                  <c:v>7.6883222260935273</c:v>
                </c:pt>
                <c:pt idx="213">
                  <c:v>7.8315640742796653</c:v>
                </c:pt>
                <c:pt idx="214">
                  <c:v>7.9619848526228001</c:v>
                </c:pt>
                <c:pt idx="215">
                  <c:v>8.0791176885852813</c:v>
                </c:pt>
                <c:pt idx="216">
                  <c:v>8.1825432770144868</c:v>
                </c:pt>
                <c:pt idx="217">
                  <c:v>8.2718913811464478</c:v>
                </c:pt>
                <c:pt idx="218">
                  <c:v>8.3468421579573757</c:v>
                </c:pt>
                <c:pt idx="219">
                  <c:v>8.4071273031186742</c:v>
                </c:pt>
                <c:pt idx="220">
                  <c:v>8.4525310114567951</c:v>
                </c:pt>
                <c:pt idx="221">
                  <c:v>8.4828907494797665</c:v>
                </c:pt>
                <c:pt idx="222">
                  <c:v>8.4980978372048881</c:v>
                </c:pt>
                <c:pt idx="223">
                  <c:v>8.5</c:v>
                </c:pt>
                <c:pt idx="224">
                  <c:v>8.5</c:v>
                </c:pt>
                <c:pt idx="225">
                  <c:v>8.5</c:v>
                </c:pt>
                <c:pt idx="226">
                  <c:v>8.5</c:v>
                </c:pt>
                <c:pt idx="227">
                  <c:v>8.5</c:v>
                </c:pt>
                <c:pt idx="228">
                  <c:v>8.5</c:v>
                </c:pt>
                <c:pt idx="229">
                  <c:v>8.5</c:v>
                </c:pt>
                <c:pt idx="230">
                  <c:v>8.5</c:v>
                </c:pt>
                <c:pt idx="231">
                  <c:v>8.5</c:v>
                </c:pt>
                <c:pt idx="232">
                  <c:v>8.5</c:v>
                </c:pt>
                <c:pt idx="233">
                  <c:v>8.5</c:v>
                </c:pt>
                <c:pt idx="234">
                  <c:v>8.5</c:v>
                </c:pt>
                <c:pt idx="235">
                  <c:v>8.5</c:v>
                </c:pt>
                <c:pt idx="236">
                  <c:v>8.5</c:v>
                </c:pt>
                <c:pt idx="237">
                  <c:v>8.5</c:v>
                </c:pt>
                <c:pt idx="238">
                  <c:v>8.5</c:v>
                </c:pt>
                <c:pt idx="239">
                  <c:v>8.5</c:v>
                </c:pt>
                <c:pt idx="240">
                  <c:v>8.5</c:v>
                </c:pt>
                <c:pt idx="241">
                  <c:v>8.5</c:v>
                </c:pt>
                <c:pt idx="242">
                  <c:v>8.5</c:v>
                </c:pt>
                <c:pt idx="243">
                  <c:v>8.4980978372048881</c:v>
                </c:pt>
                <c:pt idx="244">
                  <c:v>8.4828907494797665</c:v>
                </c:pt>
                <c:pt idx="245">
                  <c:v>8.4525310114567951</c:v>
                </c:pt>
                <c:pt idx="246">
                  <c:v>8.4071273031186742</c:v>
                </c:pt>
                <c:pt idx="247">
                  <c:v>8.3468421579573757</c:v>
                </c:pt>
                <c:pt idx="248">
                  <c:v>8.2718913811464478</c:v>
                </c:pt>
                <c:pt idx="249">
                  <c:v>8.1825432770144868</c:v>
                </c:pt>
                <c:pt idx="250">
                  <c:v>8.0791176885852813</c:v>
                </c:pt>
                <c:pt idx="251">
                  <c:v>7.9619848526228001</c:v>
                </c:pt>
                <c:pt idx="252">
                  <c:v>7.8315640742796653</c:v>
                </c:pt>
                <c:pt idx="253">
                  <c:v>7.6883222260935247</c:v>
                </c:pt>
                <c:pt idx="254">
                  <c:v>7.5327720767045481</c:v>
                </c:pt>
                <c:pt idx="255">
                  <c:v>7.3654704552767614</c:v>
                </c:pt>
                <c:pt idx="256">
                  <c:v>7.1870162581941761</c:v>
                </c:pt>
                <c:pt idx="257">
                  <c:v>6.99804830516715</c:v>
                </c:pt>
                <c:pt idx="258">
                  <c:v>6.7992430524236331</c:v>
                </c:pt>
                <c:pt idx="259">
                  <c:v>6.5913121711714373</c:v>
                </c:pt>
                <c:pt idx="260">
                  <c:v>6.3750000000000009</c:v>
                </c:pt>
                <c:pt idx="261">
                  <c:v>6.1510808803414392</c:v>
                </c:pt>
                <c:pt idx="262">
                  <c:v>5.9203563845291756</c:v>
                </c:pt>
                <c:pt idx="263">
                  <c:v>5.6836524463770282</c:v>
                </c:pt>
                <c:pt idx="264">
                  <c:v>5.4418164045505106</c:v>
                </c:pt>
                <c:pt idx="265">
                  <c:v>5.1957139693143359</c:v>
                </c:pt>
                <c:pt idx="266">
                  <c:v>4.946226123514335</c:v>
                </c:pt>
                <c:pt idx="267">
                  <c:v>4.6942459688875262</c:v>
                </c:pt>
                <c:pt idx="268">
                  <c:v>4.4406755289896873</c:v>
                </c:pt>
                <c:pt idx="269">
                  <c:v>4.1864225201851282</c:v>
                </c:pt>
                <c:pt idx="270">
                  <c:v>3.9323971022576956</c:v>
                </c:pt>
                <c:pt idx="271">
                  <c:v>3.6795086202749623</c:v>
                </c:pt>
                <c:pt idx="272">
                  <c:v>3.4286623493688992</c:v>
                </c:pt>
                <c:pt idx="273">
                  <c:v>3.1807562540858401</c:v>
                </c:pt>
                <c:pt idx="274">
                  <c:v>2.9366777739064753</c:v>
                </c:pt>
                <c:pt idx="275">
                  <c:v>2.6973006464428213</c:v>
                </c:pt>
                <c:pt idx="276">
                  <c:v>2.4634817796843471</c:v>
                </c:pt>
                <c:pt idx="277">
                  <c:v>2.2360581844897562</c:v>
                </c:pt>
                <c:pt idx="278">
                  <c:v>2.0158439783053552</c:v>
                </c:pt>
                <c:pt idx="279">
                  <c:v>1.8036274708358877</c:v>
                </c:pt>
                <c:pt idx="280">
                  <c:v>1.6001683421003823</c:v>
                </c:pt>
                <c:pt idx="281">
                  <c:v>1.4061949229748525</c:v>
                </c:pt>
                <c:pt idx="282">
                  <c:v>1.2224015879567844</c:v>
                </c:pt>
                <c:pt idx="283">
                  <c:v>1.0494462694846529</c:v>
                </c:pt>
                <c:pt idx="284">
                  <c:v>0.88794810271054891</c:v>
                </c:pt>
                <c:pt idx="285">
                  <c:v>0.73848520915702121</c:v>
                </c:pt>
                <c:pt idx="286">
                  <c:v>0.60159262719206819</c:v>
                </c:pt>
                <c:pt idx="287">
                  <c:v>0.47776039673064419</c:v>
                </c:pt>
                <c:pt idx="288">
                  <c:v>0.36743180501894679</c:v>
                </c:pt>
                <c:pt idx="289">
                  <c:v>0.27100179978111738</c:v>
                </c:pt>
                <c:pt idx="290">
                  <c:v>0.18881557540890212</c:v>
                </c:pt>
                <c:pt idx="291">
                  <c:v>0.12116733725531356</c:v>
                </c:pt>
                <c:pt idx="292">
                  <c:v>6.8299248455823913E-2</c:v>
                </c:pt>
                <c:pt idx="293">
                  <c:v>3.0400563047191714E-2</c:v>
                </c:pt>
                <c:pt idx="294">
                  <c:v>7.6069484871255921E-3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0E-44CC-87E8-798729FC7A3E}"/>
            </c:ext>
          </c:extLst>
        </c:ser>
        <c:ser>
          <c:idx val="5"/>
          <c:order val="5"/>
          <c:tx>
            <c:strRef>
              <c:f>Datos!$G$1</c:f>
              <c:strCache>
                <c:ptCount val="1"/>
                <c:pt idx="0">
                  <c:v>Admisión retrasada</c:v>
                </c:pt>
              </c:strCache>
            </c:strRef>
          </c:tx>
          <c:spPr>
            <a:ln w="19050">
              <a:solidFill>
                <a:srgbClr val="2B2B8C"/>
              </a:solidFill>
              <a:prstDash val="lgDash"/>
            </a:ln>
          </c:spPr>
          <c:marker>
            <c:symbol val="none"/>
          </c:marker>
          <c:xVal>
            <c:numRef>
              <c:f>Datos!$A$2:$A$362</c:f>
              <c:numCache>
                <c:formatCode>General</c:formatCode>
                <c:ptCount val="36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</c:numCache>
            </c:numRef>
          </c:xVal>
          <c:yVal>
            <c:numRef>
              <c:f>Datos!$G$2:$G$362</c:f>
              <c:numCache>
                <c:formatCode>0.00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1.9021627951108788E-3</c:v>
                </c:pt>
                <c:pt idx="179">
                  <c:v>1.710925052023396E-2</c:v>
                </c:pt>
                <c:pt idx="180">
                  <c:v>4.7468988543203777E-2</c:v>
                </c:pt>
                <c:pt idx="181">
                  <c:v>9.2872696881325822E-2</c:v>
                </c:pt>
                <c:pt idx="182">
                  <c:v>0.15315784204262373</c:v>
                </c:pt>
                <c:pt idx="183">
                  <c:v>0.22810861885355191</c:v>
                </c:pt>
                <c:pt idx="184">
                  <c:v>0.31745672298551403</c:v>
                </c:pt>
                <c:pt idx="185">
                  <c:v>0.42088231141471866</c:v>
                </c:pt>
                <c:pt idx="186">
                  <c:v>0.53801514737719858</c:v>
                </c:pt>
                <c:pt idx="187">
                  <c:v>0.6684359257203335</c:v>
                </c:pt>
                <c:pt idx="188">
                  <c:v>0.81167777390647378</c:v>
                </c:pt>
                <c:pt idx="189">
                  <c:v>0.96722792329545204</c:v>
                </c:pt>
                <c:pt idx="190">
                  <c:v>1.134529544723238</c:v>
                </c:pt>
                <c:pt idx="191">
                  <c:v>1.3129837418058252</c:v>
                </c:pt>
                <c:pt idx="192">
                  <c:v>1.5019516948328515</c:v>
                </c:pt>
                <c:pt idx="193">
                  <c:v>1.7007569475763664</c:v>
                </c:pt>
                <c:pt idx="194">
                  <c:v>1.9086878288285647</c:v>
                </c:pt>
                <c:pt idx="195">
                  <c:v>2.1250000000000004</c:v>
                </c:pt>
                <c:pt idx="196">
                  <c:v>2.3489191196585613</c:v>
                </c:pt>
                <c:pt idx="197">
                  <c:v>2.5796436154708244</c:v>
                </c:pt>
                <c:pt idx="198">
                  <c:v>2.8163475536229727</c:v>
                </c:pt>
                <c:pt idx="199">
                  <c:v>3.0581835954494876</c:v>
                </c:pt>
                <c:pt idx="200">
                  <c:v>3.3042860306856636</c:v>
                </c:pt>
                <c:pt idx="201">
                  <c:v>3.5537738764856655</c:v>
                </c:pt>
                <c:pt idx="202">
                  <c:v>3.8057540311124729</c:v>
                </c:pt>
                <c:pt idx="203">
                  <c:v>4.0593244710103109</c:v>
                </c:pt>
                <c:pt idx="204">
                  <c:v>4.3135774798148692</c:v>
                </c:pt>
                <c:pt idx="205">
                  <c:v>4.5676028977423035</c:v>
                </c:pt>
                <c:pt idx="206">
                  <c:v>4.8204913797250368</c:v>
                </c:pt>
                <c:pt idx="207">
                  <c:v>5.0713376506311008</c:v>
                </c:pt>
                <c:pt idx="208">
                  <c:v>5.3192437459141599</c:v>
                </c:pt>
                <c:pt idx="209">
                  <c:v>5.5633222260935264</c:v>
                </c:pt>
                <c:pt idx="210">
                  <c:v>5.8026993535571787</c:v>
                </c:pt>
                <c:pt idx="211">
                  <c:v>6.0365182203156538</c:v>
                </c:pt>
                <c:pt idx="212">
                  <c:v>6.2639418155102442</c:v>
                </c:pt>
                <c:pt idx="213">
                  <c:v>6.4841560216946439</c:v>
                </c:pt>
                <c:pt idx="214">
                  <c:v>6.6963725291641119</c:v>
                </c:pt>
                <c:pt idx="215">
                  <c:v>6.8998316578996164</c:v>
                </c:pt>
                <c:pt idx="216">
                  <c:v>7.0938050770251477</c:v>
                </c:pt>
                <c:pt idx="217">
                  <c:v>7.2775984120432149</c:v>
                </c:pt>
                <c:pt idx="218">
                  <c:v>7.4505537305153462</c:v>
                </c:pt>
                <c:pt idx="219">
                  <c:v>7.6120518972894509</c:v>
                </c:pt>
                <c:pt idx="220">
                  <c:v>7.7615147908429787</c:v>
                </c:pt>
                <c:pt idx="221">
                  <c:v>7.8984073728079309</c:v>
                </c:pt>
                <c:pt idx="222">
                  <c:v>8.0222396032693553</c:v>
                </c:pt>
                <c:pt idx="223">
                  <c:v>8.1325681949810527</c:v>
                </c:pt>
                <c:pt idx="224">
                  <c:v>8.228998200218884</c:v>
                </c:pt>
                <c:pt idx="225">
                  <c:v>8.3111844245910973</c:v>
                </c:pt>
                <c:pt idx="226">
                  <c:v>8.3788326627446867</c:v>
                </c:pt>
                <c:pt idx="227">
                  <c:v>8.4317007515441755</c:v>
                </c:pt>
                <c:pt idx="228">
                  <c:v>8.4695994369528087</c:v>
                </c:pt>
                <c:pt idx="229">
                  <c:v>8.4923930515128738</c:v>
                </c:pt>
                <c:pt idx="230">
                  <c:v>8.5</c:v>
                </c:pt>
                <c:pt idx="231">
                  <c:v>8.5</c:v>
                </c:pt>
                <c:pt idx="232">
                  <c:v>8.5</c:v>
                </c:pt>
                <c:pt idx="233">
                  <c:v>8.5</c:v>
                </c:pt>
                <c:pt idx="234">
                  <c:v>8.5</c:v>
                </c:pt>
                <c:pt idx="235">
                  <c:v>8.5</c:v>
                </c:pt>
                <c:pt idx="236">
                  <c:v>8.5</c:v>
                </c:pt>
                <c:pt idx="237">
                  <c:v>8.5</c:v>
                </c:pt>
                <c:pt idx="238">
                  <c:v>8.5</c:v>
                </c:pt>
                <c:pt idx="239">
                  <c:v>8.5</c:v>
                </c:pt>
                <c:pt idx="240">
                  <c:v>8.5</c:v>
                </c:pt>
                <c:pt idx="241">
                  <c:v>8.5</c:v>
                </c:pt>
                <c:pt idx="242">
                  <c:v>8.5</c:v>
                </c:pt>
                <c:pt idx="243">
                  <c:v>8.5</c:v>
                </c:pt>
                <c:pt idx="244">
                  <c:v>8.5</c:v>
                </c:pt>
                <c:pt idx="245">
                  <c:v>8.5</c:v>
                </c:pt>
                <c:pt idx="246">
                  <c:v>8.5</c:v>
                </c:pt>
                <c:pt idx="247">
                  <c:v>8.5</c:v>
                </c:pt>
                <c:pt idx="248">
                  <c:v>8.5</c:v>
                </c:pt>
                <c:pt idx="249">
                  <c:v>8.5</c:v>
                </c:pt>
                <c:pt idx="250">
                  <c:v>8.5</c:v>
                </c:pt>
                <c:pt idx="251">
                  <c:v>8.4923930515128738</c:v>
                </c:pt>
                <c:pt idx="252">
                  <c:v>8.4695994369528087</c:v>
                </c:pt>
                <c:pt idx="253">
                  <c:v>8.4317007515441755</c:v>
                </c:pt>
                <c:pt idx="254">
                  <c:v>8.3788326627446867</c:v>
                </c:pt>
                <c:pt idx="255">
                  <c:v>8.3111844245910973</c:v>
                </c:pt>
                <c:pt idx="256">
                  <c:v>8.228998200218884</c:v>
                </c:pt>
                <c:pt idx="257">
                  <c:v>8.1325681949810527</c:v>
                </c:pt>
                <c:pt idx="258">
                  <c:v>8.0222396032693553</c:v>
                </c:pt>
                <c:pt idx="259">
                  <c:v>7.8984073728079309</c:v>
                </c:pt>
                <c:pt idx="260">
                  <c:v>7.7615147908429778</c:v>
                </c:pt>
                <c:pt idx="261">
                  <c:v>7.6120518972894509</c:v>
                </c:pt>
                <c:pt idx="262">
                  <c:v>7.4505537305153453</c:v>
                </c:pt>
                <c:pt idx="263">
                  <c:v>7.2775984120432149</c:v>
                </c:pt>
                <c:pt idx="264">
                  <c:v>7.0938050770251495</c:v>
                </c:pt>
                <c:pt idx="265">
                  <c:v>6.8998316578996191</c:v>
                </c:pt>
                <c:pt idx="266">
                  <c:v>6.6963725291641127</c:v>
                </c:pt>
                <c:pt idx="267">
                  <c:v>6.4841560216946466</c:v>
                </c:pt>
                <c:pt idx="268">
                  <c:v>6.2639418155102442</c:v>
                </c:pt>
                <c:pt idx="269">
                  <c:v>6.0365182203156538</c:v>
                </c:pt>
                <c:pt idx="270">
                  <c:v>5.8026993535571787</c:v>
                </c:pt>
                <c:pt idx="271">
                  <c:v>5.5633222260935264</c:v>
                </c:pt>
                <c:pt idx="272">
                  <c:v>5.3192437459141599</c:v>
                </c:pt>
                <c:pt idx="273">
                  <c:v>5.0713376506311008</c:v>
                </c:pt>
                <c:pt idx="274">
                  <c:v>4.8204913797250359</c:v>
                </c:pt>
                <c:pt idx="275">
                  <c:v>4.5676028977423027</c:v>
                </c:pt>
                <c:pt idx="276">
                  <c:v>4.3135774798148683</c:v>
                </c:pt>
                <c:pt idx="277">
                  <c:v>4.05932447101031</c:v>
                </c:pt>
                <c:pt idx="278">
                  <c:v>3.805754031112472</c:v>
                </c:pt>
                <c:pt idx="279">
                  <c:v>3.5537738764856623</c:v>
                </c:pt>
                <c:pt idx="280">
                  <c:v>3.3042860306856654</c:v>
                </c:pt>
                <c:pt idx="281">
                  <c:v>3.0581835954494894</c:v>
                </c:pt>
                <c:pt idx="282">
                  <c:v>2.8163475536229736</c:v>
                </c:pt>
                <c:pt idx="283">
                  <c:v>2.5796436154708253</c:v>
                </c:pt>
                <c:pt idx="284">
                  <c:v>2.3489191196585613</c:v>
                </c:pt>
                <c:pt idx="285">
                  <c:v>2.1250000000000004</c:v>
                </c:pt>
                <c:pt idx="286">
                  <c:v>1.9086878288285647</c:v>
                </c:pt>
                <c:pt idx="287">
                  <c:v>1.7007569475763664</c:v>
                </c:pt>
                <c:pt idx="288">
                  <c:v>1.5019516948328515</c:v>
                </c:pt>
                <c:pt idx="289">
                  <c:v>1.3129837418058248</c:v>
                </c:pt>
                <c:pt idx="290">
                  <c:v>1.1345295447232375</c:v>
                </c:pt>
                <c:pt idx="291">
                  <c:v>0.9672279232954516</c:v>
                </c:pt>
                <c:pt idx="292">
                  <c:v>0.81167777390647289</c:v>
                </c:pt>
                <c:pt idx="293">
                  <c:v>0.66843592572033306</c:v>
                </c:pt>
                <c:pt idx="294">
                  <c:v>0.53801514737719758</c:v>
                </c:pt>
                <c:pt idx="295">
                  <c:v>0.42088231141471955</c:v>
                </c:pt>
                <c:pt idx="296">
                  <c:v>0.31745672298551453</c:v>
                </c:pt>
                <c:pt idx="297">
                  <c:v>0.22810861885355238</c:v>
                </c:pt>
                <c:pt idx="298">
                  <c:v>0.15315784204262373</c:v>
                </c:pt>
                <c:pt idx="299">
                  <c:v>9.2872696881326294E-2</c:v>
                </c:pt>
                <c:pt idx="300">
                  <c:v>4.7468988543203777E-2</c:v>
                </c:pt>
                <c:pt idx="301">
                  <c:v>1.710925052023396E-2</c:v>
                </c:pt>
                <c:pt idx="302">
                  <c:v>1.9021627951108788E-3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0E-44CC-87E8-798729FC7A3E}"/>
            </c:ext>
          </c:extLst>
        </c:ser>
        <c:ser>
          <c:idx val="6"/>
          <c:order val="6"/>
          <c:tx>
            <c:v>Cruce máximo</c:v>
          </c:tx>
          <c:spPr>
            <a:ln w="22225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Datos!$I$2:$I$11</c:f>
              <c:numCache>
                <c:formatCode>0.0</c:formatCode>
                <c:ptCount val="10"/>
                <c:pt idx="0">
                  <c:v>325</c:v>
                </c:pt>
                <c:pt idx="1">
                  <c:v>325</c:v>
                </c:pt>
                <c:pt idx="2">
                  <c:v>325</c:v>
                </c:pt>
                <c:pt idx="3">
                  <c:v>325</c:v>
                </c:pt>
                <c:pt idx="4">
                  <c:v>325.5</c:v>
                </c:pt>
                <c:pt idx="5">
                  <c:v>394.5</c:v>
                </c:pt>
                <c:pt idx="6">
                  <c:v>395</c:v>
                </c:pt>
                <c:pt idx="7">
                  <c:v>395</c:v>
                </c:pt>
                <c:pt idx="8">
                  <c:v>395</c:v>
                </c:pt>
                <c:pt idx="9">
                  <c:v>395</c:v>
                </c:pt>
              </c:numCache>
            </c:numRef>
          </c:xVal>
          <c:yVal>
            <c:numRef>
              <c:f>Datos!$J$2:$J$11</c:f>
              <c:numCache>
                <c:formatCode>0.0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12.49</c:v>
                </c:pt>
                <c:pt idx="3">
                  <c:v>12.540000000000001</c:v>
                </c:pt>
                <c:pt idx="4">
                  <c:v>12.540000000000001</c:v>
                </c:pt>
                <c:pt idx="5">
                  <c:v>12.540000000000001</c:v>
                </c:pt>
                <c:pt idx="6">
                  <c:v>12.540000000000001</c:v>
                </c:pt>
                <c:pt idx="7">
                  <c:v>12.49</c:v>
                </c:pt>
                <c:pt idx="8">
                  <c:v>0.05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0E-44CC-87E8-798729FC7A3E}"/>
            </c:ext>
          </c:extLst>
        </c:ser>
        <c:ser>
          <c:idx val="7"/>
          <c:order val="7"/>
          <c:tx>
            <c:v>Cruce mínimo</c:v>
          </c:tx>
          <c:spPr>
            <a:ln w="22225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Datos!$K$2:$K$11</c:f>
              <c:numCache>
                <c:formatCode>0.0</c:formatCode>
                <c:ptCount val="10"/>
                <c:pt idx="0">
                  <c:v>355</c:v>
                </c:pt>
                <c:pt idx="1">
                  <c:v>355</c:v>
                </c:pt>
                <c:pt idx="2">
                  <c:v>355</c:v>
                </c:pt>
                <c:pt idx="3">
                  <c:v>355</c:v>
                </c:pt>
                <c:pt idx="4">
                  <c:v>355.5</c:v>
                </c:pt>
                <c:pt idx="5">
                  <c:v>364.5</c:v>
                </c:pt>
                <c:pt idx="6">
                  <c:v>365</c:v>
                </c:pt>
                <c:pt idx="7">
                  <c:v>365</c:v>
                </c:pt>
                <c:pt idx="8">
                  <c:v>365</c:v>
                </c:pt>
                <c:pt idx="9">
                  <c:v>365</c:v>
                </c:pt>
              </c:numCache>
            </c:numRef>
          </c:xVal>
          <c:yVal>
            <c:numRef>
              <c:f>Datos!$L$2:$L$11</c:f>
              <c:numCache>
                <c:formatCode>0.0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10.969999999999999</c:v>
                </c:pt>
                <c:pt idx="3">
                  <c:v>11.02</c:v>
                </c:pt>
                <c:pt idx="4">
                  <c:v>11.02</c:v>
                </c:pt>
                <c:pt idx="5">
                  <c:v>11.02</c:v>
                </c:pt>
                <c:pt idx="6">
                  <c:v>11.02</c:v>
                </c:pt>
                <c:pt idx="7">
                  <c:v>10.969999999999999</c:v>
                </c:pt>
                <c:pt idx="8">
                  <c:v>0.05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B0E-44CC-87E8-798729FC7A3E}"/>
            </c:ext>
          </c:extLst>
        </c:ser>
        <c:ser>
          <c:idx val="8"/>
          <c:order val="8"/>
          <c:tx>
            <c:v>PMS de cruce (360°)</c:v>
          </c:tx>
          <c:spPr>
            <a:ln w="9525">
              <a:solidFill>
                <a:srgbClr val="8C8C8C"/>
              </a:solidFill>
              <a:prstDash val="sysDot"/>
            </a:ln>
          </c:spPr>
          <c:marker>
            <c:symbol val="none"/>
          </c:marker>
          <c:xVal>
            <c:numRef>
              <c:f>Datos!$M$2:$M$3</c:f>
              <c:numCache>
                <c:formatCode>0.0</c:formatCode>
                <c:ptCount val="2"/>
                <c:pt idx="0">
                  <c:v>360</c:v>
                </c:pt>
                <c:pt idx="1">
                  <c:v>360</c:v>
                </c:pt>
              </c:numCache>
            </c:numRef>
          </c:xVal>
          <c:yVal>
            <c:numRef>
              <c:f>Datos!$N$2:$N$3</c:f>
              <c:numCache>
                <c:formatCode>0.0</c:formatCode>
                <c:ptCount val="2"/>
                <c:pt idx="0">
                  <c:v>0</c:v>
                </c:pt>
                <c:pt idx="1">
                  <c:v>9.9749999999999996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B0E-44CC-87E8-798729FC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630"/>
          <c:min val="9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Grados de giro del cigüeñal [°]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  <c:majorUnit val="90"/>
      </c:valAx>
      <c:valAx>
        <c:axId val="2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Alzado de la válvula [mm]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13992319710437617"/>
          <c:y val="7.2727272727272724E-2"/>
          <c:w val="0.70808714462651456"/>
          <c:h val="8.4038367931281319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C"/>
              <a:t>Ciclo real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"/>
          <c:y val="0.12"/>
          <c:w val="0.8"/>
          <c:h val="0.8"/>
        </c:manualLayout>
      </c:layout>
      <c:scatterChart>
        <c:scatterStyle val="lineMarker"/>
        <c:varyColors val="1"/>
        <c:ser>
          <c:idx val="0"/>
          <c:order val="0"/>
          <c:tx>
            <c:v>Eje PMS-PMI</c:v>
          </c:tx>
          <c:spPr>
            <a:ln w="9525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'Datos circular'!$AG$12:$AG$13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circular'!$AH$12:$AH$13</c:f>
              <c:numCache>
                <c:formatCode>General</c:formatCode>
                <c:ptCount val="2"/>
                <c:pt idx="0">
                  <c:v>1.3</c:v>
                </c:pt>
                <c:pt idx="1">
                  <c:v>-1.3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A5-4900-A441-381680ED5744}"/>
            </c:ext>
          </c:extLst>
        </c:ser>
        <c:ser>
          <c:idx val="1"/>
          <c:order val="1"/>
          <c:tx>
            <c:v>Admisión</c:v>
          </c:tx>
          <c:spPr>
            <a:ln w="50800">
              <a:solidFill>
                <a:srgbClr val="1F4FD8"/>
              </a:solidFill>
              <a:prstDash val="solid"/>
            </a:ln>
          </c:spPr>
          <c:marker>
            <c:symbol val="none"/>
          </c:marker>
          <c:xVal>
            <c:numRef>
              <c:f>'Datos circular'!$C$2:$C$62</c:f>
              <c:numCache>
                <c:formatCode>0.000</c:formatCode>
                <c:ptCount val="61"/>
                <c:pt idx="0">
                  <c:v>-0.34202014332566871</c:v>
                </c:pt>
                <c:pt idx="1">
                  <c:v>-0.27283999666746067</c:v>
                </c:pt>
                <c:pt idx="2">
                  <c:v>-0.20221757233203824</c:v>
                </c:pt>
                <c:pt idx="3">
                  <c:v>-0.13052619222005157</c:v>
                </c:pt>
                <c:pt idx="4">
                  <c:v>-5.8144828910475496E-2</c:v>
                </c:pt>
                <c:pt idx="5">
                  <c:v>1.4543897651582325E-2</c:v>
                </c:pt>
                <c:pt idx="6">
                  <c:v>8.7155742747658166E-2</c:v>
                </c:pt>
                <c:pt idx="7">
                  <c:v>0.15930686806752289</c:v>
                </c:pt>
                <c:pt idx="8">
                  <c:v>0.23061587074243986</c:v>
                </c:pt>
                <c:pt idx="9">
                  <c:v>0.30070579950427312</c:v>
                </c:pt>
                <c:pt idx="10">
                  <c:v>0.36920614731268475</c:v>
                </c:pt>
                <c:pt idx="11">
                  <c:v>0.43575480991707904</c:v>
                </c:pt>
                <c:pt idx="12">
                  <c:v>0.49999999999999994</c:v>
                </c:pt>
                <c:pt idx="13">
                  <c:v>0.5616021067834932</c:v>
                </c:pt>
                <c:pt idx="14">
                  <c:v>0.62023549126825972</c:v>
                </c:pt>
                <c:pt idx="15">
                  <c:v>0.67559020761566024</c:v>
                </c:pt>
                <c:pt idx="16">
                  <c:v>0.72737364157304896</c:v>
                </c:pt>
                <c:pt idx="17">
                  <c:v>0.77531205728146568</c:v>
                </c:pt>
                <c:pt idx="18">
                  <c:v>0.8191520442889918</c:v>
                </c:pt>
                <c:pt idx="19">
                  <c:v>0.85866185712061283</c:v>
                </c:pt>
                <c:pt idx="20">
                  <c:v>0.89363264032341205</c:v>
                </c:pt>
                <c:pt idx="21">
                  <c:v>0.92387953251128674</c:v>
                </c:pt>
                <c:pt idx="22">
                  <c:v>0.94924264357303367</c:v>
                </c:pt>
                <c:pt idx="23">
                  <c:v>0.96958789987811622</c:v>
                </c:pt>
                <c:pt idx="24">
                  <c:v>0.98480775301220802</c:v>
                </c:pt>
                <c:pt idx="25">
                  <c:v>0.99482174829603309</c:v>
                </c:pt>
                <c:pt idx="26">
                  <c:v>0.9995769500822006</c:v>
                </c:pt>
                <c:pt idx="27">
                  <c:v>0.9990482215818578</c:v>
                </c:pt>
                <c:pt idx="28">
                  <c:v>0.99323835774194291</c:v>
                </c:pt>
                <c:pt idx="29">
                  <c:v>0.98217807047063077</c:v>
                </c:pt>
                <c:pt idx="30">
                  <c:v>0.96592582628906831</c:v>
                </c:pt>
                <c:pt idx="31">
                  <c:v>0.94456753726760456</c:v>
                </c:pt>
                <c:pt idx="32">
                  <c:v>0.91821610688027377</c:v>
                </c:pt>
                <c:pt idx="33">
                  <c:v>0.88701083317822182</c:v>
                </c:pt>
                <c:pt idx="34">
                  <c:v>0.85111667243700007</c:v>
                </c:pt>
                <c:pt idx="35">
                  <c:v>0.81072336717021176</c:v>
                </c:pt>
                <c:pt idx="36">
                  <c:v>0.76604444311897801</c:v>
                </c:pt>
                <c:pt idx="37">
                  <c:v>0.71731608051928941</c:v>
                </c:pt>
                <c:pt idx="38">
                  <c:v>0.66479586561393811</c:v>
                </c:pt>
                <c:pt idx="39">
                  <c:v>0.60876142900872088</c:v>
                </c:pt>
                <c:pt idx="40">
                  <c:v>0.54950897807080656</c:v>
                </c:pt>
                <c:pt idx="41">
                  <c:v>0.48735173112724167</c:v>
                </c:pt>
                <c:pt idx="42">
                  <c:v>0.4226182617406995</c:v>
                </c:pt>
                <c:pt idx="43">
                  <c:v>0.35565076181487731</c:v>
                </c:pt>
                <c:pt idx="44">
                  <c:v>0.28680323271109148</c:v>
                </c:pt>
                <c:pt idx="45">
                  <c:v>0.21643961393810274</c:v>
                </c:pt>
                <c:pt idx="46">
                  <c:v>0.14493185930724567</c:v>
                </c:pt>
                <c:pt idx="47">
                  <c:v>7.2657970722609905E-2</c:v>
                </c:pt>
                <c:pt idx="48">
                  <c:v>1.22514845490862E-16</c:v>
                </c:pt>
                <c:pt idx="49">
                  <c:v>-7.2657970722610113E-2</c:v>
                </c:pt>
                <c:pt idx="50">
                  <c:v>-0.14493185930724717</c:v>
                </c:pt>
                <c:pt idx="51">
                  <c:v>-0.21643961393810293</c:v>
                </c:pt>
                <c:pt idx="52">
                  <c:v>-0.28680323271109165</c:v>
                </c:pt>
                <c:pt idx="53">
                  <c:v>-0.35565076181487504</c:v>
                </c:pt>
                <c:pt idx="54">
                  <c:v>-0.42261826174069927</c:v>
                </c:pt>
                <c:pt idx="55">
                  <c:v>-0.48735173112724184</c:v>
                </c:pt>
                <c:pt idx="56">
                  <c:v>-0.54950897807080634</c:v>
                </c:pt>
                <c:pt idx="57">
                  <c:v>-0.60876142900872066</c:v>
                </c:pt>
                <c:pt idx="58">
                  <c:v>-0.66479586561393722</c:v>
                </c:pt>
                <c:pt idx="59">
                  <c:v>-0.71731608051928863</c:v>
                </c:pt>
                <c:pt idx="60">
                  <c:v>-0.7660444431189779</c:v>
                </c:pt>
              </c:numCache>
            </c:numRef>
          </c:xVal>
          <c:yVal>
            <c:numRef>
              <c:f>'Datos circular'!$D$2:$D$62</c:f>
              <c:numCache>
                <c:formatCode>0.000</c:formatCode>
                <c:ptCount val="61"/>
                <c:pt idx="0">
                  <c:v>0.93969262078590843</c:v>
                </c:pt>
                <c:pt idx="1">
                  <c:v>0.96205942447361326</c:v>
                </c:pt>
                <c:pt idx="2">
                  <c:v>0.97934062176555148</c:v>
                </c:pt>
                <c:pt idx="3">
                  <c:v>0.99144486137381038</c:v>
                </c:pt>
                <c:pt idx="4">
                  <c:v>0.99830815827126818</c:v>
                </c:pt>
                <c:pt idx="5">
                  <c:v>0.99989423192710758</c:v>
                </c:pt>
                <c:pt idx="6">
                  <c:v>0.99619469809174555</c:v>
                </c:pt>
                <c:pt idx="7">
                  <c:v>0.98722911311737405</c:v>
                </c:pt>
                <c:pt idx="8">
                  <c:v>0.97304487057982392</c:v>
                </c:pt>
                <c:pt idx="9">
                  <c:v>0.95371695074822693</c:v>
                </c:pt>
                <c:pt idx="10">
                  <c:v>0.92934752422682232</c:v>
                </c:pt>
                <c:pt idx="11">
                  <c:v>0.90006541186412126</c:v>
                </c:pt>
                <c:pt idx="12">
                  <c:v>0.86602540378443871</c:v>
                </c:pt>
                <c:pt idx="13">
                  <c:v>0.82740744114151032</c:v>
                </c:pt>
                <c:pt idx="14">
                  <c:v>0.78441566491957593</c:v>
                </c:pt>
                <c:pt idx="15">
                  <c:v>0.73727733681012397</c:v>
                </c:pt>
                <c:pt idx="16">
                  <c:v>0.68624163786873338</c:v>
                </c:pt>
                <c:pt idx="17">
                  <c:v>0.63157835130249784</c:v>
                </c:pt>
                <c:pt idx="18">
                  <c:v>0.57357643635104616</c:v>
                </c:pt>
                <c:pt idx="19">
                  <c:v>0.51254250079986574</c:v>
                </c:pt>
                <c:pt idx="20">
                  <c:v>0.44879918020046244</c:v>
                </c:pt>
                <c:pt idx="21">
                  <c:v>0.38268343236508984</c:v>
                </c:pt>
                <c:pt idx="22">
                  <c:v>0.31454475615161431</c:v>
                </c:pt>
                <c:pt idx="23">
                  <c:v>0.24474334395432307</c:v>
                </c:pt>
                <c:pt idx="24">
                  <c:v>0.17364817766693041</c:v>
                </c:pt>
                <c:pt idx="25">
                  <c:v>0.10163507818280167</c:v>
                </c:pt>
                <c:pt idx="26">
                  <c:v>2.9084718743110693E-2</c:v>
                </c:pt>
                <c:pt idx="27">
                  <c:v>-4.3619387365335889E-2</c:v>
                </c:pt>
                <c:pt idx="28">
                  <c:v>-0.11609291412523062</c:v>
                </c:pt>
                <c:pt idx="29">
                  <c:v>-0.18795275440011144</c:v>
                </c:pt>
                <c:pt idx="30">
                  <c:v>-0.25881904510252085</c:v>
                </c:pt>
                <c:pt idx="31">
                  <c:v>-0.32831717521356141</c:v>
                </c:pt>
                <c:pt idx="32">
                  <c:v>-0.3960797660391574</c:v>
                </c:pt>
                <c:pt idx="33">
                  <c:v>-0.46174861323503374</c:v>
                </c:pt>
                <c:pt idx="34">
                  <c:v>-0.52497658033455974</c:v>
                </c:pt>
                <c:pt idx="35">
                  <c:v>-0.58542943376994117</c:v>
                </c:pt>
                <c:pt idx="36">
                  <c:v>-0.64278760968653936</c:v>
                </c:pt>
                <c:pt idx="37">
                  <c:v>-0.69674790321065505</c:v>
                </c:pt>
                <c:pt idx="38">
                  <c:v>-0.74702507124099582</c:v>
                </c:pt>
                <c:pt idx="39">
                  <c:v>-0.79335334029123505</c:v>
                </c:pt>
                <c:pt idx="40">
                  <c:v>-0.83548781141293604</c:v>
                </c:pt>
                <c:pt idx="41">
                  <c:v>-0.87320575477219609</c:v>
                </c:pt>
                <c:pt idx="42">
                  <c:v>-0.90630778703664994</c:v>
                </c:pt>
                <c:pt idx="43">
                  <c:v>-0.93461892534898816</c:v>
                </c:pt>
                <c:pt idx="44">
                  <c:v>-0.95798951231548857</c:v>
                </c:pt>
                <c:pt idx="45">
                  <c:v>-0.97629600711993336</c:v>
                </c:pt>
                <c:pt idx="46">
                  <c:v>-0.98944163858094469</c:v>
                </c:pt>
                <c:pt idx="47">
                  <c:v>-0.99735691670057236</c:v>
                </c:pt>
                <c:pt idx="48">
                  <c:v>-1</c:v>
                </c:pt>
                <c:pt idx="49">
                  <c:v>-0.99735691670057236</c:v>
                </c:pt>
                <c:pt idx="50">
                  <c:v>-0.98944163858094447</c:v>
                </c:pt>
                <c:pt idx="51">
                  <c:v>-0.97629600711993336</c:v>
                </c:pt>
                <c:pt idx="52">
                  <c:v>-0.95798951231548846</c:v>
                </c:pt>
                <c:pt idx="53">
                  <c:v>-0.93461892534898894</c:v>
                </c:pt>
                <c:pt idx="54">
                  <c:v>-0.90630778703665005</c:v>
                </c:pt>
                <c:pt idx="55">
                  <c:v>-0.87320575477219609</c:v>
                </c:pt>
                <c:pt idx="56">
                  <c:v>-0.83548781141293627</c:v>
                </c:pt>
                <c:pt idx="57">
                  <c:v>-0.79335334029123517</c:v>
                </c:pt>
                <c:pt idx="58">
                  <c:v>-0.74702507124099649</c:v>
                </c:pt>
                <c:pt idx="59">
                  <c:v>-0.69674790321065594</c:v>
                </c:pt>
                <c:pt idx="60">
                  <c:v>-0.64278760968653947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A5-4900-A441-381680ED5744}"/>
            </c:ext>
          </c:extLst>
        </c:ser>
        <c:ser>
          <c:idx val="2"/>
          <c:order val="2"/>
          <c:tx>
            <c:v>Compresión</c:v>
          </c:tx>
          <c:spPr>
            <a:ln w="50800">
              <a:solidFill>
                <a:srgbClr val="2E9E44"/>
              </a:solidFill>
              <a:prstDash val="solid"/>
            </a:ln>
          </c:spPr>
          <c:marker>
            <c:symbol val="none"/>
          </c:marker>
          <c:xVal>
            <c:numRef>
              <c:f>'Datos circular'!$F$2:$F$62</c:f>
              <c:numCache>
                <c:formatCode>0.000</c:formatCode>
                <c:ptCount val="61"/>
                <c:pt idx="0">
                  <c:v>-0.67411910994470059</c:v>
                </c:pt>
                <c:pt idx="1">
                  <c:v>-0.69344946317391543</c:v>
                </c:pt>
                <c:pt idx="2">
                  <c:v>-0.71193495504995363</c:v>
                </c:pt>
                <c:pt idx="3">
                  <c:v>-0.72955306384843688</c:v>
                </c:pt>
                <c:pt idx="4">
                  <c:v>-0.74628232461765487</c:v>
                </c:pt>
                <c:pt idx="5">
                  <c:v>-0.76210235533030579</c:v>
                </c:pt>
                <c:pt idx="6">
                  <c:v>-0.77699388171585571</c:v>
                </c:pt>
                <c:pt idx="7">
                  <c:v>-0.79093876074326686</c:v>
                </c:pt>
                <c:pt idx="8">
                  <c:v>-0.80392000272548891</c:v>
                </c:pt>
                <c:pt idx="9">
                  <c:v>-0.8159217920187728</c:v>
                </c:pt>
                <c:pt idx="10">
                  <c:v>-0.82692950629159945</c:v>
                </c:pt>
                <c:pt idx="11">
                  <c:v>-0.83692973433973517</c:v>
                </c:pt>
                <c:pt idx="12">
                  <c:v>-0.84591029242572069</c:v>
                </c:pt>
                <c:pt idx="13">
                  <c:v>-0.8538602391228769</c:v>
                </c:pt>
                <c:pt idx="14">
                  <c:v>-0.86076988864574888</c:v>
                </c:pt>
                <c:pt idx="15">
                  <c:v>-0.86663082265074309</c:v>
                </c:pt>
                <c:pt idx="16">
                  <c:v>-0.87143590049258179</c:v>
                </c:pt>
                <c:pt idx="17">
                  <c:v>-0.87517926792408063</c:v>
                </c:pt>
                <c:pt idx="18">
                  <c:v>-0.87785636422864533</c:v>
                </c:pt>
                <c:pt idx="19">
                  <c:v>-0.87946392777680427</c:v>
                </c:pt>
                <c:pt idx="20">
                  <c:v>-0.88</c:v>
                </c:pt>
                <c:pt idx="21">
                  <c:v>-0.87946392777680427</c:v>
                </c:pt>
                <c:pt idx="22">
                  <c:v>-0.87785636422864544</c:v>
                </c:pt>
                <c:pt idx="23">
                  <c:v>-0.87517926792408063</c:v>
                </c:pt>
                <c:pt idx="24">
                  <c:v>-0.87143590049258191</c:v>
                </c:pt>
                <c:pt idx="25">
                  <c:v>-0.8666308226507432</c:v>
                </c:pt>
                <c:pt idx="26">
                  <c:v>-0.86076988864574888</c:v>
                </c:pt>
                <c:pt idx="27">
                  <c:v>-0.85386023912287701</c:v>
                </c:pt>
                <c:pt idx="28">
                  <c:v>-0.84591029242572058</c:v>
                </c:pt>
                <c:pt idx="29">
                  <c:v>-0.83692973433973517</c:v>
                </c:pt>
                <c:pt idx="30">
                  <c:v>-0.82692950629159934</c:v>
                </c:pt>
                <c:pt idx="31">
                  <c:v>-0.81592179201877291</c:v>
                </c:pt>
                <c:pt idx="32">
                  <c:v>-0.80392000272548891</c:v>
                </c:pt>
                <c:pt idx="33">
                  <c:v>-0.79093876074326697</c:v>
                </c:pt>
                <c:pt idx="34">
                  <c:v>-0.77699388171585582</c:v>
                </c:pt>
                <c:pt idx="35">
                  <c:v>-0.76210235533030601</c:v>
                </c:pt>
                <c:pt idx="36">
                  <c:v>-0.74628232461765509</c:v>
                </c:pt>
                <c:pt idx="37">
                  <c:v>-0.72955306384843666</c:v>
                </c:pt>
                <c:pt idx="38">
                  <c:v>-0.71193495504995385</c:v>
                </c:pt>
                <c:pt idx="39">
                  <c:v>-0.6934494631739152</c:v>
                </c:pt>
                <c:pt idx="40">
                  <c:v>-0.6741191099447007</c:v>
                </c:pt>
                <c:pt idx="41">
                  <c:v>-0.65396744642010718</c:v>
                </c:pt>
                <c:pt idx="42">
                  <c:v>-0.63301902429801304</c:v>
                </c:pt>
                <c:pt idx="43">
                  <c:v>-0.61129936600391788</c:v>
                </c:pt>
                <c:pt idx="44">
                  <c:v>-0.5888349335957952</c:v>
                </c:pt>
                <c:pt idx="45">
                  <c:v>-0.56565309652415485</c:v>
                </c:pt>
                <c:pt idx="46">
                  <c:v>-0.54178209828657919</c:v>
                </c:pt>
                <c:pt idx="47">
                  <c:v>-0.5172510220173766</c:v>
                </c:pt>
                <c:pt idx="48">
                  <c:v>-0.49208975505425701</c:v>
                </c:pt>
                <c:pt idx="49">
                  <c:v>-0.46632895252522039</c:v>
                </c:pt>
                <c:pt idx="50">
                  <c:v>-0.44000000000000039</c:v>
                </c:pt>
                <c:pt idx="51">
                  <c:v>-0.41313497525158394</c:v>
                </c:pt>
                <c:pt idx="52">
                  <c:v>-0.38576660917438849</c:v>
                </c:pt>
                <c:pt idx="53">
                  <c:v>-0.35792824590670413</c:v>
                </c:pt>
                <c:pt idx="54">
                  <c:v>-0.32965380220600288</c:v>
                </c:pt>
                <c:pt idx="55">
                  <c:v>-0.30097772612658835</c:v>
                </c:pt>
                <c:pt idx="56">
                  <c:v>-0.27193495504995391</c:v>
                </c:pt>
                <c:pt idx="57">
                  <c:v>-0.24256087311895907</c:v>
                </c:pt>
                <c:pt idx="58">
                  <c:v>-0.21289126812770773</c:v>
                </c:pt>
                <c:pt idx="59">
                  <c:v>-0.18296228791962868</c:v>
                </c:pt>
                <c:pt idx="60">
                  <c:v>-0.15281039634689875</c:v>
                </c:pt>
              </c:numCache>
            </c:numRef>
          </c:xVal>
          <c:yVal>
            <c:numRef>
              <c:f>'Datos circular'!$G$2:$G$62</c:f>
              <c:numCache>
                <c:formatCode>0.000</c:formatCode>
                <c:ptCount val="61"/>
                <c:pt idx="0">
                  <c:v>-0.56565309652415474</c:v>
                </c:pt>
                <c:pt idx="1">
                  <c:v>-0.54178209828657908</c:v>
                </c:pt>
                <c:pt idx="2">
                  <c:v>-0.51725102201737649</c:v>
                </c:pt>
                <c:pt idx="3">
                  <c:v>-0.49208975505425701</c:v>
                </c:pt>
                <c:pt idx="4">
                  <c:v>-0.46632895252522039</c:v>
                </c:pt>
                <c:pt idx="5">
                  <c:v>-0.44000000000000039</c:v>
                </c:pt>
                <c:pt idx="6">
                  <c:v>-0.41313497525158388</c:v>
                </c:pt>
                <c:pt idx="7">
                  <c:v>-0.38576660917438843</c:v>
                </c:pt>
                <c:pt idx="8">
                  <c:v>-0.35792824590670408</c:v>
                </c:pt>
                <c:pt idx="9">
                  <c:v>-0.32965380220600282</c:v>
                </c:pt>
                <c:pt idx="10">
                  <c:v>-0.3009777261265883</c:v>
                </c:pt>
                <c:pt idx="11">
                  <c:v>-0.27193495504995385</c:v>
                </c:pt>
                <c:pt idx="12">
                  <c:v>-0.24256087311895902</c:v>
                </c:pt>
                <c:pt idx="13">
                  <c:v>-0.21289126812770764</c:v>
                </c:pt>
                <c:pt idx="14">
                  <c:v>-0.18296228791962862</c:v>
                </c:pt>
                <c:pt idx="15">
                  <c:v>-0.15281039634689869</c:v>
                </c:pt>
                <c:pt idx="16">
                  <c:v>-0.12247232884485793</c:v>
                </c:pt>
                <c:pt idx="17">
                  <c:v>-9.1985047675534962E-2</c:v>
                </c:pt>
                <c:pt idx="18">
                  <c:v>-6.1385696894830512E-2</c:v>
                </c:pt>
                <c:pt idx="19">
                  <c:v>-3.071155709820067E-2</c:v>
                </c:pt>
                <c:pt idx="20">
                  <c:v>-1.6171959604793783E-16</c:v>
                </c:pt>
                <c:pt idx="21">
                  <c:v>3.0711557098201128E-2</c:v>
                </c:pt>
                <c:pt idx="22">
                  <c:v>6.1385696894830193E-2</c:v>
                </c:pt>
                <c:pt idx="23">
                  <c:v>9.1985047675534629E-2</c:v>
                </c:pt>
                <c:pt idx="24">
                  <c:v>0.12247232884485761</c:v>
                </c:pt>
                <c:pt idx="25">
                  <c:v>0.15281039634689839</c:v>
                </c:pt>
                <c:pt idx="26">
                  <c:v>0.18296228791962829</c:v>
                </c:pt>
                <c:pt idx="27">
                  <c:v>0.21289126812770737</c:v>
                </c:pt>
                <c:pt idx="28">
                  <c:v>0.24256087311895946</c:v>
                </c:pt>
                <c:pt idx="29">
                  <c:v>0.27193495504995358</c:v>
                </c:pt>
                <c:pt idx="30">
                  <c:v>0.30097772612658874</c:v>
                </c:pt>
                <c:pt idx="31">
                  <c:v>0.32965380220600254</c:v>
                </c:pt>
                <c:pt idx="32">
                  <c:v>0.3579282459067038</c:v>
                </c:pt>
                <c:pt idx="33">
                  <c:v>0.3857666091743881</c:v>
                </c:pt>
                <c:pt idx="34">
                  <c:v>0.41313497525158355</c:v>
                </c:pt>
                <c:pt idx="35">
                  <c:v>0.44000000000000011</c:v>
                </c:pt>
                <c:pt idx="36">
                  <c:v>0.46632895252522011</c:v>
                </c:pt>
                <c:pt idx="37">
                  <c:v>0.49208975505425739</c:v>
                </c:pt>
                <c:pt idx="38">
                  <c:v>0.51725102201737616</c:v>
                </c:pt>
                <c:pt idx="39">
                  <c:v>0.54178209828657953</c:v>
                </c:pt>
                <c:pt idx="40">
                  <c:v>0.56565309652415452</c:v>
                </c:pt>
                <c:pt idx="41">
                  <c:v>0.58883493359579486</c:v>
                </c:pt>
                <c:pt idx="42">
                  <c:v>0.61129936600391754</c:v>
                </c:pt>
                <c:pt idx="43">
                  <c:v>0.63301902429801271</c:v>
                </c:pt>
                <c:pt idx="44">
                  <c:v>0.65396744642010696</c:v>
                </c:pt>
                <c:pt idx="45">
                  <c:v>0.67411910994470048</c:v>
                </c:pt>
                <c:pt idx="46">
                  <c:v>0.69344946317391543</c:v>
                </c:pt>
                <c:pt idx="47">
                  <c:v>0.71193495504995363</c:v>
                </c:pt>
                <c:pt idx="48">
                  <c:v>0.72955306384843688</c:v>
                </c:pt>
                <c:pt idx="49">
                  <c:v>0.74628232461765487</c:v>
                </c:pt>
                <c:pt idx="50">
                  <c:v>0.76210235533030579</c:v>
                </c:pt>
                <c:pt idx="51">
                  <c:v>0.77699388171585571</c:v>
                </c:pt>
                <c:pt idx="52">
                  <c:v>0.79093876074326686</c:v>
                </c:pt>
                <c:pt idx="53">
                  <c:v>0.80392000272548891</c:v>
                </c:pt>
                <c:pt idx="54">
                  <c:v>0.8159217920187728</c:v>
                </c:pt>
                <c:pt idx="55">
                  <c:v>0.82692950629159945</c:v>
                </c:pt>
                <c:pt idx="56">
                  <c:v>0.83692973433973517</c:v>
                </c:pt>
                <c:pt idx="57">
                  <c:v>0.84591029242572058</c:v>
                </c:pt>
                <c:pt idx="58">
                  <c:v>0.8538602391228769</c:v>
                </c:pt>
                <c:pt idx="59">
                  <c:v>0.86076988864574888</c:v>
                </c:pt>
                <c:pt idx="60">
                  <c:v>0.86663082265074309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A5-4900-A441-381680ED5744}"/>
            </c:ext>
          </c:extLst>
        </c:ser>
        <c:ser>
          <c:idx val="3"/>
          <c:order val="3"/>
          <c:tx>
            <c:v>Combustión</c:v>
          </c:tx>
          <c:spPr>
            <a:ln w="63500">
              <a:solidFill>
                <a:srgbClr val="E6B800"/>
              </a:solidFill>
              <a:prstDash val="solid"/>
            </a:ln>
          </c:spPr>
          <c:marker>
            <c:symbol val="none"/>
          </c:marker>
          <c:xVal>
            <c:numRef>
              <c:f>'Datos circular'!$I$2:$I$62</c:f>
              <c:numCache>
                <c:formatCode>0.000</c:formatCode>
                <c:ptCount val="61"/>
                <c:pt idx="0">
                  <c:v>-0.15281039634689875</c:v>
                </c:pt>
                <c:pt idx="1">
                  <c:v>-0.15028882651693443</c:v>
                </c:pt>
                <c:pt idx="2">
                  <c:v>-0.14776598500468316</c:v>
                </c:pt>
                <c:pt idx="3">
                  <c:v>-0.14524189315739608</c:v>
                </c:pt>
                <c:pt idx="4">
                  <c:v>-0.14271657233290028</c:v>
                </c:pt>
                <c:pt idx="5">
                  <c:v>-0.14019004389941966</c:v>
                </c:pt>
                <c:pt idx="6">
                  <c:v>-0.13766232923540339</c:v>
                </c:pt>
                <c:pt idx="7">
                  <c:v>-0.1351334497293325</c:v>
                </c:pt>
                <c:pt idx="8">
                  <c:v>-0.13260342677954465</c:v>
                </c:pt>
                <c:pt idx="9">
                  <c:v>-0.13007228179405725</c:v>
                </c:pt>
                <c:pt idx="10">
                  <c:v>-0.12754003619037746</c:v>
                </c:pt>
                <c:pt idx="11">
                  <c:v>-0.12500671139532529</c:v>
                </c:pt>
                <c:pt idx="12">
                  <c:v>-0.12247232884485798</c:v>
                </c:pt>
                <c:pt idx="13">
                  <c:v>-0.11993690998387593</c:v>
                </c:pt>
                <c:pt idx="14">
                  <c:v>-0.11740047626605084</c:v>
                </c:pt>
                <c:pt idx="15">
                  <c:v>-0.11486304915364548</c:v>
                </c:pt>
                <c:pt idx="16">
                  <c:v>-0.11232465011732376</c:v>
                </c:pt>
                <c:pt idx="17">
                  <c:v>-0.1097853006359735</c:v>
                </c:pt>
                <c:pt idx="18">
                  <c:v>-0.10724502219652957</c:v>
                </c:pt>
                <c:pt idx="19">
                  <c:v>-0.10470383629378333</c:v>
                </c:pt>
                <c:pt idx="20">
                  <c:v>-0.10216176443020243</c:v>
                </c:pt>
                <c:pt idx="21">
                  <c:v>-9.9618828115758173E-2</c:v>
                </c:pt>
                <c:pt idx="22">
                  <c:v>-9.7075048867730981E-2</c:v>
                </c:pt>
                <c:pt idx="23">
                  <c:v>-9.4530448210533885E-2</c:v>
                </c:pt>
                <c:pt idx="24">
                  <c:v>-9.1985047675535003E-2</c:v>
                </c:pt>
                <c:pt idx="25">
                  <c:v>-8.9438868800866017E-2</c:v>
                </c:pt>
                <c:pt idx="26">
                  <c:v>-8.6891933131244589E-2</c:v>
                </c:pt>
                <c:pt idx="27">
                  <c:v>-8.4344262217797547E-2</c:v>
                </c:pt>
                <c:pt idx="28">
                  <c:v>-8.1795877617865984E-2</c:v>
                </c:pt>
                <c:pt idx="29">
                  <c:v>-7.9246800894832339E-2</c:v>
                </c:pt>
                <c:pt idx="30">
                  <c:v>-7.6697053617939326E-2</c:v>
                </c:pt>
                <c:pt idx="31">
                  <c:v>-7.4146657362098967E-2</c:v>
                </c:pt>
                <c:pt idx="32">
                  <c:v>-7.1595633707714698E-2</c:v>
                </c:pt>
                <c:pt idx="33">
                  <c:v>-6.9044004240503373E-2</c:v>
                </c:pt>
                <c:pt idx="34">
                  <c:v>-6.6491790551304136E-2</c:v>
                </c:pt>
                <c:pt idx="35">
                  <c:v>-6.3939014235897221E-2</c:v>
                </c:pt>
                <c:pt idx="36">
                  <c:v>-6.138569689483056E-2</c:v>
                </c:pt>
                <c:pt idx="37">
                  <c:v>-5.8831860133224625E-2</c:v>
                </c:pt>
                <c:pt idx="38">
                  <c:v>-5.6277525560594947E-2</c:v>
                </c:pt>
                <c:pt idx="39">
                  <c:v>-5.3722714790674045E-2</c:v>
                </c:pt>
                <c:pt idx="40">
                  <c:v>-5.1167449441219148E-2</c:v>
                </c:pt>
                <c:pt idx="41">
                  <c:v>-4.8611751133833925E-2</c:v>
                </c:pt>
                <c:pt idx="42">
                  <c:v>-4.6055641493791044E-2</c:v>
                </c:pt>
                <c:pt idx="43">
                  <c:v>-4.3499142149836661E-2</c:v>
                </c:pt>
                <c:pt idx="44">
                  <c:v>-4.0942274734016806E-2</c:v>
                </c:pt>
                <c:pt idx="45">
                  <c:v>-3.8385060881495854E-2</c:v>
                </c:pt>
                <c:pt idx="46">
                  <c:v>-3.5827522230364922E-2</c:v>
                </c:pt>
                <c:pt idx="47">
                  <c:v>-3.3269680421463443E-2</c:v>
                </c:pt>
                <c:pt idx="48">
                  <c:v>-3.0711557098200726E-2</c:v>
                </c:pt>
                <c:pt idx="49">
                  <c:v>-2.8153173906363439E-2</c:v>
                </c:pt>
                <c:pt idx="50">
                  <c:v>-2.5594552493937182E-2</c:v>
                </c:pt>
                <c:pt idx="51">
                  <c:v>-2.3035714510928718E-2</c:v>
                </c:pt>
                <c:pt idx="52">
                  <c:v>-2.0476681609170329E-2</c:v>
                </c:pt>
                <c:pt idx="53">
                  <c:v>-1.791747544214595E-2</c:v>
                </c:pt>
                <c:pt idx="54">
                  <c:v>-1.5358117664809533E-2</c:v>
                </c:pt>
                <c:pt idx="55">
                  <c:v>-1.27986299333932E-2</c:v>
                </c:pt>
                <c:pt idx="56">
                  <c:v>-1.023903390522869E-2</c:v>
                </c:pt>
                <c:pt idx="57">
                  <c:v>-7.6793512385688002E-3</c:v>
                </c:pt>
                <c:pt idx="58">
                  <c:v>-5.1196035923955132E-3</c:v>
                </c:pt>
                <c:pt idx="59">
                  <c:v>-2.559812626238298E-3</c:v>
                </c:pt>
                <c:pt idx="60">
                  <c:v>-2.1562612806391712E-16</c:v>
                </c:pt>
              </c:numCache>
            </c:numRef>
          </c:xVal>
          <c:yVal>
            <c:numRef>
              <c:f>'Datos circular'!$J$2:$J$62</c:f>
              <c:numCache>
                <c:formatCode>0.000</c:formatCode>
                <c:ptCount val="61"/>
                <c:pt idx="0">
                  <c:v>0.86663082265074309</c:v>
                </c:pt>
                <c:pt idx="1">
                  <c:v>0.86707166291152826</c:v>
                </c:pt>
                <c:pt idx="2">
                  <c:v>0.8675051663682446</c:v>
                </c:pt>
                <c:pt idx="3">
                  <c:v>0.86793132935276363</c:v>
                </c:pt>
                <c:pt idx="4">
                  <c:v>0.86835014825906953</c:v>
                </c:pt>
                <c:pt idx="5">
                  <c:v>0.86876161954328912</c:v>
                </c:pt>
                <c:pt idx="6">
                  <c:v>0.86916573972372113</c:v>
                </c:pt>
                <c:pt idx="7">
                  <c:v>0.86956250538086677</c:v>
                </c:pt>
                <c:pt idx="8">
                  <c:v>0.86995191315745835</c:v>
                </c:pt>
                <c:pt idx="9">
                  <c:v>0.87033395975848682</c:v>
                </c:pt>
                <c:pt idx="10">
                  <c:v>0.8707086419512311</c:v>
                </c:pt>
                <c:pt idx="11">
                  <c:v>0.8710759565652848</c:v>
                </c:pt>
                <c:pt idx="12">
                  <c:v>0.87143590049258179</c:v>
                </c:pt>
                <c:pt idx="13">
                  <c:v>0.87178847068742515</c:v>
                </c:pt>
                <c:pt idx="14">
                  <c:v>0.87213366416651095</c:v>
                </c:pt>
                <c:pt idx="15">
                  <c:v>0.87247147800895319</c:v>
                </c:pt>
                <c:pt idx="16">
                  <c:v>0.8728019093563103</c:v>
                </c:pt>
                <c:pt idx="17">
                  <c:v>0.87312495541260815</c:v>
                </c:pt>
                <c:pt idx="18">
                  <c:v>0.87344061344436341</c:v>
                </c:pt>
                <c:pt idx="19">
                  <c:v>0.87374888078060764</c:v>
                </c:pt>
                <c:pt idx="20">
                  <c:v>0.87404975481290992</c:v>
                </c:pt>
                <c:pt idx="21">
                  <c:v>0.87434323299539696</c:v>
                </c:pt>
                <c:pt idx="22">
                  <c:v>0.87462931284477752</c:v>
                </c:pt>
                <c:pt idx="23">
                  <c:v>0.87490799194036151</c:v>
                </c:pt>
                <c:pt idx="24">
                  <c:v>0.87517926792408052</c:v>
                </c:pt>
                <c:pt idx="25">
                  <c:v>0.87544313850050903</c:v>
                </c:pt>
                <c:pt idx="26">
                  <c:v>0.87569960143688286</c:v>
                </c:pt>
                <c:pt idx="27">
                  <c:v>0.87594865456311732</c:v>
                </c:pt>
                <c:pt idx="28">
                  <c:v>0.87619029577182783</c:v>
                </c:pt>
                <c:pt idx="29">
                  <c:v>0.87642452301834572</c:v>
                </c:pt>
                <c:pt idx="30">
                  <c:v>0.87665133432073605</c:v>
                </c:pt>
                <c:pt idx="31">
                  <c:v>0.87687072775981501</c:v>
                </c:pt>
                <c:pt idx="32">
                  <c:v>0.87708270147916545</c:v>
                </c:pt>
                <c:pt idx="33">
                  <c:v>0.87728725368515259</c:v>
                </c:pt>
                <c:pt idx="34">
                  <c:v>0.87748438264694006</c:v>
                </c:pt>
                <c:pt idx="35">
                  <c:v>0.8776740866965036</c:v>
                </c:pt>
                <c:pt idx="36">
                  <c:v>0.87785636422864533</c:v>
                </c:pt>
                <c:pt idx="37">
                  <c:v>0.87803121370100778</c:v>
                </c:pt>
                <c:pt idx="38">
                  <c:v>0.87819863363408657</c:v>
                </c:pt>
                <c:pt idx="39">
                  <c:v>0.87835862261124287</c:v>
                </c:pt>
                <c:pt idx="40">
                  <c:v>0.87851117927871603</c:v>
                </c:pt>
                <c:pt idx="41">
                  <c:v>0.87865630234563408</c:v>
                </c:pt>
                <c:pt idx="42">
                  <c:v>0.87879399058402496</c:v>
                </c:pt>
                <c:pt idx="43">
                  <c:v>0.87892424282882775</c:v>
                </c:pt>
                <c:pt idx="44">
                  <c:v>0.87904705797790161</c:v>
                </c:pt>
                <c:pt idx="45">
                  <c:v>0.87916243499203484</c:v>
                </c:pt>
                <c:pt idx="46">
                  <c:v>0.87927037289495469</c:v>
                </c:pt>
                <c:pt idx="47">
                  <c:v>0.87937087077333509</c:v>
                </c:pt>
                <c:pt idx="48">
                  <c:v>0.87946392777680427</c:v>
                </c:pt>
                <c:pt idx="49">
                  <c:v>0.87954954311795197</c:v>
                </c:pt>
                <c:pt idx="50">
                  <c:v>0.87962771607233659</c:v>
                </c:pt>
                <c:pt idx="51">
                  <c:v>0.87969844597849034</c:v>
                </c:pt>
                <c:pt idx="52">
                  <c:v>0.87976173223792631</c:v>
                </c:pt>
                <c:pt idx="53">
                  <c:v>0.87981757431514185</c:v>
                </c:pt>
                <c:pt idx="54">
                  <c:v>0.87986597173762437</c:v>
                </c:pt>
                <c:pt idx="55">
                  <c:v>0.87990692409585458</c:v>
                </c:pt>
                <c:pt idx="56">
                  <c:v>0.87994043104331077</c:v>
                </c:pt>
                <c:pt idx="57">
                  <c:v>0.87996649229647073</c:v>
                </c:pt>
                <c:pt idx="58">
                  <c:v>0.87998510763481497</c:v>
                </c:pt>
                <c:pt idx="59">
                  <c:v>0.87999627690082793</c:v>
                </c:pt>
                <c:pt idx="60">
                  <c:v>0.88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A5-4900-A441-381680ED5744}"/>
            </c:ext>
          </c:extLst>
        </c:ser>
        <c:ser>
          <c:idx val="4"/>
          <c:order val="4"/>
          <c:tx>
            <c:v>Trabajo útil</c:v>
          </c:tx>
          <c:spPr>
            <a:ln w="50800">
              <a:solidFill>
                <a:srgbClr val="7B2FA8"/>
              </a:solidFill>
              <a:prstDash val="solid"/>
            </a:ln>
          </c:spPr>
          <c:marker>
            <c:symbol val="none"/>
          </c:marker>
          <c:xVal>
            <c:numRef>
              <c:f>'Datos circular'!$L$2:$L$62</c:f>
              <c:numCache>
                <c:formatCode>0.000</c:formatCode>
                <c:ptCount val="61"/>
                <c:pt idx="0">
                  <c:v>-1.8622256514611023E-16</c:v>
                </c:pt>
                <c:pt idx="1">
                  <c:v>2.9837459976892123E-2</c:v>
                </c:pt>
                <c:pt idx="2">
                  <c:v>5.9628912753162303E-2</c:v>
                </c:pt>
                <c:pt idx="3">
                  <c:v>8.9328422067956256E-2</c:v>
                </c:pt>
                <c:pt idx="4">
                  <c:v>0.11889019343057528</c:v>
                </c:pt>
                <c:pt idx="5">
                  <c:v>0.14826864473225748</c:v>
                </c:pt>
                <c:pt idx="6">
                  <c:v>0.17741847653048826</c:v>
                </c:pt>
                <c:pt idx="7">
                  <c:v>0.20629474189745611</c:v>
                </c:pt>
                <c:pt idx="8">
                  <c:v>0.23485291572495987</c:v>
                </c:pt>
                <c:pt idx="9">
                  <c:v>0.26304896337889466</c:v>
                </c:pt>
                <c:pt idx="10">
                  <c:v>0.29083940859746837</c:v>
                </c:pt>
                <c:pt idx="11">
                  <c:v>0.31818140052844501</c:v>
                </c:pt>
                <c:pt idx="12">
                  <c:v>0.34503277980205543</c:v>
                </c:pt>
                <c:pt idx="13">
                  <c:v>0.37135214353768575</c:v>
                </c:pt>
                <c:pt idx="14">
                  <c:v>0.39709890918412127</c:v>
                </c:pt>
                <c:pt idx="15">
                  <c:v>0.42223337709489739</c:v>
                </c:pt>
                <c:pt idx="16">
                  <c:v>0.44671679174227941</c:v>
                </c:pt>
                <c:pt idx="17">
                  <c:v>0.47051140147547382</c:v>
                </c:pt>
                <c:pt idx="18">
                  <c:v>0.49358051673093967</c:v>
                </c:pt>
                <c:pt idx="19">
                  <c:v>0.51588856660503546</c:v>
                </c:pt>
                <c:pt idx="20">
                  <c:v>0.53740115370177599</c:v>
                </c:pt>
                <c:pt idx="21">
                  <c:v>0.55808510717112092</c:v>
                </c:pt>
                <c:pt idx="22">
                  <c:v>0.57790853385602359</c:v>
                </c:pt>
                <c:pt idx="23">
                  <c:v>0.59684086746936593</c:v>
                </c:pt>
                <c:pt idx="24">
                  <c:v>0.61485291572495993</c:v>
                </c:pt>
                <c:pt idx="25">
                  <c:v>0.63191690534993439</c:v>
                </c:pt>
                <c:pt idx="26">
                  <c:v>0.64800652490911015</c:v>
                </c:pt>
                <c:pt idx="27">
                  <c:v>0.66309696537532559</c:v>
                </c:pt>
                <c:pt idx="28">
                  <c:v>0.67716495838315949</c:v>
                </c:pt>
                <c:pt idx="29">
                  <c:v>0.69018881210706173</c:v>
                </c:pt>
                <c:pt idx="30">
                  <c:v>0.70214844470857807</c:v>
                </c:pt>
                <c:pt idx="31">
                  <c:v>0.71302541530108776</c:v>
                </c:pt>
                <c:pt idx="32">
                  <c:v>0.72280295238431669</c:v>
                </c:pt>
                <c:pt idx="33">
                  <c:v>0.7314659797047719</c:v>
                </c:pt>
                <c:pt idx="34">
                  <c:v>0.73900113950223423</c:v>
                </c:pt>
                <c:pt idx="35">
                  <c:v>0.745396813106455</c:v>
                </c:pt>
                <c:pt idx="36">
                  <c:v>0.7506431388523046</c:v>
                </c:pt>
                <c:pt idx="37">
                  <c:v>0.75473202728574396</c:v>
                </c:pt>
                <c:pt idx="38">
                  <c:v>0.75765717363717722</c:v>
                </c:pt>
                <c:pt idx="39">
                  <c:v>0.75941406754294938</c:v>
                </c:pt>
                <c:pt idx="40">
                  <c:v>0.76</c:v>
                </c:pt>
                <c:pt idx="41">
                  <c:v>0.75941406754294938</c:v>
                </c:pt>
                <c:pt idx="42">
                  <c:v>0.75765717363717722</c:v>
                </c:pt>
                <c:pt idx="43">
                  <c:v>0.75473202728574407</c:v>
                </c:pt>
                <c:pt idx="44">
                  <c:v>0.7506431388523046</c:v>
                </c:pt>
                <c:pt idx="45">
                  <c:v>0.74539681310645534</c:v>
                </c:pt>
                <c:pt idx="46">
                  <c:v>0.73900113950223434</c:v>
                </c:pt>
                <c:pt idx="47">
                  <c:v>0.73146597970477201</c:v>
                </c:pt>
                <c:pt idx="48">
                  <c:v>0.7228029523843168</c:v>
                </c:pt>
                <c:pt idx="49">
                  <c:v>0.71302541530108798</c:v>
                </c:pt>
                <c:pt idx="50">
                  <c:v>0.70214844470857796</c:v>
                </c:pt>
                <c:pt idx="51">
                  <c:v>0.69018881210706162</c:v>
                </c:pt>
                <c:pt idx="52">
                  <c:v>0.67716495838315938</c:v>
                </c:pt>
                <c:pt idx="53">
                  <c:v>0.66309696537532625</c:v>
                </c:pt>
                <c:pt idx="54">
                  <c:v>0.64800652490911037</c:v>
                </c:pt>
                <c:pt idx="55">
                  <c:v>0.63191690534993461</c:v>
                </c:pt>
                <c:pt idx="56">
                  <c:v>0.61485291572496026</c:v>
                </c:pt>
                <c:pt idx="57">
                  <c:v>0.59684086746936615</c:v>
                </c:pt>
                <c:pt idx="58">
                  <c:v>0.57790853385602348</c:v>
                </c:pt>
                <c:pt idx="59">
                  <c:v>0.55808510717112081</c:v>
                </c:pt>
                <c:pt idx="60">
                  <c:v>0.53740115370177577</c:v>
                </c:pt>
              </c:numCache>
            </c:numRef>
          </c:xVal>
          <c:yVal>
            <c:numRef>
              <c:f>'Datos circular'!$M$2:$M$62</c:f>
              <c:numCache>
                <c:formatCode>0.000</c:formatCode>
                <c:ptCount val="61"/>
                <c:pt idx="0">
                  <c:v>0.76</c:v>
                </c:pt>
                <c:pt idx="1">
                  <c:v>0.75941406754294938</c:v>
                </c:pt>
                <c:pt idx="2">
                  <c:v>0.75765717363717722</c:v>
                </c:pt>
                <c:pt idx="3">
                  <c:v>0.75473202728574407</c:v>
                </c:pt>
                <c:pt idx="4">
                  <c:v>0.75064313885230471</c:v>
                </c:pt>
                <c:pt idx="5">
                  <c:v>0.74539681310645511</c:v>
                </c:pt>
                <c:pt idx="6">
                  <c:v>0.73900113950223423</c:v>
                </c:pt>
                <c:pt idx="7">
                  <c:v>0.73146597970477201</c:v>
                </c:pt>
                <c:pt idx="8">
                  <c:v>0.7228029523843168</c:v>
                </c:pt>
                <c:pt idx="9">
                  <c:v>0.71302541530108798</c:v>
                </c:pt>
                <c:pt idx="10">
                  <c:v>0.70214844470857796</c:v>
                </c:pt>
                <c:pt idx="11">
                  <c:v>0.69018881210706196</c:v>
                </c:pt>
                <c:pt idx="12">
                  <c:v>0.67716495838315971</c:v>
                </c:pt>
                <c:pt idx="13">
                  <c:v>0.66309696537532581</c:v>
                </c:pt>
                <c:pt idx="14">
                  <c:v>0.64800652490911004</c:v>
                </c:pt>
                <c:pt idx="15">
                  <c:v>0.63191690534993461</c:v>
                </c:pt>
                <c:pt idx="16">
                  <c:v>0.61485291572496015</c:v>
                </c:pt>
                <c:pt idx="17">
                  <c:v>0.59684086746936615</c:v>
                </c:pt>
                <c:pt idx="18">
                  <c:v>0.57790853385602348</c:v>
                </c:pt>
                <c:pt idx="19">
                  <c:v>0.55808510717112125</c:v>
                </c:pt>
                <c:pt idx="20">
                  <c:v>0.53740115370177621</c:v>
                </c:pt>
                <c:pt idx="21">
                  <c:v>0.51588856660503579</c:v>
                </c:pt>
                <c:pt idx="22">
                  <c:v>0.4935805167309395</c:v>
                </c:pt>
                <c:pt idx="23">
                  <c:v>0.47051140147547416</c:v>
                </c:pt>
                <c:pt idx="24">
                  <c:v>0.44671679174227974</c:v>
                </c:pt>
                <c:pt idx="25">
                  <c:v>0.42223337709489772</c:v>
                </c:pt>
                <c:pt idx="26">
                  <c:v>0.397098909184121</c:v>
                </c:pt>
                <c:pt idx="27">
                  <c:v>0.37135214353768609</c:v>
                </c:pt>
                <c:pt idx="28">
                  <c:v>0.34503277980205577</c:v>
                </c:pt>
                <c:pt idx="29">
                  <c:v>0.3181814005284454</c:v>
                </c:pt>
                <c:pt idx="30">
                  <c:v>0.2908394085974681</c:v>
                </c:pt>
                <c:pt idx="31">
                  <c:v>0.26304896337889505</c:v>
                </c:pt>
                <c:pt idx="32">
                  <c:v>0.23485291572496028</c:v>
                </c:pt>
                <c:pt idx="33">
                  <c:v>0.20629474189745647</c:v>
                </c:pt>
                <c:pt idx="34">
                  <c:v>0.17741847653048801</c:v>
                </c:pt>
                <c:pt idx="35">
                  <c:v>0.14826864473225787</c:v>
                </c:pt>
                <c:pt idx="36">
                  <c:v>0.11889019343057569</c:v>
                </c:pt>
                <c:pt idx="37">
                  <c:v>8.9328422067956673E-2</c:v>
                </c:pt>
                <c:pt idx="38">
                  <c:v>5.9628912753162053E-2</c:v>
                </c:pt>
                <c:pt idx="39">
                  <c:v>2.9837459976892546E-2</c:v>
                </c:pt>
                <c:pt idx="40">
                  <c:v>2.327782064326378E-16</c:v>
                </c:pt>
                <c:pt idx="41">
                  <c:v>-2.9837459976892081E-2</c:v>
                </c:pt>
                <c:pt idx="42">
                  <c:v>-5.9628912753162261E-2</c:v>
                </c:pt>
                <c:pt idx="43">
                  <c:v>-8.9328422067956215E-2</c:v>
                </c:pt>
                <c:pt idx="44">
                  <c:v>-0.11889019343057589</c:v>
                </c:pt>
                <c:pt idx="45">
                  <c:v>-0.14826864473225676</c:v>
                </c:pt>
                <c:pt idx="46">
                  <c:v>-0.17741847653048756</c:v>
                </c:pt>
                <c:pt idx="47">
                  <c:v>-0.20629474189745603</c:v>
                </c:pt>
                <c:pt idx="48">
                  <c:v>-0.23485291572495981</c:v>
                </c:pt>
                <c:pt idx="49">
                  <c:v>-0.26304896337889461</c:v>
                </c:pt>
                <c:pt idx="50">
                  <c:v>-0.29083940859746832</c:v>
                </c:pt>
                <c:pt idx="51">
                  <c:v>-0.31818140052844562</c:v>
                </c:pt>
                <c:pt idx="52">
                  <c:v>-0.34503277980205593</c:v>
                </c:pt>
                <c:pt idx="53">
                  <c:v>-0.37135214353768509</c:v>
                </c:pt>
                <c:pt idx="54">
                  <c:v>-0.39709890918412066</c:v>
                </c:pt>
                <c:pt idx="55">
                  <c:v>-0.42223337709489733</c:v>
                </c:pt>
                <c:pt idx="56">
                  <c:v>-0.44671679174227941</c:v>
                </c:pt>
                <c:pt idx="57">
                  <c:v>-0.47051140147547371</c:v>
                </c:pt>
                <c:pt idx="58">
                  <c:v>-0.49358051673093967</c:v>
                </c:pt>
                <c:pt idx="59">
                  <c:v>-0.5158885666050359</c:v>
                </c:pt>
                <c:pt idx="60">
                  <c:v>-0.53740115370177644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A5-4900-A441-381680ED5744}"/>
            </c:ext>
          </c:extLst>
        </c:ser>
        <c:ser>
          <c:idx val="5"/>
          <c:order val="5"/>
          <c:tx>
            <c:v>Escape</c:v>
          </c:tx>
          <c:spPr>
            <a:ln w="50800">
              <a:solidFill>
                <a:srgbClr val="D7301F"/>
              </a:solidFill>
              <a:prstDash val="solid"/>
            </a:ln>
          </c:spPr>
          <c:marker>
            <c:symbol val="none"/>
          </c:marker>
          <c:xVal>
            <c:numRef>
              <c:f>'Datos circular'!$O$2:$O$62</c:f>
              <c:numCache>
                <c:formatCode>0.000</c:formatCode>
                <c:ptCount val="61"/>
                <c:pt idx="0">
                  <c:v>0.45254833995939014</c:v>
                </c:pt>
                <c:pt idx="1">
                  <c:v>0.41917481912009036</c:v>
                </c:pt>
                <c:pt idx="2">
                  <c:v>0.38367317999593231</c:v>
                </c:pt>
                <c:pt idx="3">
                  <c:v>0.34622366167551583</c:v>
                </c:pt>
                <c:pt idx="4">
                  <c:v>0.30701639248015761</c:v>
                </c:pt>
                <c:pt idx="5">
                  <c:v>0.26625042469703653</c:v>
                </c:pt>
                <c:pt idx="6">
                  <c:v>0.22413272400605885</c:v>
                </c:pt>
                <c:pt idx="7">
                  <c:v>0.18087711873103859</c:v>
                </c:pt>
                <c:pt idx="8">
                  <c:v>0.13670321424975398</c:v>
                </c:pt>
                <c:pt idx="9">
                  <c:v>9.1835278074354376E-2</c:v>
                </c:pt>
                <c:pt idx="10">
                  <c:v>4.6501101262470784E-2</c:v>
                </c:pt>
                <c:pt idx="11">
                  <c:v>9.3084193954694921E-4</c:v>
                </c:pt>
                <c:pt idx="12">
                  <c:v>-4.4644143196240584E-2</c:v>
                </c:pt>
                <c:pt idx="13">
                  <c:v>-8.9992473454123825E-2</c:v>
                </c:pt>
                <c:pt idx="14">
                  <c:v>-0.13488391885270334</c:v>
                </c:pt>
                <c:pt idx="15">
                  <c:v>-0.1790905689798353</c:v>
                </c:pt>
                <c:pt idx="16">
                  <c:v>-0.22238799007624413</c:v>
                </c:pt>
                <c:pt idx="17">
                  <c:v>-0.26455636446844588</c:v>
                </c:pt>
                <c:pt idx="18">
                  <c:v>-0.30538160656614977</c:v>
                </c:pt>
                <c:pt idx="19">
                  <c:v>-0.34465644975831472</c:v>
                </c:pt>
                <c:pt idx="20">
                  <c:v>-0.38218149868978291</c:v>
                </c:pt>
                <c:pt idx="21">
                  <c:v>-0.41776624157614273</c:v>
                </c:pt>
                <c:pt idx="22">
                  <c:v>-0.45123001741738911</c:v>
                </c:pt>
                <c:pt idx="23">
                  <c:v>-0.48240293319991689</c:v>
                </c:pt>
                <c:pt idx="24">
                  <c:v>-0.51112672643026769</c:v>
                </c:pt>
                <c:pt idx="25">
                  <c:v>-0.53725556862162327</c:v>
                </c:pt>
                <c:pt idx="26">
                  <c:v>-0.56065680565381015</c:v>
                </c:pt>
                <c:pt idx="27">
                  <c:v>-0.5812116312480522</c:v>
                </c:pt>
                <c:pt idx="28">
                  <c:v>-0.59881569013730018</c:v>
                </c:pt>
                <c:pt idx="29">
                  <c:v>-0.61337960786989121</c:v>
                </c:pt>
                <c:pt idx="30">
                  <c:v>-0.62482944455675726</c:v>
                </c:pt>
                <c:pt idx="31">
                  <c:v>-0.63310707025854973</c:v>
                </c:pt>
                <c:pt idx="32">
                  <c:v>-0.63817046010686551</c:v>
                </c:pt>
                <c:pt idx="33">
                  <c:v>-0.63999390766127007</c:v>
                </c:pt>
                <c:pt idx="34">
                  <c:v>-0.63856815541891476</c:v>
                </c:pt>
                <c:pt idx="35">
                  <c:v>-0.63390044181416683</c:v>
                </c:pt>
                <c:pt idx="36">
                  <c:v>-0.62601446446963571</c:v>
                </c:pt>
                <c:pt idx="37">
                  <c:v>-0.61495025988516627</c:v>
                </c:pt>
                <c:pt idx="38">
                  <c:v>-0.60076400017561316</c:v>
                </c:pt>
                <c:pt idx="39">
                  <c:v>-0.58352770788933694</c:v>
                </c:pt>
                <c:pt idx="40">
                  <c:v>-0.56332889035527156</c:v>
                </c:pt>
                <c:pt idx="41">
                  <c:v>-0.54027009541495197</c:v>
                </c:pt>
                <c:pt idx="42">
                  <c:v>-0.51446839079501949</c:v>
                </c:pt>
                <c:pt idx="43">
                  <c:v>-0.4860547697633838</c:v>
                </c:pt>
                <c:pt idx="44">
                  <c:v>-0.45517348608648717</c:v>
                </c:pt>
                <c:pt idx="45">
                  <c:v>-0.42198132166404456</c:v>
                </c:pt>
                <c:pt idx="46">
                  <c:v>-0.38664679055939682</c:v>
                </c:pt>
                <c:pt idx="47">
                  <c:v>-0.349349283466594</c:v>
                </c:pt>
                <c:pt idx="48">
                  <c:v>-0.31027815695765626</c:v>
                </c:pt>
                <c:pt idx="49">
                  <c:v>-0.26963177213382217</c:v>
                </c:pt>
                <c:pt idx="50">
                  <c:v>-0.22761648756152009</c:v>
                </c:pt>
                <c:pt idx="51">
                  <c:v>-0.18444561160581774</c:v>
                </c:pt>
                <c:pt idx="52">
                  <c:v>-0.14033831948025907</c:v>
                </c:pt>
                <c:pt idx="53">
                  <c:v>-9.551854051119181E-2</c:v>
                </c:pt>
                <c:pt idx="54">
                  <c:v>-5.0213821265821357E-2</c:v>
                </c:pt>
                <c:pt idx="55">
                  <c:v>-4.6541703157908206E-3</c:v>
                </c:pt>
                <c:pt idx="56">
                  <c:v>4.092910949861573E-2</c:v>
                </c:pt>
                <c:pt idx="57">
                  <c:v>8.6304595375182147E-2</c:v>
                </c:pt>
                <c:pt idx="58">
                  <c:v>0.13124191946552705</c:v>
                </c:pt>
                <c:pt idx="59">
                  <c:v>0.17551293843492061</c:v>
                </c:pt>
                <c:pt idx="60">
                  <c:v>0.21889289172842744</c:v>
                </c:pt>
              </c:numCache>
            </c:numRef>
          </c:xVal>
          <c:yVal>
            <c:numRef>
              <c:f>'Datos circular'!$P$2:$P$62</c:f>
              <c:numCache>
                <c:formatCode>0.000</c:formatCode>
                <c:ptCount val="61"/>
                <c:pt idx="0">
                  <c:v>-0.45254833995939064</c:v>
                </c:pt>
                <c:pt idx="1">
                  <c:v>-0.4836243077179222</c:v>
                </c:pt>
                <c:pt idx="2">
                  <c:v>-0.51224495209988052</c:v>
                </c:pt>
                <c:pt idx="3">
                  <c:v>-0.53826496829721138</c:v>
                </c:pt>
                <c:pt idx="4">
                  <c:v>-0.5615522546909324</c:v>
                </c:pt>
                <c:pt idx="5">
                  <c:v>-0.58198858352088634</c:v>
                </c:pt>
                <c:pt idx="6">
                  <c:v>-0.59947020111897464</c:v>
                </c:pt>
                <c:pt idx="7">
                  <c:v>-0.61390835465854166</c:v>
                </c:pt>
                <c:pt idx="8">
                  <c:v>-0.62522974274564536</c:v>
                </c:pt>
                <c:pt idx="9">
                  <c:v>-0.63337688756458899</c:v>
                </c:pt>
                <c:pt idx="10">
                  <c:v>-0.63830842668836629</c:v>
                </c:pt>
                <c:pt idx="11">
                  <c:v>-0.63999932307251983</c:v>
                </c:pt>
                <c:pt idx="12">
                  <c:v>-0.63844099216628747</c:v>
                </c:pt>
                <c:pt idx="13">
                  <c:v>-0.63364134549570617</c:v>
                </c:pt>
                <c:pt idx="14">
                  <c:v>-0.62562475049740263</c:v>
                </c:pt>
                <c:pt idx="15">
                  <c:v>-0.61443190680699422</c:v>
                </c:pt>
                <c:pt idx="16">
                  <c:v>-0.60011963963017279</c:v>
                </c:pt>
                <c:pt idx="17">
                  <c:v>-0.58276061124550871</c:v>
                </c:pt>
                <c:pt idx="18">
                  <c:v>-0.56244295210365769</c:v>
                </c:pt>
                <c:pt idx="19">
                  <c:v>-0.53926981339584945</c:v>
                </c:pt>
                <c:pt idx="20">
                  <c:v>-0.51335884336322823</c:v>
                </c:pt>
                <c:pt idx="21">
                  <c:v>-0.48484159000579147</c:v>
                </c:pt>
                <c:pt idx="22">
                  <c:v>-0.45386283322332388</c:v>
                </c:pt>
                <c:pt idx="23">
                  <c:v>-0.42057984977898849</c:v>
                </c:pt>
                <c:pt idx="24">
                  <c:v>-0.38516161481731054</c:v>
                </c:pt>
                <c:pt idx="25">
                  <c:v>-0.34778794399038077</c:v>
                </c:pt>
                <c:pt idx="26">
                  <c:v>-0.30864858054762817</c:v>
                </c:pt>
                <c:pt idx="27">
                  <c:v>-0.26794223202395356</c:v>
                </c:pt>
                <c:pt idx="28">
                  <c:v>-0.22587556141687604</c:v>
                </c:pt>
                <c:pt idx="29">
                  <c:v>-0.1826621379743994</c:v>
                </c:pt>
                <c:pt idx="30">
                  <c:v>-0.1385213529203865</c:v>
                </c:pt>
                <c:pt idx="31">
                  <c:v>-9.3677305622204332E-2</c:v>
                </c:pt>
                <c:pt idx="32">
                  <c:v>-4.8357665855493476E-2</c:v>
                </c:pt>
                <c:pt idx="33">
                  <c:v>-2.7925179422384743E-3</c:v>
                </c:pt>
                <c:pt idx="34">
                  <c:v>4.2786807369617472E-2</c:v>
                </c:pt>
                <c:pt idx="35">
                  <c:v>8.8148907354567735E-2</c:v>
                </c:pt>
                <c:pt idx="36">
                  <c:v>0.13306348212336533</c:v>
                </c:pt>
                <c:pt idx="37">
                  <c:v>0.17730250383783791</c:v>
                </c:pt>
                <c:pt idx="38">
                  <c:v>0.22064137439065207</c:v>
                </c:pt>
                <c:pt idx="39">
                  <c:v>0.26286006567262488</c:v>
                </c:pt>
                <c:pt idx="40">
                  <c:v>0.30374423663848893</c:v>
                </c:pt>
                <c:pt idx="41">
                  <c:v>0.34308632149987955</c:v>
                </c:pt>
                <c:pt idx="42">
                  <c:v>0.38068658352085794</c:v>
                </c:pt>
                <c:pt idx="43">
                  <c:v>0.41635412906594782</c:v>
                </c:pt>
                <c:pt idx="44">
                  <c:v>0.44990787675242416</c:v>
                </c:pt>
                <c:pt idx="45">
                  <c:v>0.4811774767865451</c:v>
                </c:pt>
                <c:pt idx="46">
                  <c:v>0.51000417581635338</c:v>
                </c:pt>
                <c:pt idx="47">
                  <c:v>0.53624162291021149</c:v>
                </c:pt>
                <c:pt idx="48">
                  <c:v>0.55975661256921305</c:v>
                </c:pt>
                <c:pt idx="49">
                  <c:v>0.58042976100125554</c:v>
                </c:pt>
                <c:pt idx="50">
                  <c:v>0.59815611222335296</c:v>
                </c:pt>
                <c:pt idx="51">
                  <c:v>0.61284567091508113</c:v>
                </c:pt>
                <c:pt idx="52">
                  <c:v>0.6244238593178969</c:v>
                </c:pt>
                <c:pt idx="53">
                  <c:v>0.63283189586067157</c:v>
                </c:pt>
                <c:pt idx="54">
                  <c:v>0.63802709358920184</c:v>
                </c:pt>
                <c:pt idx="55">
                  <c:v>0.63998307688459355</c:v>
                </c:pt>
                <c:pt idx="56">
                  <c:v>0.63868991537024467</c:v>
                </c:pt>
                <c:pt idx="57">
                  <c:v>0.63415417432760468</c:v>
                </c:pt>
                <c:pt idx="58">
                  <c:v>0.6263988813647452</c:v>
                </c:pt>
                <c:pt idx="59">
                  <c:v>0.61546340950696643</c:v>
                </c:pt>
                <c:pt idx="60">
                  <c:v>0.6014032773029816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8A5-4900-A441-381680ED5744}"/>
            </c:ext>
          </c:extLst>
        </c:ser>
        <c:ser>
          <c:idx val="6"/>
          <c:order val="6"/>
          <c:tx>
            <c:v>Cruce</c:v>
          </c:tx>
          <c:spPr>
            <a:ln w="762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'Datos circular'!$R$2:$R$62</c:f>
              <c:numCache>
                <c:formatCode>0.000</c:formatCode>
                <c:ptCount val="61"/>
                <c:pt idx="0">
                  <c:v>-0.14364846019678085</c:v>
                </c:pt>
                <c:pt idx="1">
                  <c:v>-0.13904663551168225</c:v>
                </c:pt>
                <c:pt idx="2">
                  <c:v>-0.13442598613792819</c:v>
                </c:pt>
                <c:pt idx="3">
                  <c:v>-0.1297871376374779</c:v>
                </c:pt>
                <c:pt idx="4">
                  <c:v>-0.1251307180361623</c:v>
                </c:pt>
                <c:pt idx="5">
                  <c:v>-0.12045735773865802</c:v>
                </c:pt>
                <c:pt idx="6">
                  <c:v>-0.11576768944313964</c:v>
                </c:pt>
                <c:pt idx="7">
                  <c:v>-0.11106234805562482</c:v>
                </c:pt>
                <c:pt idx="8">
                  <c:v>-0.10634197060401684</c:v>
                </c:pt>
                <c:pt idx="9">
                  <c:v>-0.10160719615186044</c:v>
                </c:pt>
                <c:pt idx="10">
                  <c:v>-9.6858665711824735E-2</c:v>
                </c:pt>
                <c:pt idx="11">
                  <c:v>-9.2097022158919517E-2</c:v>
                </c:pt>
                <c:pt idx="12">
                  <c:v>-8.7322910143458915E-2</c:v>
                </c:pt>
                <c:pt idx="13">
                  <c:v>-8.2536976003788509E-2</c:v>
                </c:pt>
                <c:pt idx="14">
                  <c:v>-7.7739867678780258E-2</c:v>
                </c:pt>
                <c:pt idx="15">
                  <c:v>-7.2932234620110739E-2</c:v>
                </c:pt>
                <c:pt idx="16">
                  <c:v>-6.8114727704338185E-2</c:v>
                </c:pt>
                <c:pt idx="17">
                  <c:v>-6.3287999144783058E-2</c:v>
                </c:pt>
                <c:pt idx="18">
                  <c:v>-5.8452702403227481E-2</c:v>
                </c:pt>
                <c:pt idx="19">
                  <c:v>-5.3609492101449586E-2</c:v>
                </c:pt>
                <c:pt idx="20">
                  <c:v>-4.8759023932596832E-2</c:v>
                </c:pt>
                <c:pt idx="21">
                  <c:v>-4.3901954572414456E-2</c:v>
                </c:pt>
                <c:pt idx="22">
                  <c:v>-3.9038941590344586E-2</c:v>
                </c:pt>
                <c:pt idx="23">
                  <c:v>-3.4170643360500616E-2</c:v>
                </c:pt>
                <c:pt idx="24">
                  <c:v>-2.9297718972532624E-2</c:v>
                </c:pt>
                <c:pt idx="25">
                  <c:v>-2.4420828142399709E-2</c:v>
                </c:pt>
                <c:pt idx="26">
                  <c:v>-1.9540631123053733E-2</c:v>
                </c:pt>
                <c:pt idx="27">
                  <c:v>-1.4657788615050406E-2</c:v>
                </c:pt>
                <c:pt idx="28">
                  <c:v>-9.7729616771035158E-3</c:v>
                </c:pt>
                <c:pt idx="29">
                  <c:v>-4.8868116365868844E-3</c:v>
                </c:pt>
                <c:pt idx="30">
                  <c:v>0</c:v>
                </c:pt>
                <c:pt idx="31">
                  <c:v>4.8868116365868844E-3</c:v>
                </c:pt>
                <c:pt idx="32">
                  <c:v>9.7729616771035158E-3</c:v>
                </c:pt>
                <c:pt idx="33">
                  <c:v>1.4657788615050406E-2</c:v>
                </c:pt>
                <c:pt idx="34">
                  <c:v>1.9540631123053733E-2</c:v>
                </c:pt>
                <c:pt idx="35">
                  <c:v>2.4420828142399709E-2</c:v>
                </c:pt>
                <c:pt idx="36">
                  <c:v>2.9297718972532624E-2</c:v>
                </c:pt>
                <c:pt idx="37">
                  <c:v>3.4170643360500616E-2</c:v>
                </c:pt>
                <c:pt idx="38">
                  <c:v>3.9038941590344586E-2</c:v>
                </c:pt>
                <c:pt idx="39">
                  <c:v>4.3901954572414456E-2</c:v>
                </c:pt>
                <c:pt idx="40">
                  <c:v>4.8759023932596832E-2</c:v>
                </c:pt>
                <c:pt idx="41">
                  <c:v>5.3609492101449586E-2</c:v>
                </c:pt>
                <c:pt idx="42">
                  <c:v>5.8452702403227481E-2</c:v>
                </c:pt>
                <c:pt idx="43">
                  <c:v>6.3287999144783058E-2</c:v>
                </c:pt>
                <c:pt idx="44">
                  <c:v>6.8114727704338185E-2</c:v>
                </c:pt>
                <c:pt idx="45">
                  <c:v>7.2932234620110739E-2</c:v>
                </c:pt>
                <c:pt idx="46">
                  <c:v>7.7739867678780258E-2</c:v>
                </c:pt>
                <c:pt idx="47">
                  <c:v>8.2536976003788509E-2</c:v>
                </c:pt>
                <c:pt idx="48">
                  <c:v>8.7322910143458915E-2</c:v>
                </c:pt>
                <c:pt idx="49">
                  <c:v>9.2097022158919517E-2</c:v>
                </c:pt>
                <c:pt idx="50">
                  <c:v>9.6858665711824735E-2</c:v>
                </c:pt>
                <c:pt idx="51">
                  <c:v>0.10160719615186044</c:v>
                </c:pt>
                <c:pt idx="52">
                  <c:v>0.10634197060401684</c:v>
                </c:pt>
                <c:pt idx="53">
                  <c:v>0.11106234805562482</c:v>
                </c:pt>
                <c:pt idx="54">
                  <c:v>0.11576768944313964</c:v>
                </c:pt>
                <c:pt idx="55">
                  <c:v>0.12045735773865802</c:v>
                </c:pt>
                <c:pt idx="56">
                  <c:v>0.1251307180361623</c:v>
                </c:pt>
                <c:pt idx="57">
                  <c:v>0.1297871376374779</c:v>
                </c:pt>
                <c:pt idx="58">
                  <c:v>0.13442598613792819</c:v>
                </c:pt>
                <c:pt idx="59">
                  <c:v>0.13904663551168225</c:v>
                </c:pt>
                <c:pt idx="60">
                  <c:v>0.14364846019678085</c:v>
                </c:pt>
              </c:numCache>
            </c:numRef>
          </c:xVal>
          <c:yVal>
            <c:numRef>
              <c:f>'Datos circular'!$S$2:$S$62</c:f>
              <c:numCache>
                <c:formatCode>0.000</c:formatCode>
                <c:ptCount val="61"/>
                <c:pt idx="0">
                  <c:v>0.39467090073008154</c:v>
                </c:pt>
                <c:pt idx="1">
                  <c:v>0.3963155726853051</c:v>
                </c:pt>
                <c:pt idx="2">
                  <c:v>0.39790658985601823</c:v>
                </c:pt>
                <c:pt idx="3">
                  <c:v>0.39944373684396445</c:v>
                </c:pt>
                <c:pt idx="4">
                  <c:v>0.40092680554404742</c:v>
                </c:pt>
                <c:pt idx="5">
                  <c:v>0.4023555951725053</c:v>
                </c:pt>
                <c:pt idx="6">
                  <c:v>0.40372991229409394</c:v>
                </c:pt>
                <c:pt idx="7">
                  <c:v>0.40504957084827437</c:v>
                </c:pt>
                <c:pt idx="8">
                  <c:v>0.40631439217440285</c:v>
                </c:pt>
                <c:pt idx="9">
                  <c:v>0.40752420503591852</c:v>
                </c:pt>
                <c:pt idx="10">
                  <c:v>0.40867884564352602</c:v>
                </c:pt>
                <c:pt idx="11">
                  <c:v>0.40977815767736997</c:v>
                </c:pt>
                <c:pt idx="12">
                  <c:v>0.41082199230819838</c:v>
                </c:pt>
                <c:pt idx="13">
                  <c:v>0.41181020821751135</c:v>
                </c:pt>
                <c:pt idx="14">
                  <c:v>0.41274267161669353</c:v>
                </c:pt>
                <c:pt idx="15">
                  <c:v>0.41361925626512736</c:v>
                </c:pt>
                <c:pt idx="16">
                  <c:v>0.41443984348728324</c:v>
                </c:pt>
                <c:pt idx="17">
                  <c:v>0.41520432218878683</c:v>
                </c:pt>
                <c:pt idx="18">
                  <c:v>0.41591258887145954</c:v>
                </c:pt>
                <c:pt idx="19">
                  <c:v>0.41656454764732992</c:v>
                </c:pt>
                <c:pt idx="20">
                  <c:v>0.41716011025161603</c:v>
                </c:pt>
                <c:pt idx="21">
                  <c:v>0.41769919605467476</c:v>
                </c:pt>
                <c:pt idx="22">
                  <c:v>0.41818173207291787</c:v>
                </c:pt>
                <c:pt idx="23">
                  <c:v>0.41860765297869251</c:v>
                </c:pt>
                <c:pt idx="24">
                  <c:v>0.41897690110912617</c:v>
                </c:pt>
                <c:pt idx="25">
                  <c:v>0.41928942647393264</c:v>
                </c:pt>
                <c:pt idx="26">
                  <c:v>0.41954518676218028</c:v>
                </c:pt>
                <c:pt idx="27">
                  <c:v>0.41974414734802018</c:v>
                </c:pt>
                <c:pt idx="28">
                  <c:v>0.41988628129537392</c:v>
                </c:pt>
                <c:pt idx="29">
                  <c:v>0.41997156936158009</c:v>
                </c:pt>
                <c:pt idx="30">
                  <c:v>0.42</c:v>
                </c:pt>
                <c:pt idx="31">
                  <c:v>0.41997156936158009</c:v>
                </c:pt>
                <c:pt idx="32">
                  <c:v>0.41988628129537392</c:v>
                </c:pt>
                <c:pt idx="33">
                  <c:v>0.41974414734802018</c:v>
                </c:pt>
                <c:pt idx="34">
                  <c:v>0.41954518676218028</c:v>
                </c:pt>
                <c:pt idx="35">
                  <c:v>0.41928942647393264</c:v>
                </c:pt>
                <c:pt idx="36">
                  <c:v>0.41897690110912617</c:v>
                </c:pt>
                <c:pt idx="37">
                  <c:v>0.41860765297869251</c:v>
                </c:pt>
                <c:pt idx="38">
                  <c:v>0.41818173207291787</c:v>
                </c:pt>
                <c:pt idx="39">
                  <c:v>0.41769919605467476</c:v>
                </c:pt>
                <c:pt idx="40">
                  <c:v>0.41716011025161603</c:v>
                </c:pt>
                <c:pt idx="41">
                  <c:v>0.41656454764732992</c:v>
                </c:pt>
                <c:pt idx="42">
                  <c:v>0.41591258887145954</c:v>
                </c:pt>
                <c:pt idx="43">
                  <c:v>0.41520432218878683</c:v>
                </c:pt>
                <c:pt idx="44">
                  <c:v>0.41443984348728324</c:v>
                </c:pt>
                <c:pt idx="45">
                  <c:v>0.41361925626512736</c:v>
                </c:pt>
                <c:pt idx="46">
                  <c:v>0.41274267161669353</c:v>
                </c:pt>
                <c:pt idx="47">
                  <c:v>0.41181020821751135</c:v>
                </c:pt>
                <c:pt idx="48">
                  <c:v>0.41082199230819838</c:v>
                </c:pt>
                <c:pt idx="49">
                  <c:v>0.40977815767736997</c:v>
                </c:pt>
                <c:pt idx="50">
                  <c:v>0.40867884564352602</c:v>
                </c:pt>
                <c:pt idx="51">
                  <c:v>0.40752420503591852</c:v>
                </c:pt>
                <c:pt idx="52">
                  <c:v>0.40631439217440285</c:v>
                </c:pt>
                <c:pt idx="53">
                  <c:v>0.40504957084827437</c:v>
                </c:pt>
                <c:pt idx="54">
                  <c:v>0.40372991229409394</c:v>
                </c:pt>
                <c:pt idx="55">
                  <c:v>0.4023555951725053</c:v>
                </c:pt>
                <c:pt idx="56">
                  <c:v>0.40092680554404742</c:v>
                </c:pt>
                <c:pt idx="57">
                  <c:v>0.39944373684396445</c:v>
                </c:pt>
                <c:pt idx="58">
                  <c:v>0.39790658985601823</c:v>
                </c:pt>
                <c:pt idx="59">
                  <c:v>0.3963155726853051</c:v>
                </c:pt>
                <c:pt idx="60">
                  <c:v>0.39467090073008154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8A5-4900-A441-381680ED5744}"/>
            </c:ext>
          </c:extLst>
        </c:ser>
        <c:ser>
          <c:idx val="7"/>
          <c:order val="7"/>
          <c:tx>
            <c:v>AAA</c:v>
          </c:tx>
          <c:spPr>
            <a:ln w="9525">
              <a:solidFill>
                <a:srgbClr val="1F4FD8"/>
              </a:solidFill>
              <a:prstDash val="sysDash"/>
            </a:ln>
          </c:spPr>
          <c:marker>
            <c:symbol val="circle"/>
            <c:size val="5"/>
            <c:spPr>
              <a:solidFill>
                <a:srgbClr val="1F4FD8"/>
              </a:solidFill>
              <a:ln>
                <a:solidFill>
                  <a:srgbClr val="1F4FD8"/>
                </a:solidFill>
                <a:prstDash val="solid"/>
              </a:ln>
            </c:spPr>
          </c:marker>
          <c:xVal>
            <c:numRef>
              <c:f>'Datos circular'!$X$20:$X$21</c:f>
              <c:numCache>
                <c:formatCode>General</c:formatCode>
                <c:ptCount val="2"/>
                <c:pt idx="0">
                  <c:v>0</c:v>
                </c:pt>
                <c:pt idx="1">
                  <c:v>-0.38306256052474902</c:v>
                </c:pt>
              </c:numCache>
            </c:numRef>
          </c:xVal>
          <c:yVal>
            <c:numRef>
              <c:f>'Datos circular'!$Y$20:$Y$21</c:f>
              <c:numCache>
                <c:formatCode>General</c:formatCode>
                <c:ptCount val="2"/>
                <c:pt idx="0">
                  <c:v>0</c:v>
                </c:pt>
                <c:pt idx="1">
                  <c:v>1.0524557352802175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8A5-4900-A441-381680ED5744}"/>
            </c:ext>
          </c:extLst>
        </c:ser>
        <c:ser>
          <c:idx val="8"/>
          <c:order val="8"/>
          <c:tx>
            <c:strRef>
              <c:f>'Datos circular'!$AD$2</c:f>
              <c:strCache>
                <c:ptCount val="1"/>
                <c:pt idx="0">
                  <c:v>AAA 20°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l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circular'!$AB$2</c:f>
              <c:numCache>
                <c:formatCode>General</c:formatCode>
                <c:ptCount val="1"/>
                <c:pt idx="0">
                  <c:v>-0.42410497772382921</c:v>
                </c:pt>
              </c:numCache>
            </c:numRef>
          </c:xVal>
          <c:yVal>
            <c:numRef>
              <c:f>'Datos circular'!$AC$2</c:f>
              <c:numCache>
                <c:formatCode>General</c:formatCode>
                <c:ptCount val="1"/>
                <c:pt idx="0">
                  <c:v>1.1652188497745264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8A5-4900-A441-381680ED5744}"/>
            </c:ext>
          </c:extLst>
        </c:ser>
        <c:ser>
          <c:idx val="9"/>
          <c:order val="9"/>
          <c:tx>
            <c:v>RCA</c:v>
          </c:tx>
          <c:spPr>
            <a:ln w="9525">
              <a:solidFill>
                <a:srgbClr val="1F4FD8"/>
              </a:solidFill>
              <a:prstDash val="sysDash"/>
            </a:ln>
          </c:spPr>
          <c:marker>
            <c:symbol val="circle"/>
            <c:size val="5"/>
            <c:spPr>
              <a:solidFill>
                <a:srgbClr val="1F4FD8"/>
              </a:solidFill>
              <a:ln>
                <a:solidFill>
                  <a:srgbClr val="1F4FD8"/>
                </a:solidFill>
                <a:prstDash val="solid"/>
              </a:ln>
            </c:spPr>
          </c:marker>
          <c:xVal>
            <c:numRef>
              <c:f>'Datos circular'!$X$22:$X$23</c:f>
              <c:numCache>
                <c:formatCode>General</c:formatCode>
                <c:ptCount val="2"/>
                <c:pt idx="0">
                  <c:v>0</c:v>
                </c:pt>
                <c:pt idx="1">
                  <c:v>-0.85796977629325533</c:v>
                </c:pt>
              </c:numCache>
            </c:numRef>
          </c:xVal>
          <c:yVal>
            <c:numRef>
              <c:f>'Datos circular'!$Y$22:$Y$23</c:f>
              <c:numCache>
                <c:formatCode>General</c:formatCode>
                <c:ptCount val="2"/>
                <c:pt idx="0">
                  <c:v>0</c:v>
                </c:pt>
                <c:pt idx="1">
                  <c:v>-0.71992212284892432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8A5-4900-A441-381680ED5744}"/>
            </c:ext>
          </c:extLst>
        </c:ser>
        <c:ser>
          <c:idx val="10"/>
          <c:order val="10"/>
          <c:tx>
            <c:strRef>
              <c:f>'Datos circular'!$AD$3</c:f>
              <c:strCache>
                <c:ptCount val="1"/>
                <c:pt idx="0">
                  <c:v>RCA 50°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l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circular'!$AB$3</c:f>
              <c:numCache>
                <c:formatCode>General</c:formatCode>
                <c:ptCount val="1"/>
                <c:pt idx="0">
                  <c:v>-0.94989510946753264</c:v>
                </c:pt>
              </c:numCache>
            </c:numRef>
          </c:xVal>
          <c:yVal>
            <c:numRef>
              <c:f>'Datos circular'!$AC$3</c:f>
              <c:numCache>
                <c:formatCode>General</c:formatCode>
                <c:ptCount val="1"/>
                <c:pt idx="0">
                  <c:v>-0.79705663601130894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8A5-4900-A441-381680ED5744}"/>
            </c:ext>
          </c:extLst>
        </c:ser>
        <c:ser>
          <c:idx val="11"/>
          <c:order val="11"/>
          <c:tx>
            <c:v>AE</c:v>
          </c:tx>
          <c:spPr>
            <a:ln w="9525">
              <a:solidFill>
                <a:srgbClr val="B8860B"/>
              </a:solidFill>
              <a:prstDash val="sysDash"/>
            </a:ln>
          </c:spPr>
          <c:marker>
            <c:symbol val="circle"/>
            <c:size val="5"/>
            <c:spPr>
              <a:solidFill>
                <a:srgbClr val="B8860B"/>
              </a:solidFill>
              <a:ln>
                <a:solidFill>
                  <a:srgbClr val="B8860B"/>
                </a:solidFill>
                <a:prstDash val="solid"/>
              </a:ln>
            </c:spPr>
          </c:marker>
          <c:xVal>
            <c:numRef>
              <c:f>'Datos circular'!$X$24:$X$25</c:f>
              <c:numCache>
                <c:formatCode>General</c:formatCode>
                <c:ptCount val="2"/>
                <c:pt idx="0">
                  <c:v>0</c:v>
                </c:pt>
                <c:pt idx="1">
                  <c:v>-0.19448595898696205</c:v>
                </c:pt>
              </c:numCache>
            </c:numRef>
          </c:xVal>
          <c:yVal>
            <c:numRef>
              <c:f>'Datos circular'!$Y$24:$Y$25</c:f>
              <c:numCache>
                <c:formatCode>General</c:formatCode>
                <c:ptCount val="2"/>
                <c:pt idx="0">
                  <c:v>0</c:v>
                </c:pt>
                <c:pt idx="1">
                  <c:v>1.1029846833736732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8A5-4900-A441-381680ED5744}"/>
            </c:ext>
          </c:extLst>
        </c:ser>
        <c:ser>
          <c:idx val="12"/>
          <c:order val="12"/>
          <c:tx>
            <c:strRef>
              <c:f>'Datos circular'!$AD$4</c:f>
              <c:strCache>
                <c:ptCount val="1"/>
                <c:pt idx="0">
                  <c:v>AE 10°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7.7117222222222268E-2"/>
                  <c:y val="-4.7037037037037255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8A5-4900-A441-381680ED57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B8860B"/>
                    </a:solidFill>
                    <a:latin typeface="Arial"/>
                  </a:defRPr>
                </a:pPr>
                <a:endParaRPr lang="es-EC"/>
              </a:p>
            </c:txPr>
            <c:dLblPos val="l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circular'!$AB$4</c:f>
              <c:numCache>
                <c:formatCode>General</c:formatCode>
                <c:ptCount val="1"/>
                <c:pt idx="0">
                  <c:v>-0.21532374030699367</c:v>
                </c:pt>
              </c:numCache>
            </c:numRef>
          </c:xVal>
          <c:yVal>
            <c:numRef>
              <c:f>'Datos circular'!$AC$4</c:f>
              <c:numCache>
                <c:formatCode>General</c:formatCode>
                <c:ptCount val="1"/>
                <c:pt idx="0">
                  <c:v>1.221161613735138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8A5-4900-A441-381680ED5744}"/>
            </c:ext>
          </c:extLst>
        </c:ser>
        <c:ser>
          <c:idx val="13"/>
          <c:order val="13"/>
          <c:tx>
            <c:v>AAE</c:v>
          </c:tx>
          <c:spPr>
            <a:ln w="9525">
              <a:solidFill>
                <a:srgbClr val="D7301F"/>
              </a:solidFill>
              <a:prstDash val="sysDash"/>
            </a:ln>
          </c:spPr>
          <c:marker>
            <c:symbol val="circle"/>
            <c:size val="5"/>
            <c:spPr>
              <a:solidFill>
                <a:srgbClr val="D7301F"/>
              </a:solidFill>
              <a:ln>
                <a:solidFill>
                  <a:srgbClr val="D7301F"/>
                </a:solidFill>
                <a:prstDash val="solid"/>
              </a:ln>
            </c:spPr>
          </c:marker>
          <c:xVal>
            <c:numRef>
              <c:f>'Datos circular'!$X$26:$X$27</c:f>
              <c:numCache>
                <c:formatCode>General</c:formatCode>
                <c:ptCount val="2"/>
                <c:pt idx="0">
                  <c:v>0</c:v>
                </c:pt>
                <c:pt idx="1">
                  <c:v>0.79195959492893286</c:v>
                </c:pt>
              </c:numCache>
            </c:numRef>
          </c:xVal>
          <c:yVal>
            <c:numRef>
              <c:f>'Datos circular'!$Y$26:$Y$27</c:f>
              <c:numCache>
                <c:formatCode>General</c:formatCode>
                <c:ptCount val="2"/>
                <c:pt idx="0">
                  <c:v>0</c:v>
                </c:pt>
                <c:pt idx="1">
                  <c:v>-0.79195959492893375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8A5-4900-A441-381680ED5744}"/>
            </c:ext>
          </c:extLst>
        </c:ser>
        <c:ser>
          <c:idx val="14"/>
          <c:order val="14"/>
          <c:tx>
            <c:strRef>
              <c:f>'Datos circular'!$AD$5</c:f>
              <c:strCache>
                <c:ptCount val="1"/>
                <c:pt idx="0">
                  <c:v>AAE 45°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circular'!$AB$5</c:f>
              <c:numCache>
                <c:formatCode>General</c:formatCode>
                <c:ptCount val="1"/>
                <c:pt idx="0">
                  <c:v>0.87681240867131849</c:v>
                </c:pt>
              </c:numCache>
            </c:numRef>
          </c:xVal>
          <c:yVal>
            <c:numRef>
              <c:f>'Datos circular'!$AC$5</c:f>
              <c:numCache>
                <c:formatCode>General</c:formatCode>
                <c:ptCount val="1"/>
                <c:pt idx="0">
                  <c:v>-0.87681240867131938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8A5-4900-A441-381680ED5744}"/>
            </c:ext>
          </c:extLst>
        </c:ser>
        <c:ser>
          <c:idx val="15"/>
          <c:order val="15"/>
          <c:tx>
            <c:v>RCE</c:v>
          </c:tx>
          <c:spPr>
            <a:ln w="9525">
              <a:solidFill>
                <a:srgbClr val="D7301F"/>
              </a:solidFill>
              <a:prstDash val="sysDash"/>
            </a:ln>
          </c:spPr>
          <c:marker>
            <c:symbol val="circle"/>
            <c:size val="5"/>
            <c:spPr>
              <a:solidFill>
                <a:srgbClr val="D7301F"/>
              </a:solidFill>
              <a:ln>
                <a:solidFill>
                  <a:srgbClr val="D7301F"/>
                </a:solidFill>
                <a:prstDash val="solid"/>
              </a:ln>
            </c:spPr>
          </c:marker>
          <c:xVal>
            <c:numRef>
              <c:f>'Datos circular'!$X$28:$X$29</c:f>
              <c:numCache>
                <c:formatCode>General</c:formatCode>
                <c:ptCount val="2"/>
                <c:pt idx="0">
                  <c:v>0</c:v>
                </c:pt>
                <c:pt idx="1">
                  <c:v>0.38306256052474807</c:v>
                </c:pt>
              </c:numCache>
            </c:numRef>
          </c:xVal>
          <c:yVal>
            <c:numRef>
              <c:f>'Datos circular'!$Y$28:$Y$29</c:f>
              <c:numCache>
                <c:formatCode>General</c:formatCode>
                <c:ptCount val="2"/>
                <c:pt idx="0">
                  <c:v>0</c:v>
                </c:pt>
                <c:pt idx="1">
                  <c:v>1.0524557352802177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8A5-4900-A441-381680ED5744}"/>
            </c:ext>
          </c:extLst>
        </c:ser>
        <c:ser>
          <c:idx val="16"/>
          <c:order val="16"/>
          <c:tx>
            <c:strRef>
              <c:f>'Datos circular'!$AD$6</c:f>
              <c:strCache>
                <c:ptCount val="1"/>
                <c:pt idx="0">
                  <c:v>RCE 20°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circular'!$AB$6</c:f>
              <c:numCache>
                <c:formatCode>General</c:formatCode>
                <c:ptCount val="1"/>
                <c:pt idx="0">
                  <c:v>0.42410497772382816</c:v>
                </c:pt>
              </c:numCache>
            </c:numRef>
          </c:xVal>
          <c:yVal>
            <c:numRef>
              <c:f>'Datos circular'!$AC$6</c:f>
              <c:numCache>
                <c:formatCode>General</c:formatCode>
                <c:ptCount val="1"/>
                <c:pt idx="0">
                  <c:v>1.1652188497745266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8A5-4900-A441-381680ED5744}"/>
            </c:ext>
          </c:extLst>
        </c:ser>
        <c:ser>
          <c:idx val="17"/>
          <c:order val="17"/>
          <c:tx>
            <c:strRef>
              <c:f>'Datos circular'!$AF$2</c:f>
              <c:strCache>
                <c:ptCount val="1"/>
                <c:pt idx="0">
                  <c:v>Admisión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circular'!$AG$2</c:f>
              <c:numCache>
                <c:formatCode>General</c:formatCode>
                <c:ptCount val="1"/>
                <c:pt idx="0">
                  <c:v>0.96592582628906831</c:v>
                </c:pt>
              </c:numCache>
            </c:numRef>
          </c:xVal>
          <c:yVal>
            <c:numRef>
              <c:f>'Datos circular'!$AH$2</c:f>
              <c:numCache>
                <c:formatCode>General</c:formatCode>
                <c:ptCount val="1"/>
                <c:pt idx="0">
                  <c:v>-0.25881904510252085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8A5-4900-A441-381680ED5744}"/>
            </c:ext>
          </c:extLst>
        </c:ser>
        <c:ser>
          <c:idx val="18"/>
          <c:order val="18"/>
          <c:tx>
            <c:strRef>
              <c:f>'Datos circular'!$AF$3</c:f>
              <c:strCache>
                <c:ptCount val="1"/>
                <c:pt idx="0">
                  <c:v>Compresión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2E9E44"/>
                    </a:solidFill>
                    <a:latin typeface="Arial"/>
                  </a:defRPr>
                </a:pPr>
                <a:endParaRPr lang="es-EC"/>
              </a:p>
            </c:txPr>
            <c:dLblPos val="l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circular'!$AG$3</c:f>
              <c:numCache>
                <c:formatCode>General</c:formatCode>
                <c:ptCount val="1"/>
                <c:pt idx="0">
                  <c:v>-0.82692950629159934</c:v>
                </c:pt>
              </c:numCache>
            </c:numRef>
          </c:xVal>
          <c:yVal>
            <c:numRef>
              <c:f>'Datos circular'!$AH$3</c:f>
              <c:numCache>
                <c:formatCode>General</c:formatCode>
                <c:ptCount val="1"/>
                <c:pt idx="0">
                  <c:v>0.30097772612658874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8A5-4900-A441-381680ED5744}"/>
            </c:ext>
          </c:extLst>
        </c:ser>
        <c:ser>
          <c:idx val="19"/>
          <c:order val="19"/>
          <c:tx>
            <c:strRef>
              <c:f>'Datos circular'!$AF$4</c:f>
              <c:strCache>
                <c:ptCount val="1"/>
                <c:pt idx="0">
                  <c:v>Combustión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B8860B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circular'!$AG$4</c:f>
              <c:numCache>
                <c:formatCode>General</c:formatCode>
                <c:ptCount val="1"/>
                <c:pt idx="0">
                  <c:v>-6.1357642894351465E-2</c:v>
                </c:pt>
              </c:numCache>
            </c:numRef>
          </c:xVal>
          <c:yVal>
            <c:numRef>
              <c:f>'Datos circular'!$AH$4</c:f>
              <c:numCache>
                <c:formatCode>General</c:formatCode>
                <c:ptCount val="1"/>
                <c:pt idx="0">
                  <c:v>0.70132106745658884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8A5-4900-A441-381680ED5744}"/>
            </c:ext>
          </c:extLst>
        </c:ser>
        <c:ser>
          <c:idx val="20"/>
          <c:order val="20"/>
          <c:tx>
            <c:strRef>
              <c:f>'Datos circular'!$AF$5</c:f>
              <c:strCache>
                <c:ptCount val="1"/>
                <c:pt idx="0">
                  <c:v>Trabajo útil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7B2FA8"/>
                    </a:solidFill>
                    <a:latin typeface="Arial"/>
                  </a:defRPr>
                </a:pPr>
                <a:endParaRPr lang="es-EC"/>
              </a:p>
            </c:txPr>
            <c:dLblPos val="l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circular'!$AG$5</c:f>
              <c:numCache>
                <c:formatCode>General</c:formatCode>
                <c:ptCount val="1"/>
                <c:pt idx="0">
                  <c:v>0.70214844470857807</c:v>
                </c:pt>
              </c:numCache>
            </c:numRef>
          </c:xVal>
          <c:yVal>
            <c:numRef>
              <c:f>'Datos circular'!$AH$5</c:f>
              <c:numCache>
                <c:formatCode>General</c:formatCode>
                <c:ptCount val="1"/>
                <c:pt idx="0">
                  <c:v>0.2908394085974681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8A5-4900-A441-381680ED5744}"/>
            </c:ext>
          </c:extLst>
        </c:ser>
        <c:ser>
          <c:idx val="21"/>
          <c:order val="21"/>
          <c:tx>
            <c:strRef>
              <c:f>'Datos circular'!$AF$6</c:f>
              <c:strCache>
                <c:ptCount val="1"/>
                <c:pt idx="0">
                  <c:v>Escape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circular'!$AG$6</c:f>
              <c:numCache>
                <c:formatCode>General</c:formatCode>
                <c:ptCount val="1"/>
                <c:pt idx="0">
                  <c:v>-0.62482944455675726</c:v>
                </c:pt>
              </c:numCache>
            </c:numRef>
          </c:xVal>
          <c:yVal>
            <c:numRef>
              <c:f>'Datos circular'!$AH$6</c:f>
              <c:numCache>
                <c:formatCode>General</c:formatCode>
                <c:ptCount val="1"/>
                <c:pt idx="0">
                  <c:v>-0.1385213529203865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8A5-4900-A441-381680ED5744}"/>
            </c:ext>
          </c:extLst>
        </c:ser>
        <c:ser>
          <c:idx val="22"/>
          <c:order val="22"/>
          <c:tx>
            <c:strRef>
              <c:f>'Datos circular'!$AF$7</c:f>
              <c:strCache>
                <c:ptCount val="1"/>
                <c:pt idx="0">
                  <c:v>Cruce 40°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00000"/>
                    </a:solidFill>
                    <a:latin typeface="Arial"/>
                  </a:defRPr>
                </a:pPr>
                <a:endParaRPr lang="es-EC"/>
              </a:p>
            </c:txPr>
            <c:dLblPos val="t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circular'!$AG$7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circular'!$AH$7</c:f>
              <c:numCache>
                <c:formatCode>General</c:formatCode>
                <c:ptCount val="1"/>
                <c:pt idx="0">
                  <c:v>0.42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8A5-4900-A441-381680ED5744}"/>
            </c:ext>
          </c:extLst>
        </c:ser>
        <c:ser>
          <c:idx val="23"/>
          <c:order val="23"/>
          <c:tx>
            <c:strRef>
              <c:f>'Datos circular'!$AF$9</c:f>
              <c:strCache>
                <c:ptCount val="1"/>
                <c:pt idx="0">
                  <c:v>PMS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rgbClr val="40404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circular'!$AG$9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circular'!$AH$9</c:f>
              <c:numCache>
                <c:formatCode>General</c:formatCode>
                <c:ptCount val="1"/>
                <c:pt idx="0">
                  <c:v>1.42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8A5-4900-A441-381680ED5744}"/>
            </c:ext>
          </c:extLst>
        </c:ser>
        <c:ser>
          <c:idx val="24"/>
          <c:order val="24"/>
          <c:tx>
            <c:strRef>
              <c:f>'Datos circular'!$AF$10</c:f>
              <c:strCache>
                <c:ptCount val="1"/>
                <c:pt idx="0">
                  <c:v>PMI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rgbClr val="40404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circular'!$AG$10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circular'!$AH$10</c:f>
              <c:numCache>
                <c:formatCode>General</c:formatCode>
                <c:ptCount val="1"/>
                <c:pt idx="0">
                  <c:v>-1.42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8A5-4900-A441-381680ED5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.5"/>
          <c:min val="-1.5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.5"/>
          <c:min val="-1.5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C"/>
              <a:t>Ciclo teórico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"/>
          <c:y val="0.12"/>
          <c:w val="0.8"/>
          <c:h val="0.8"/>
        </c:manualLayout>
      </c:layout>
      <c:scatterChart>
        <c:scatterStyle val="lineMarker"/>
        <c:varyColors val="1"/>
        <c:ser>
          <c:idx val="0"/>
          <c:order val="0"/>
          <c:tx>
            <c:v>Eje PMS-PMI</c:v>
          </c:tx>
          <c:spPr>
            <a:ln w="9525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'Datos circular'!$AG$12:$AG$13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circular'!$AH$12:$AH$13</c:f>
              <c:numCache>
                <c:formatCode>General</c:formatCode>
                <c:ptCount val="2"/>
                <c:pt idx="0">
                  <c:v>1.3</c:v>
                </c:pt>
                <c:pt idx="1">
                  <c:v>-1.3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97-4566-9F2A-D3F98FA5A868}"/>
            </c:ext>
          </c:extLst>
        </c:ser>
        <c:ser>
          <c:idx val="1"/>
          <c:order val="1"/>
          <c:tx>
            <c:v>Admisión</c:v>
          </c:tx>
          <c:spPr>
            <a:ln w="50800">
              <a:solidFill>
                <a:srgbClr val="1F4FD8"/>
              </a:solidFill>
              <a:prstDash val="solid"/>
            </a:ln>
          </c:spPr>
          <c:marker>
            <c:symbol val="none"/>
          </c:marker>
          <c:xVal>
            <c:numRef>
              <c:f>'Datos circular'!$AN$2:$AN$62</c:f>
              <c:numCache>
                <c:formatCode>General</c:formatCode>
                <c:ptCount val="61"/>
                <c:pt idx="0">
                  <c:v>0</c:v>
                </c:pt>
                <c:pt idx="1">
                  <c:v>5.2335956242943835E-2</c:v>
                </c:pt>
                <c:pt idx="2">
                  <c:v>0.10452846326765347</c:v>
                </c:pt>
                <c:pt idx="3">
                  <c:v>0.15643446504023087</c:v>
                </c:pt>
                <c:pt idx="4">
                  <c:v>0.20791169081775934</c:v>
                </c:pt>
                <c:pt idx="5">
                  <c:v>0.25881904510252074</c:v>
                </c:pt>
                <c:pt idx="6">
                  <c:v>0.3090169943749474</c:v>
                </c:pt>
                <c:pt idx="7">
                  <c:v>0.35836794954530027</c:v>
                </c:pt>
                <c:pt idx="8">
                  <c:v>0.40673664307580021</c:v>
                </c:pt>
                <c:pt idx="9">
                  <c:v>0.45399049973954675</c:v>
                </c:pt>
                <c:pt idx="10">
                  <c:v>0.49999999999999994</c:v>
                </c:pt>
                <c:pt idx="11">
                  <c:v>0.54463903501502708</c:v>
                </c:pt>
                <c:pt idx="12">
                  <c:v>0.58778525229247314</c:v>
                </c:pt>
                <c:pt idx="13">
                  <c:v>0.62932039104983739</c:v>
                </c:pt>
                <c:pt idx="14">
                  <c:v>0.66913060635885824</c:v>
                </c:pt>
                <c:pt idx="15">
                  <c:v>0.70710678118654746</c:v>
                </c:pt>
                <c:pt idx="16">
                  <c:v>0.74314482547739424</c:v>
                </c:pt>
                <c:pt idx="17">
                  <c:v>0.7771459614569709</c:v>
                </c:pt>
                <c:pt idx="18">
                  <c:v>0.80901699437494745</c:v>
                </c:pt>
                <c:pt idx="19">
                  <c:v>0.83867056794542405</c:v>
                </c:pt>
                <c:pt idx="20">
                  <c:v>0.8660254037844386</c:v>
                </c:pt>
                <c:pt idx="21">
                  <c:v>0.89100652418836779</c:v>
                </c:pt>
                <c:pt idx="22">
                  <c:v>0.91354545764260087</c:v>
                </c:pt>
                <c:pt idx="23">
                  <c:v>0.93358042649720174</c:v>
                </c:pt>
                <c:pt idx="24">
                  <c:v>0.95105651629515353</c:v>
                </c:pt>
                <c:pt idx="25">
                  <c:v>0.96592582628906831</c:v>
                </c:pt>
                <c:pt idx="26">
                  <c:v>0.97814760073380558</c:v>
                </c:pt>
                <c:pt idx="27">
                  <c:v>0.98768834059513777</c:v>
                </c:pt>
                <c:pt idx="28">
                  <c:v>0.99452189536827329</c:v>
                </c:pt>
                <c:pt idx="29">
                  <c:v>0.99862953475457383</c:v>
                </c:pt>
                <c:pt idx="30">
                  <c:v>1</c:v>
                </c:pt>
                <c:pt idx="31">
                  <c:v>0.99862953475457383</c:v>
                </c:pt>
                <c:pt idx="32">
                  <c:v>0.99452189536827329</c:v>
                </c:pt>
                <c:pt idx="33">
                  <c:v>0.98768834059513777</c:v>
                </c:pt>
                <c:pt idx="34">
                  <c:v>0.97814760073380569</c:v>
                </c:pt>
                <c:pt idx="35">
                  <c:v>0.96592582628906831</c:v>
                </c:pt>
                <c:pt idx="36">
                  <c:v>0.95105651629515364</c:v>
                </c:pt>
                <c:pt idx="37">
                  <c:v>0.93358042649720174</c:v>
                </c:pt>
                <c:pt idx="38">
                  <c:v>0.91354545764260087</c:v>
                </c:pt>
                <c:pt idx="39">
                  <c:v>0.8910065241883679</c:v>
                </c:pt>
                <c:pt idx="40">
                  <c:v>0.86602540378443871</c:v>
                </c:pt>
                <c:pt idx="41">
                  <c:v>0.83867056794542394</c:v>
                </c:pt>
                <c:pt idx="42">
                  <c:v>0.80901699437494745</c:v>
                </c:pt>
                <c:pt idx="43">
                  <c:v>0.77714596145697101</c:v>
                </c:pt>
                <c:pt idx="44">
                  <c:v>0.74314482547739424</c:v>
                </c:pt>
                <c:pt idx="45">
                  <c:v>0.70710678118654757</c:v>
                </c:pt>
                <c:pt idx="46">
                  <c:v>0.66913060635885835</c:v>
                </c:pt>
                <c:pt idx="47">
                  <c:v>0.62932039104983739</c:v>
                </c:pt>
                <c:pt idx="48">
                  <c:v>0.58778525229247325</c:v>
                </c:pt>
                <c:pt idx="49">
                  <c:v>0.54463903501502731</c:v>
                </c:pt>
                <c:pt idx="50">
                  <c:v>0.49999999999999994</c:v>
                </c:pt>
                <c:pt idx="51">
                  <c:v>0.45399049973954686</c:v>
                </c:pt>
                <c:pt idx="52">
                  <c:v>0.40673664307580043</c:v>
                </c:pt>
                <c:pt idx="53">
                  <c:v>0.35836794954530021</c:v>
                </c:pt>
                <c:pt idx="54">
                  <c:v>0.30901699437494751</c:v>
                </c:pt>
                <c:pt idx="55">
                  <c:v>0.25881904510252102</c:v>
                </c:pt>
                <c:pt idx="56">
                  <c:v>0.20791169081775931</c:v>
                </c:pt>
                <c:pt idx="57">
                  <c:v>0.15643446504023098</c:v>
                </c:pt>
                <c:pt idx="58">
                  <c:v>0.10452846326765373</c:v>
                </c:pt>
                <c:pt idx="59">
                  <c:v>5.2335956242943807E-2</c:v>
                </c:pt>
                <c:pt idx="60">
                  <c:v>1.22514845490862E-16</c:v>
                </c:pt>
              </c:numCache>
            </c:numRef>
          </c:xVal>
          <c:yVal>
            <c:numRef>
              <c:f>'Datos circular'!$AO$2:$AO$62</c:f>
              <c:numCache>
                <c:formatCode>General</c:formatCode>
                <c:ptCount val="61"/>
                <c:pt idx="0">
                  <c:v>1</c:v>
                </c:pt>
                <c:pt idx="1">
                  <c:v>0.99862953475457383</c:v>
                </c:pt>
                <c:pt idx="2">
                  <c:v>0.99452189536827329</c:v>
                </c:pt>
                <c:pt idx="3">
                  <c:v>0.98768834059513777</c:v>
                </c:pt>
                <c:pt idx="4">
                  <c:v>0.97814760073380569</c:v>
                </c:pt>
                <c:pt idx="5">
                  <c:v>0.96592582628906831</c:v>
                </c:pt>
                <c:pt idx="6">
                  <c:v>0.95105651629515353</c:v>
                </c:pt>
                <c:pt idx="7">
                  <c:v>0.93358042649720174</c:v>
                </c:pt>
                <c:pt idx="8">
                  <c:v>0.91354545764260087</c:v>
                </c:pt>
                <c:pt idx="9">
                  <c:v>0.8910065241883679</c:v>
                </c:pt>
                <c:pt idx="10">
                  <c:v>0.86602540378443871</c:v>
                </c:pt>
                <c:pt idx="11">
                  <c:v>0.83867056794542405</c:v>
                </c:pt>
                <c:pt idx="12">
                  <c:v>0.80901699437494745</c:v>
                </c:pt>
                <c:pt idx="13">
                  <c:v>0.7771459614569709</c:v>
                </c:pt>
                <c:pt idx="14">
                  <c:v>0.74314482547739424</c:v>
                </c:pt>
                <c:pt idx="15">
                  <c:v>0.70710678118654757</c:v>
                </c:pt>
                <c:pt idx="16">
                  <c:v>0.66913060635885824</c:v>
                </c:pt>
                <c:pt idx="17">
                  <c:v>0.6293203910498375</c:v>
                </c:pt>
                <c:pt idx="18">
                  <c:v>0.58778525229247314</c:v>
                </c:pt>
                <c:pt idx="19">
                  <c:v>0.54463903501502708</c:v>
                </c:pt>
                <c:pt idx="20">
                  <c:v>0.50000000000000011</c:v>
                </c:pt>
                <c:pt idx="21">
                  <c:v>0.4539904997395468</c:v>
                </c:pt>
                <c:pt idx="22">
                  <c:v>0.40673664307580021</c:v>
                </c:pt>
                <c:pt idx="23">
                  <c:v>0.35836794954530038</c:v>
                </c:pt>
                <c:pt idx="24">
                  <c:v>0.30901699437494745</c:v>
                </c:pt>
                <c:pt idx="25">
                  <c:v>0.25881904510252074</c:v>
                </c:pt>
                <c:pt idx="26">
                  <c:v>0.20791169081775945</c:v>
                </c:pt>
                <c:pt idx="27">
                  <c:v>0.15643446504023092</c:v>
                </c:pt>
                <c:pt idx="28">
                  <c:v>0.10452846326765346</c:v>
                </c:pt>
                <c:pt idx="29">
                  <c:v>5.2335956242943966E-2</c:v>
                </c:pt>
                <c:pt idx="30">
                  <c:v>6.1257422745431001E-17</c:v>
                </c:pt>
                <c:pt idx="31">
                  <c:v>-5.2335956242943842E-2</c:v>
                </c:pt>
                <c:pt idx="32">
                  <c:v>-0.10452846326765355</c:v>
                </c:pt>
                <c:pt idx="33">
                  <c:v>-0.15643446504023081</c:v>
                </c:pt>
                <c:pt idx="34">
                  <c:v>-0.20791169081775934</c:v>
                </c:pt>
                <c:pt idx="35">
                  <c:v>-0.25881904510252085</c:v>
                </c:pt>
                <c:pt idx="36">
                  <c:v>-0.30901699437494734</c:v>
                </c:pt>
                <c:pt idx="37">
                  <c:v>-0.35836794954530027</c:v>
                </c:pt>
                <c:pt idx="38">
                  <c:v>-0.40673664307580026</c:v>
                </c:pt>
                <c:pt idx="39">
                  <c:v>-0.45399049973954669</c:v>
                </c:pt>
                <c:pt idx="40">
                  <c:v>-0.49999999999999978</c:v>
                </c:pt>
                <c:pt idx="41">
                  <c:v>-0.54463903501502708</c:v>
                </c:pt>
                <c:pt idx="42">
                  <c:v>-0.58778525229247303</c:v>
                </c:pt>
                <c:pt idx="43">
                  <c:v>-0.62932039104983728</c:v>
                </c:pt>
                <c:pt idx="44">
                  <c:v>-0.66913060635885824</c:v>
                </c:pt>
                <c:pt idx="45">
                  <c:v>-0.70710678118654746</c:v>
                </c:pt>
                <c:pt idx="46">
                  <c:v>-0.74314482547739402</c:v>
                </c:pt>
                <c:pt idx="47">
                  <c:v>-0.7771459614569709</c:v>
                </c:pt>
                <c:pt idx="48">
                  <c:v>-0.80901699437494734</c:v>
                </c:pt>
                <c:pt idx="49">
                  <c:v>-0.83867056794542394</c:v>
                </c:pt>
                <c:pt idx="50">
                  <c:v>-0.86602540378443871</c:v>
                </c:pt>
                <c:pt idx="51">
                  <c:v>-0.89100652418836779</c:v>
                </c:pt>
                <c:pt idx="52">
                  <c:v>-0.91354545764260076</c:v>
                </c:pt>
                <c:pt idx="53">
                  <c:v>-0.93358042649720174</c:v>
                </c:pt>
                <c:pt idx="54">
                  <c:v>-0.95105651629515353</c:v>
                </c:pt>
                <c:pt idx="55">
                  <c:v>-0.9659258262890682</c:v>
                </c:pt>
                <c:pt idx="56">
                  <c:v>-0.97814760073380569</c:v>
                </c:pt>
                <c:pt idx="57">
                  <c:v>-0.98768834059513766</c:v>
                </c:pt>
                <c:pt idx="58">
                  <c:v>-0.99452189536827329</c:v>
                </c:pt>
                <c:pt idx="59">
                  <c:v>-0.99862953475457383</c:v>
                </c:pt>
                <c:pt idx="60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97-4566-9F2A-D3F98FA5A868}"/>
            </c:ext>
          </c:extLst>
        </c:ser>
        <c:ser>
          <c:idx val="2"/>
          <c:order val="2"/>
          <c:tx>
            <c:strRef>
              <c:f>'Datos circular'!$AN$66</c:f>
              <c:strCache>
                <c:ptCount val="1"/>
                <c:pt idx="0">
                  <c:v>Admisión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1F4FD8"/>
                    </a:solidFill>
                    <a:latin typeface="Arial"/>
                  </a:defRPr>
                </a:pPr>
                <a:endParaRPr lang="es-EC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circular'!$AO$66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'Datos circular'!$AP$66</c:f>
              <c:numCache>
                <c:formatCode>General</c:formatCode>
                <c:ptCount val="1"/>
                <c:pt idx="0">
                  <c:v>6.1257422745431001E-17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97-4566-9F2A-D3F98FA5A868}"/>
            </c:ext>
          </c:extLst>
        </c:ser>
        <c:ser>
          <c:idx val="3"/>
          <c:order val="3"/>
          <c:tx>
            <c:v>Compresión</c:v>
          </c:tx>
          <c:spPr>
            <a:ln w="50800">
              <a:solidFill>
                <a:srgbClr val="2E9E44"/>
              </a:solidFill>
              <a:prstDash val="solid"/>
            </a:ln>
          </c:spPr>
          <c:marker>
            <c:symbol val="none"/>
          </c:marker>
          <c:xVal>
            <c:numRef>
              <c:f>'Datos circular'!$AP$2:$AP$62</c:f>
              <c:numCache>
                <c:formatCode>General</c:formatCode>
                <c:ptCount val="61"/>
                <c:pt idx="0">
                  <c:v>1.102633609417758E-16</c:v>
                </c:pt>
                <c:pt idx="1">
                  <c:v>-4.7102360618649204E-2</c:v>
                </c:pt>
                <c:pt idx="2">
                  <c:v>-9.4075616940888146E-2</c:v>
                </c:pt>
                <c:pt idx="3">
                  <c:v>-0.14079101853620765</c:v>
                </c:pt>
                <c:pt idx="4">
                  <c:v>-0.18712052173598356</c:v>
                </c:pt>
                <c:pt idx="5">
                  <c:v>-0.23293714059226872</c:v>
                </c:pt>
                <c:pt idx="6">
                  <c:v>-0.27811529493745257</c:v>
                </c:pt>
                <c:pt idx="7">
                  <c:v>-0.32253115459077042</c:v>
                </c:pt>
                <c:pt idx="8">
                  <c:v>-0.36606297876822019</c:v>
                </c:pt>
                <c:pt idx="9">
                  <c:v>-0.40859144976559203</c:v>
                </c:pt>
                <c:pt idx="10">
                  <c:v>-0.45000000000000012</c:v>
                </c:pt>
                <c:pt idx="11">
                  <c:v>-0.49017513151352438</c:v>
                </c:pt>
                <c:pt idx="12">
                  <c:v>-0.52900672706322571</c:v>
                </c:pt>
                <c:pt idx="13">
                  <c:v>-0.56638835194485382</c:v>
                </c:pt>
                <c:pt idx="14">
                  <c:v>-0.60221754572297248</c:v>
                </c:pt>
                <c:pt idx="15">
                  <c:v>-0.63639610306789274</c:v>
                </c:pt>
                <c:pt idx="16">
                  <c:v>-0.66883034292965493</c:v>
                </c:pt>
                <c:pt idx="17">
                  <c:v>-0.69943136531127348</c:v>
                </c:pt>
                <c:pt idx="18">
                  <c:v>-0.72811529493745264</c:v>
                </c:pt>
                <c:pt idx="19">
                  <c:v>-0.75480351115088162</c:v>
                </c:pt>
                <c:pt idx="20">
                  <c:v>-0.77942286340599454</c:v>
                </c:pt>
                <c:pt idx="21">
                  <c:v>-0.80190587176953099</c:v>
                </c:pt>
                <c:pt idx="22">
                  <c:v>-0.82219091187834092</c:v>
                </c:pt>
                <c:pt idx="23">
                  <c:v>-0.84022238384748149</c:v>
                </c:pt>
                <c:pt idx="24">
                  <c:v>-0.85595086466563819</c:v>
                </c:pt>
                <c:pt idx="25">
                  <c:v>-0.86933324366016151</c:v>
                </c:pt>
                <c:pt idx="26">
                  <c:v>-0.88033284066042505</c:v>
                </c:pt>
                <c:pt idx="27">
                  <c:v>-0.8889195065356239</c:v>
                </c:pt>
                <c:pt idx="28">
                  <c:v>-0.89506970583144607</c:v>
                </c:pt>
                <c:pt idx="29">
                  <c:v>-0.89876658127911646</c:v>
                </c:pt>
                <c:pt idx="30">
                  <c:v>-0.9</c:v>
                </c:pt>
                <c:pt idx="31">
                  <c:v>-0.89876658127911646</c:v>
                </c:pt>
                <c:pt idx="32">
                  <c:v>-0.89506970583144607</c:v>
                </c:pt>
                <c:pt idx="33">
                  <c:v>-0.88891950653562402</c:v>
                </c:pt>
                <c:pt idx="34">
                  <c:v>-0.88033284066042505</c:v>
                </c:pt>
                <c:pt idx="35">
                  <c:v>-0.86933324366016163</c:v>
                </c:pt>
                <c:pt idx="36">
                  <c:v>-0.8559508646656383</c:v>
                </c:pt>
                <c:pt idx="37">
                  <c:v>-0.8402223838474816</c:v>
                </c:pt>
                <c:pt idx="38">
                  <c:v>-0.82219091187834104</c:v>
                </c:pt>
                <c:pt idx="39">
                  <c:v>-0.8019058717695311</c:v>
                </c:pt>
                <c:pt idx="40">
                  <c:v>-0.77942286340599476</c:v>
                </c:pt>
                <c:pt idx="41">
                  <c:v>-0.75480351115088185</c:v>
                </c:pt>
                <c:pt idx="42">
                  <c:v>-0.72811529493745286</c:v>
                </c:pt>
                <c:pt idx="43">
                  <c:v>-0.6994313653112737</c:v>
                </c:pt>
                <c:pt idx="44">
                  <c:v>-0.66883034292965515</c:v>
                </c:pt>
                <c:pt idx="45">
                  <c:v>-0.63639610306789296</c:v>
                </c:pt>
                <c:pt idx="46">
                  <c:v>-0.60221754572297237</c:v>
                </c:pt>
                <c:pt idx="47">
                  <c:v>-0.56638835194485404</c:v>
                </c:pt>
                <c:pt idx="48">
                  <c:v>-0.52900672706322605</c:v>
                </c:pt>
                <c:pt idx="49">
                  <c:v>-0.49017513151352426</c:v>
                </c:pt>
                <c:pt idx="50">
                  <c:v>-0.4500000000000004</c:v>
                </c:pt>
                <c:pt idx="51">
                  <c:v>-0.40859144976559231</c:v>
                </c:pt>
                <c:pt idx="52">
                  <c:v>-0.36606297876822014</c:v>
                </c:pt>
                <c:pt idx="53">
                  <c:v>-0.3225311545907707</c:v>
                </c:pt>
                <c:pt idx="54">
                  <c:v>-0.27811529493745285</c:v>
                </c:pt>
                <c:pt idx="55">
                  <c:v>-0.23293714059226861</c:v>
                </c:pt>
                <c:pt idx="56">
                  <c:v>-0.1871205217359839</c:v>
                </c:pt>
                <c:pt idx="57">
                  <c:v>-0.14079101853620801</c:v>
                </c:pt>
                <c:pt idx="58">
                  <c:v>-9.4075616940888077E-2</c:v>
                </c:pt>
                <c:pt idx="59">
                  <c:v>-4.7102360618649933E-2</c:v>
                </c:pt>
                <c:pt idx="60">
                  <c:v>-2.205267218835516E-16</c:v>
                </c:pt>
              </c:numCache>
            </c:numRef>
          </c:xVal>
          <c:yVal>
            <c:numRef>
              <c:f>'Datos circular'!$AQ$2:$AQ$62</c:f>
              <c:numCache>
                <c:formatCode>General</c:formatCode>
                <c:ptCount val="61"/>
                <c:pt idx="0">
                  <c:v>-0.9</c:v>
                </c:pt>
                <c:pt idx="1">
                  <c:v>-0.89876658127911646</c:v>
                </c:pt>
                <c:pt idx="2">
                  <c:v>-0.89506970583144596</c:v>
                </c:pt>
                <c:pt idx="3">
                  <c:v>-0.88891950653562402</c:v>
                </c:pt>
                <c:pt idx="4">
                  <c:v>-0.88033284066042505</c:v>
                </c:pt>
                <c:pt idx="5">
                  <c:v>-0.86933324366016151</c:v>
                </c:pt>
                <c:pt idx="6">
                  <c:v>-0.8559508646656383</c:v>
                </c:pt>
                <c:pt idx="7">
                  <c:v>-0.8402223838474816</c:v>
                </c:pt>
                <c:pt idx="8">
                  <c:v>-0.82219091187834081</c:v>
                </c:pt>
                <c:pt idx="9">
                  <c:v>-0.8019058717695311</c:v>
                </c:pt>
                <c:pt idx="10">
                  <c:v>-0.77942286340599476</c:v>
                </c:pt>
                <c:pt idx="11">
                  <c:v>-0.75480351115088162</c:v>
                </c:pt>
                <c:pt idx="12">
                  <c:v>-0.72811529493745286</c:v>
                </c:pt>
                <c:pt idx="13">
                  <c:v>-0.6994313653112737</c:v>
                </c:pt>
                <c:pt idx="14">
                  <c:v>-0.66883034292965482</c:v>
                </c:pt>
                <c:pt idx="15">
                  <c:v>-0.63639610306789296</c:v>
                </c:pt>
                <c:pt idx="16">
                  <c:v>-0.60221754572297237</c:v>
                </c:pt>
                <c:pt idx="17">
                  <c:v>-0.56638835194485404</c:v>
                </c:pt>
                <c:pt idx="18">
                  <c:v>-0.52900672706322593</c:v>
                </c:pt>
                <c:pt idx="19">
                  <c:v>-0.49017513151352426</c:v>
                </c:pt>
                <c:pt idx="20">
                  <c:v>-0.4500000000000004</c:v>
                </c:pt>
                <c:pt idx="21">
                  <c:v>-0.40859144976559225</c:v>
                </c:pt>
                <c:pt idx="22">
                  <c:v>-0.36606297876822008</c:v>
                </c:pt>
                <c:pt idx="23">
                  <c:v>-0.32253115459077064</c:v>
                </c:pt>
                <c:pt idx="24">
                  <c:v>-0.27811529493745279</c:v>
                </c:pt>
                <c:pt idx="25">
                  <c:v>-0.23293714059226858</c:v>
                </c:pt>
                <c:pt idx="26">
                  <c:v>-0.18712052173598381</c:v>
                </c:pt>
                <c:pt idx="27">
                  <c:v>-0.14079101853620793</c:v>
                </c:pt>
                <c:pt idx="28">
                  <c:v>-9.4075616940888021E-2</c:v>
                </c:pt>
                <c:pt idx="29">
                  <c:v>-4.7102360618649877E-2</c:v>
                </c:pt>
                <c:pt idx="30">
                  <c:v>-1.653950414126637E-16</c:v>
                </c:pt>
                <c:pt idx="31">
                  <c:v>4.7102360618649551E-2</c:v>
                </c:pt>
                <c:pt idx="32">
                  <c:v>9.4075616940887688E-2</c:v>
                </c:pt>
                <c:pt idx="33">
                  <c:v>0.14079101853620762</c:v>
                </c:pt>
                <c:pt idx="34">
                  <c:v>0.18712052173598348</c:v>
                </c:pt>
                <c:pt idx="35">
                  <c:v>0.23293714059226828</c:v>
                </c:pt>
                <c:pt idx="36">
                  <c:v>0.27811529493745252</c:v>
                </c:pt>
                <c:pt idx="37">
                  <c:v>0.32253115459077036</c:v>
                </c:pt>
                <c:pt idx="38">
                  <c:v>0.3660629787682198</c:v>
                </c:pt>
                <c:pt idx="39">
                  <c:v>0.40859144976559197</c:v>
                </c:pt>
                <c:pt idx="40">
                  <c:v>0.45000000000000012</c:v>
                </c:pt>
                <c:pt idx="41">
                  <c:v>0.49017513151352399</c:v>
                </c:pt>
                <c:pt idx="42">
                  <c:v>0.5290067270632256</c:v>
                </c:pt>
                <c:pt idx="43">
                  <c:v>0.56638835194485382</c:v>
                </c:pt>
                <c:pt idx="44">
                  <c:v>0.60221754572297204</c:v>
                </c:pt>
                <c:pt idx="45">
                  <c:v>0.63639610306789263</c:v>
                </c:pt>
                <c:pt idx="46">
                  <c:v>0.66883034292965482</c:v>
                </c:pt>
                <c:pt idx="47">
                  <c:v>0.69943136531127348</c:v>
                </c:pt>
                <c:pt idx="48">
                  <c:v>0.72811529493745264</c:v>
                </c:pt>
                <c:pt idx="49">
                  <c:v>0.75480351115088162</c:v>
                </c:pt>
                <c:pt idx="50">
                  <c:v>0.77942286340599454</c:v>
                </c:pt>
                <c:pt idx="51">
                  <c:v>0.80190587176953099</c:v>
                </c:pt>
                <c:pt idx="52">
                  <c:v>0.82219091187834092</c:v>
                </c:pt>
                <c:pt idx="53">
                  <c:v>0.84022238384748138</c:v>
                </c:pt>
                <c:pt idx="54">
                  <c:v>0.85595086466563819</c:v>
                </c:pt>
                <c:pt idx="55">
                  <c:v>0.86933324366016151</c:v>
                </c:pt>
                <c:pt idx="56">
                  <c:v>0.88033284066042505</c:v>
                </c:pt>
                <c:pt idx="57">
                  <c:v>0.8889195065356239</c:v>
                </c:pt>
                <c:pt idx="58">
                  <c:v>0.89506970583144596</c:v>
                </c:pt>
                <c:pt idx="59">
                  <c:v>0.89876658127911646</c:v>
                </c:pt>
                <c:pt idx="60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97-4566-9F2A-D3F98FA5A868}"/>
            </c:ext>
          </c:extLst>
        </c:ser>
        <c:ser>
          <c:idx val="4"/>
          <c:order val="4"/>
          <c:tx>
            <c:strRef>
              <c:f>'Datos circular'!$AN$67</c:f>
              <c:strCache>
                <c:ptCount val="1"/>
                <c:pt idx="0">
                  <c:v>Compresión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2E9E44"/>
                    </a:solidFill>
                    <a:latin typeface="Arial"/>
                  </a:defRPr>
                </a:pPr>
                <a:endParaRPr lang="es-EC"/>
              </a:p>
            </c:txPr>
            <c:dLblPos val="l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circular'!$AO$67</c:f>
              <c:numCache>
                <c:formatCode>General</c:formatCode>
                <c:ptCount val="1"/>
                <c:pt idx="0">
                  <c:v>-0.9</c:v>
                </c:pt>
              </c:numCache>
            </c:numRef>
          </c:xVal>
          <c:yVal>
            <c:numRef>
              <c:f>'Datos circular'!$AP$67</c:f>
              <c:numCache>
                <c:formatCode>General</c:formatCode>
                <c:ptCount val="1"/>
                <c:pt idx="0">
                  <c:v>-1.653950414126637E-16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97-4566-9F2A-D3F98FA5A868}"/>
            </c:ext>
          </c:extLst>
        </c:ser>
        <c:ser>
          <c:idx val="5"/>
          <c:order val="5"/>
          <c:tx>
            <c:v>Expansión</c:v>
          </c:tx>
          <c:spPr>
            <a:ln w="50800">
              <a:solidFill>
                <a:srgbClr val="7B2FA8"/>
              </a:solidFill>
              <a:prstDash val="solid"/>
            </a:ln>
          </c:spPr>
          <c:marker>
            <c:symbol val="none"/>
          </c:marker>
          <c:xVal>
            <c:numRef>
              <c:f>'Datos circular'!$AR$2:$AR$62</c:f>
              <c:numCache>
                <c:formatCode>General</c:formatCode>
                <c:ptCount val="61"/>
                <c:pt idx="0">
                  <c:v>-1.960237527853792E-16</c:v>
                </c:pt>
                <c:pt idx="1">
                  <c:v>4.1868764994355108E-2</c:v>
                </c:pt>
                <c:pt idx="2">
                  <c:v>8.3622770614122349E-2</c:v>
                </c:pt>
                <c:pt idx="3">
                  <c:v>0.12514757203218449</c:v>
                </c:pt>
                <c:pt idx="4">
                  <c:v>0.16632935265420751</c:v>
                </c:pt>
                <c:pt idx="5">
                  <c:v>0.2070552360820162</c:v>
                </c:pt>
                <c:pt idx="6">
                  <c:v>0.24721359549995775</c:v>
                </c:pt>
                <c:pt idx="7">
                  <c:v>0.28669435963624029</c:v>
                </c:pt>
                <c:pt idx="8">
                  <c:v>0.3253893144606404</c:v>
                </c:pt>
                <c:pt idx="9">
                  <c:v>0.36319239979163731</c:v>
                </c:pt>
                <c:pt idx="10">
                  <c:v>0.4</c:v>
                </c:pt>
                <c:pt idx="11">
                  <c:v>0.43571122801202189</c:v>
                </c:pt>
                <c:pt idx="12">
                  <c:v>0.47022820183397834</c:v>
                </c:pt>
                <c:pt idx="13">
                  <c:v>0.50345631283987002</c:v>
                </c:pt>
                <c:pt idx="14">
                  <c:v>0.53530448508708683</c:v>
                </c:pt>
                <c:pt idx="15">
                  <c:v>0.5656854249492379</c:v>
                </c:pt>
                <c:pt idx="16">
                  <c:v>0.5945158603819154</c:v>
                </c:pt>
                <c:pt idx="17">
                  <c:v>0.62171676916557694</c:v>
                </c:pt>
                <c:pt idx="18">
                  <c:v>0.64721359549995783</c:v>
                </c:pt>
                <c:pt idx="19">
                  <c:v>0.67093645435633931</c:v>
                </c:pt>
                <c:pt idx="20">
                  <c:v>0.69282032302755114</c:v>
                </c:pt>
                <c:pt idx="21">
                  <c:v>0.71280521935069419</c:v>
                </c:pt>
                <c:pt idx="22">
                  <c:v>0.73083636611408076</c:v>
                </c:pt>
                <c:pt idx="23">
                  <c:v>0.74686434119776157</c:v>
                </c:pt>
                <c:pt idx="24">
                  <c:v>0.76084521303612285</c:v>
                </c:pt>
                <c:pt idx="25">
                  <c:v>0.77274066103125472</c:v>
                </c:pt>
                <c:pt idx="26">
                  <c:v>0.78251808058704464</c:v>
                </c:pt>
                <c:pt idx="27">
                  <c:v>0.79015067247611015</c:v>
                </c:pt>
                <c:pt idx="28">
                  <c:v>0.79561751629461863</c:v>
                </c:pt>
                <c:pt idx="29">
                  <c:v>0.7989036278036592</c:v>
                </c:pt>
                <c:pt idx="30">
                  <c:v>0.8</c:v>
                </c:pt>
                <c:pt idx="31">
                  <c:v>0.79890362780365909</c:v>
                </c:pt>
                <c:pt idx="32">
                  <c:v>0.79561751629461863</c:v>
                </c:pt>
                <c:pt idx="33">
                  <c:v>0.79015067247611015</c:v>
                </c:pt>
                <c:pt idx="34">
                  <c:v>0.78251808058704464</c:v>
                </c:pt>
                <c:pt idx="35">
                  <c:v>0.77274066103125483</c:v>
                </c:pt>
                <c:pt idx="36">
                  <c:v>0.76084521303612296</c:v>
                </c:pt>
                <c:pt idx="37">
                  <c:v>0.74686434119776146</c:v>
                </c:pt>
                <c:pt idx="38">
                  <c:v>0.73083636611408065</c:v>
                </c:pt>
                <c:pt idx="39">
                  <c:v>0.71280521935069407</c:v>
                </c:pt>
                <c:pt idx="40">
                  <c:v>0.69282032302755137</c:v>
                </c:pt>
                <c:pt idx="41">
                  <c:v>0.67093645435633953</c:v>
                </c:pt>
                <c:pt idx="42">
                  <c:v>0.64721359549995816</c:v>
                </c:pt>
                <c:pt idx="43">
                  <c:v>0.62171676916557672</c:v>
                </c:pt>
                <c:pt idx="44">
                  <c:v>0.59451586038191528</c:v>
                </c:pt>
                <c:pt idx="45">
                  <c:v>0.56568542494923768</c:v>
                </c:pt>
                <c:pt idx="46">
                  <c:v>0.53530448508708717</c:v>
                </c:pt>
                <c:pt idx="47">
                  <c:v>0.50345631283987036</c:v>
                </c:pt>
                <c:pt idx="48">
                  <c:v>0.47022820183397873</c:v>
                </c:pt>
                <c:pt idx="49">
                  <c:v>0.43571122801202167</c:v>
                </c:pt>
                <c:pt idx="50">
                  <c:v>0.39999999999999986</c:v>
                </c:pt>
                <c:pt idx="51">
                  <c:v>0.36319239979163709</c:v>
                </c:pt>
                <c:pt idx="52">
                  <c:v>0.3253893144606409</c:v>
                </c:pt>
                <c:pt idx="53">
                  <c:v>0.28669435963624074</c:v>
                </c:pt>
                <c:pt idx="54">
                  <c:v>0.24721359549995825</c:v>
                </c:pt>
                <c:pt idx="55">
                  <c:v>0.20705523608201665</c:v>
                </c:pt>
                <c:pt idx="56">
                  <c:v>0.16632935265420731</c:v>
                </c:pt>
                <c:pt idx="57">
                  <c:v>0.12514757203218427</c:v>
                </c:pt>
                <c:pt idx="58">
                  <c:v>8.3622770614123543E-2</c:v>
                </c:pt>
                <c:pt idx="59">
                  <c:v>4.1868764994355601E-2</c:v>
                </c:pt>
                <c:pt idx="60">
                  <c:v>2.940356291780688E-16</c:v>
                </c:pt>
              </c:numCache>
            </c:numRef>
          </c:xVal>
          <c:yVal>
            <c:numRef>
              <c:f>'Datos circular'!$AS$2:$AS$62</c:f>
              <c:numCache>
                <c:formatCode>General</c:formatCode>
                <c:ptCount val="61"/>
                <c:pt idx="0">
                  <c:v>0.8</c:v>
                </c:pt>
                <c:pt idx="1">
                  <c:v>0.79890362780365909</c:v>
                </c:pt>
                <c:pt idx="2">
                  <c:v>0.79561751629461874</c:v>
                </c:pt>
                <c:pt idx="3">
                  <c:v>0.79015067247611026</c:v>
                </c:pt>
                <c:pt idx="4">
                  <c:v>0.78251808058704453</c:v>
                </c:pt>
                <c:pt idx="5">
                  <c:v>0.77274066103125483</c:v>
                </c:pt>
                <c:pt idx="6">
                  <c:v>0.76084521303612296</c:v>
                </c:pt>
                <c:pt idx="7">
                  <c:v>0.74686434119776146</c:v>
                </c:pt>
                <c:pt idx="8">
                  <c:v>0.73083636611408065</c:v>
                </c:pt>
                <c:pt idx="9">
                  <c:v>0.71280521935069441</c:v>
                </c:pt>
                <c:pt idx="10">
                  <c:v>0.69282032302755092</c:v>
                </c:pt>
                <c:pt idx="11">
                  <c:v>0.67093645435633908</c:v>
                </c:pt>
                <c:pt idx="12">
                  <c:v>0.64721359549995805</c:v>
                </c:pt>
                <c:pt idx="13">
                  <c:v>0.62171676916557672</c:v>
                </c:pt>
                <c:pt idx="14">
                  <c:v>0.59451586038191528</c:v>
                </c:pt>
                <c:pt idx="15">
                  <c:v>0.56568542494923812</c:v>
                </c:pt>
                <c:pt idx="16">
                  <c:v>0.53530448508708661</c:v>
                </c:pt>
                <c:pt idx="17">
                  <c:v>0.5034563128398698</c:v>
                </c:pt>
                <c:pt idx="18">
                  <c:v>0.47022820183397873</c:v>
                </c:pt>
                <c:pt idx="19">
                  <c:v>0.43571122801202167</c:v>
                </c:pt>
                <c:pt idx="20">
                  <c:v>0.3999999999999998</c:v>
                </c:pt>
                <c:pt idx="21">
                  <c:v>0.36319239979163764</c:v>
                </c:pt>
                <c:pt idx="22">
                  <c:v>0.32538931446064018</c:v>
                </c:pt>
                <c:pt idx="23">
                  <c:v>0.28669435963624001</c:v>
                </c:pt>
                <c:pt idx="24">
                  <c:v>0.24721359549995819</c:v>
                </c:pt>
                <c:pt idx="25">
                  <c:v>0.20705523608201659</c:v>
                </c:pt>
                <c:pt idx="26">
                  <c:v>0.16632935265420723</c:v>
                </c:pt>
                <c:pt idx="27">
                  <c:v>0.12514757203218493</c:v>
                </c:pt>
                <c:pt idx="28">
                  <c:v>8.3622770614122779E-2</c:v>
                </c:pt>
                <c:pt idx="29">
                  <c:v>4.1868764994354837E-2</c:v>
                </c:pt>
                <c:pt idx="30">
                  <c:v>2.45029690981724E-16</c:v>
                </c:pt>
                <c:pt idx="31">
                  <c:v>-4.1868764994355059E-2</c:v>
                </c:pt>
                <c:pt idx="32">
                  <c:v>-8.3622770614123001E-2</c:v>
                </c:pt>
                <c:pt idx="33">
                  <c:v>-0.12514757203218516</c:v>
                </c:pt>
                <c:pt idx="34">
                  <c:v>-0.16632935265420679</c:v>
                </c:pt>
                <c:pt idx="35">
                  <c:v>-0.20705523608201615</c:v>
                </c:pt>
                <c:pt idx="36">
                  <c:v>-0.24721359549995769</c:v>
                </c:pt>
                <c:pt idx="37">
                  <c:v>-0.28669435963624024</c:v>
                </c:pt>
                <c:pt idx="38">
                  <c:v>-0.32538931446064034</c:v>
                </c:pt>
                <c:pt idx="39">
                  <c:v>-0.36319239979163787</c:v>
                </c:pt>
                <c:pt idx="40">
                  <c:v>-0.39999999999999941</c:v>
                </c:pt>
                <c:pt idx="41">
                  <c:v>-0.43571122801202122</c:v>
                </c:pt>
                <c:pt idx="42">
                  <c:v>-0.47022820183397834</c:v>
                </c:pt>
                <c:pt idx="43">
                  <c:v>-0.50345631283986991</c:v>
                </c:pt>
                <c:pt idx="44">
                  <c:v>-0.53530448508708683</c:v>
                </c:pt>
                <c:pt idx="45">
                  <c:v>-0.56568542494923835</c:v>
                </c:pt>
                <c:pt idx="46">
                  <c:v>-0.59451586038191484</c:v>
                </c:pt>
                <c:pt idx="47">
                  <c:v>-0.62171676916557639</c:v>
                </c:pt>
                <c:pt idx="48">
                  <c:v>-0.64721359549995783</c:v>
                </c:pt>
                <c:pt idx="49">
                  <c:v>-0.67093645435633931</c:v>
                </c:pt>
                <c:pt idx="50">
                  <c:v>-0.69282032302755114</c:v>
                </c:pt>
                <c:pt idx="51">
                  <c:v>-0.71280521935069452</c:v>
                </c:pt>
                <c:pt idx="52">
                  <c:v>-0.73083636611408043</c:v>
                </c:pt>
                <c:pt idx="53">
                  <c:v>-0.74686434119776124</c:v>
                </c:pt>
                <c:pt idx="54">
                  <c:v>-0.76084521303612274</c:v>
                </c:pt>
                <c:pt idx="55">
                  <c:v>-0.77274066103125472</c:v>
                </c:pt>
                <c:pt idx="56">
                  <c:v>-0.78251808058704464</c:v>
                </c:pt>
                <c:pt idx="57">
                  <c:v>-0.79015067247611026</c:v>
                </c:pt>
                <c:pt idx="58">
                  <c:v>-0.79561751629461863</c:v>
                </c:pt>
                <c:pt idx="59">
                  <c:v>-0.79890362780365909</c:v>
                </c:pt>
                <c:pt idx="60">
                  <c:v>-0.8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97-4566-9F2A-D3F98FA5A868}"/>
            </c:ext>
          </c:extLst>
        </c:ser>
        <c:ser>
          <c:idx val="6"/>
          <c:order val="6"/>
          <c:tx>
            <c:strRef>
              <c:f>'Datos circular'!$AN$68</c:f>
              <c:strCache>
                <c:ptCount val="1"/>
                <c:pt idx="0">
                  <c:v>Expansión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7B2FA8"/>
                    </a:solidFill>
                    <a:latin typeface="Arial"/>
                  </a:defRPr>
                </a:pPr>
                <a:endParaRPr lang="es-EC"/>
              </a:p>
            </c:txPr>
            <c:dLblPos val="l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circular'!$AO$68</c:f>
              <c:numCache>
                <c:formatCode>General</c:formatCode>
                <c:ptCount val="1"/>
                <c:pt idx="0">
                  <c:v>0.8</c:v>
                </c:pt>
              </c:numCache>
            </c:numRef>
          </c:xVal>
          <c:yVal>
            <c:numRef>
              <c:f>'Datos circular'!$AP$68</c:f>
              <c:numCache>
                <c:formatCode>General</c:formatCode>
                <c:ptCount val="1"/>
                <c:pt idx="0">
                  <c:v>2.45029690981724E-16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E97-4566-9F2A-D3F98FA5A868}"/>
            </c:ext>
          </c:extLst>
        </c:ser>
        <c:ser>
          <c:idx val="7"/>
          <c:order val="7"/>
          <c:tx>
            <c:v>Escape</c:v>
          </c:tx>
          <c:spPr>
            <a:ln w="50800">
              <a:solidFill>
                <a:srgbClr val="D7301F"/>
              </a:solidFill>
              <a:prstDash val="solid"/>
            </a:ln>
          </c:spPr>
          <c:marker>
            <c:symbol val="none"/>
          </c:marker>
          <c:xVal>
            <c:numRef>
              <c:f>'Datos circular'!$AT$2:$AT$62</c:f>
              <c:numCache>
                <c:formatCode>General</c:formatCode>
                <c:ptCount val="61"/>
                <c:pt idx="0">
                  <c:v>2.572811755308102E-16</c:v>
                </c:pt>
                <c:pt idx="1">
                  <c:v>-3.663516937006063E-2</c:v>
                </c:pt>
                <c:pt idx="2">
                  <c:v>-7.3169924287357579E-2</c:v>
                </c:pt>
                <c:pt idx="3">
                  <c:v>-0.10950412552816195</c:v>
                </c:pt>
                <c:pt idx="4">
                  <c:v>-0.14553818357243087</c:v>
                </c:pt>
                <c:pt idx="5">
                  <c:v>-0.18117333157176407</c:v>
                </c:pt>
                <c:pt idx="6">
                  <c:v>-0.21631189606246293</c:v>
                </c:pt>
                <c:pt idx="7">
                  <c:v>-0.25085756468171011</c:v>
                </c:pt>
                <c:pt idx="8">
                  <c:v>-0.28471565015306022</c:v>
                </c:pt>
                <c:pt idx="9">
                  <c:v>-0.31779334981768304</c:v>
                </c:pt>
                <c:pt idx="10">
                  <c:v>-0.34999999999999942</c:v>
                </c:pt>
                <c:pt idx="11">
                  <c:v>-0.38124732451051857</c:v>
                </c:pt>
                <c:pt idx="12">
                  <c:v>-0.41144967660473092</c:v>
                </c:pt>
                <c:pt idx="13">
                  <c:v>-0.44052427373488612</c:v>
                </c:pt>
                <c:pt idx="14">
                  <c:v>-0.4683914244512008</c:v>
                </c:pt>
                <c:pt idx="15">
                  <c:v>-0.49497474683058351</c:v>
                </c:pt>
                <c:pt idx="16">
                  <c:v>-0.52020137783417553</c:v>
                </c:pt>
                <c:pt idx="17">
                  <c:v>-0.5440021730198793</c:v>
                </c:pt>
                <c:pt idx="18">
                  <c:v>-0.56631189606246302</c:v>
                </c:pt>
                <c:pt idx="19">
                  <c:v>-0.58706939756179677</c:v>
                </c:pt>
                <c:pt idx="20">
                  <c:v>-0.60621778264910708</c:v>
                </c:pt>
                <c:pt idx="21">
                  <c:v>-0.62370456693185761</c:v>
                </c:pt>
                <c:pt idx="22">
                  <c:v>-0.63948182034982037</c:v>
                </c:pt>
                <c:pt idx="23">
                  <c:v>-0.65350629854804099</c:v>
                </c:pt>
                <c:pt idx="24">
                  <c:v>-0.66573956140660739</c:v>
                </c:pt>
                <c:pt idx="25">
                  <c:v>-0.6761480784023477</c:v>
                </c:pt>
                <c:pt idx="26">
                  <c:v>-0.68470332051366389</c:v>
                </c:pt>
                <c:pt idx="27">
                  <c:v>-0.69138183841659639</c:v>
                </c:pt>
                <c:pt idx="28">
                  <c:v>-0.69616532675779119</c:v>
                </c:pt>
                <c:pt idx="29">
                  <c:v>-0.69904067432820161</c:v>
                </c:pt>
                <c:pt idx="30">
                  <c:v>-0.7</c:v>
                </c:pt>
                <c:pt idx="31">
                  <c:v>-0.69904067432820161</c:v>
                </c:pt>
                <c:pt idx="32">
                  <c:v>-0.6961653267577913</c:v>
                </c:pt>
                <c:pt idx="33">
                  <c:v>-0.69138183841659628</c:v>
                </c:pt>
                <c:pt idx="34">
                  <c:v>-0.684703320513664</c:v>
                </c:pt>
                <c:pt idx="35">
                  <c:v>-0.67614807840234781</c:v>
                </c:pt>
                <c:pt idx="36">
                  <c:v>-0.66573956140660762</c:v>
                </c:pt>
                <c:pt idx="37">
                  <c:v>-0.65350629854804121</c:v>
                </c:pt>
                <c:pt idx="38">
                  <c:v>-0.6394818203498206</c:v>
                </c:pt>
                <c:pt idx="39">
                  <c:v>-0.62370456693185738</c:v>
                </c:pt>
                <c:pt idx="40">
                  <c:v>-0.60621778264910742</c:v>
                </c:pt>
                <c:pt idx="41">
                  <c:v>-0.58706939756179699</c:v>
                </c:pt>
                <c:pt idx="42">
                  <c:v>-0.56631189606246335</c:v>
                </c:pt>
                <c:pt idx="43">
                  <c:v>-0.54400217301987963</c:v>
                </c:pt>
                <c:pt idx="44">
                  <c:v>-0.52020137783417586</c:v>
                </c:pt>
                <c:pt idx="45">
                  <c:v>-0.49497474683058301</c:v>
                </c:pt>
                <c:pt idx="46">
                  <c:v>-0.4683914244512013</c:v>
                </c:pt>
                <c:pt idx="47">
                  <c:v>-0.44052427373488662</c:v>
                </c:pt>
                <c:pt idx="48">
                  <c:v>-0.41144967660473142</c:v>
                </c:pt>
                <c:pt idx="49">
                  <c:v>-0.38124732451051901</c:v>
                </c:pt>
                <c:pt idx="50">
                  <c:v>-0.34999999999999992</c:v>
                </c:pt>
                <c:pt idx="51">
                  <c:v>-0.31779334981768248</c:v>
                </c:pt>
                <c:pt idx="52">
                  <c:v>-0.28471565015306083</c:v>
                </c:pt>
                <c:pt idx="53">
                  <c:v>-0.25085756468171067</c:v>
                </c:pt>
                <c:pt idx="54">
                  <c:v>-0.21631189606246351</c:v>
                </c:pt>
                <c:pt idx="55">
                  <c:v>-0.18117333157176466</c:v>
                </c:pt>
                <c:pt idx="56">
                  <c:v>-0.14553818357243145</c:v>
                </c:pt>
                <c:pt idx="57">
                  <c:v>-0.10950412552816133</c:v>
                </c:pt>
                <c:pt idx="58">
                  <c:v>-7.3169924287358176E-2</c:v>
                </c:pt>
                <c:pt idx="59">
                  <c:v>-3.6635169370061234E-2</c:v>
                </c:pt>
                <c:pt idx="60">
                  <c:v>-3.430415673744136E-16</c:v>
                </c:pt>
              </c:numCache>
            </c:numRef>
          </c:xVal>
          <c:yVal>
            <c:numRef>
              <c:f>'Datos circular'!$AU$2:$AU$62</c:f>
              <c:numCache>
                <c:formatCode>General</c:formatCode>
                <c:ptCount val="61"/>
                <c:pt idx="0">
                  <c:v>-0.7</c:v>
                </c:pt>
                <c:pt idx="1">
                  <c:v>-0.69904067432820161</c:v>
                </c:pt>
                <c:pt idx="2">
                  <c:v>-0.6961653267577913</c:v>
                </c:pt>
                <c:pt idx="3">
                  <c:v>-0.69138183841659628</c:v>
                </c:pt>
                <c:pt idx="4">
                  <c:v>-0.684703320513664</c:v>
                </c:pt>
                <c:pt idx="5">
                  <c:v>-0.67614807840234781</c:v>
                </c:pt>
                <c:pt idx="6">
                  <c:v>-0.66573956140660751</c:v>
                </c:pt>
                <c:pt idx="7">
                  <c:v>-0.65350629854804121</c:v>
                </c:pt>
                <c:pt idx="8">
                  <c:v>-0.63948182034982048</c:v>
                </c:pt>
                <c:pt idx="9">
                  <c:v>-0.62370456693185738</c:v>
                </c:pt>
                <c:pt idx="10">
                  <c:v>-0.60621778264910742</c:v>
                </c:pt>
                <c:pt idx="11">
                  <c:v>-0.58706939756179699</c:v>
                </c:pt>
                <c:pt idx="12">
                  <c:v>-0.56631189606246335</c:v>
                </c:pt>
                <c:pt idx="13">
                  <c:v>-0.54400217301987963</c:v>
                </c:pt>
                <c:pt idx="14">
                  <c:v>-0.52020137783417586</c:v>
                </c:pt>
                <c:pt idx="15">
                  <c:v>-0.49497474683058296</c:v>
                </c:pt>
                <c:pt idx="16">
                  <c:v>-0.46839142445120119</c:v>
                </c:pt>
                <c:pt idx="17">
                  <c:v>-0.44052427373488651</c:v>
                </c:pt>
                <c:pt idx="18">
                  <c:v>-0.41144967660473142</c:v>
                </c:pt>
                <c:pt idx="19">
                  <c:v>-0.38124732451051901</c:v>
                </c:pt>
                <c:pt idx="20">
                  <c:v>-0.34999999999999987</c:v>
                </c:pt>
                <c:pt idx="21">
                  <c:v>-0.31779334981768242</c:v>
                </c:pt>
                <c:pt idx="22">
                  <c:v>-0.28471565015306077</c:v>
                </c:pt>
                <c:pt idx="23">
                  <c:v>-0.25085756468171067</c:v>
                </c:pt>
                <c:pt idx="24">
                  <c:v>-0.21631189606246348</c:v>
                </c:pt>
                <c:pt idx="25">
                  <c:v>-0.18117333157176463</c:v>
                </c:pt>
                <c:pt idx="26">
                  <c:v>-0.14553818357243142</c:v>
                </c:pt>
                <c:pt idx="27">
                  <c:v>-0.10950412552816127</c:v>
                </c:pt>
                <c:pt idx="28">
                  <c:v>-7.3169924287358135E-2</c:v>
                </c:pt>
                <c:pt idx="29">
                  <c:v>-3.6635169370061185E-2</c:v>
                </c:pt>
                <c:pt idx="30">
                  <c:v>-3.001613714526119E-16</c:v>
                </c:pt>
                <c:pt idx="31">
                  <c:v>3.6635169370060582E-2</c:v>
                </c:pt>
                <c:pt idx="32">
                  <c:v>7.3169924287357538E-2</c:v>
                </c:pt>
                <c:pt idx="33">
                  <c:v>0.10950412552816191</c:v>
                </c:pt>
                <c:pt idx="34">
                  <c:v>0.14553818357243084</c:v>
                </c:pt>
                <c:pt idx="35">
                  <c:v>0.18117333157176405</c:v>
                </c:pt>
                <c:pt idx="36">
                  <c:v>0.2163118960624629</c:v>
                </c:pt>
                <c:pt idx="37">
                  <c:v>0.25085756468171011</c:v>
                </c:pt>
                <c:pt idx="38">
                  <c:v>0.28471565015306022</c:v>
                </c:pt>
                <c:pt idx="39">
                  <c:v>0.31779334981768304</c:v>
                </c:pt>
                <c:pt idx="40">
                  <c:v>0.34999999999999937</c:v>
                </c:pt>
                <c:pt idx="41">
                  <c:v>0.38124732451051846</c:v>
                </c:pt>
                <c:pt idx="42">
                  <c:v>0.41144967660473092</c:v>
                </c:pt>
                <c:pt idx="43">
                  <c:v>0.44052427373488606</c:v>
                </c:pt>
                <c:pt idx="44">
                  <c:v>0.4683914244512008</c:v>
                </c:pt>
                <c:pt idx="45">
                  <c:v>0.4949747468305834</c:v>
                </c:pt>
                <c:pt idx="46">
                  <c:v>0.52020137783417553</c:v>
                </c:pt>
                <c:pt idx="47">
                  <c:v>0.54400217301987919</c:v>
                </c:pt>
                <c:pt idx="48">
                  <c:v>0.56631189606246291</c:v>
                </c:pt>
                <c:pt idx="49">
                  <c:v>0.58706939756179677</c:v>
                </c:pt>
                <c:pt idx="50">
                  <c:v>0.60621778264910708</c:v>
                </c:pt>
                <c:pt idx="51">
                  <c:v>0.62370456693185761</c:v>
                </c:pt>
                <c:pt idx="52">
                  <c:v>0.63948182034982026</c:v>
                </c:pt>
                <c:pt idx="53">
                  <c:v>0.65350629854804099</c:v>
                </c:pt>
                <c:pt idx="54">
                  <c:v>0.66573956140660739</c:v>
                </c:pt>
                <c:pt idx="55">
                  <c:v>0.6761480784023477</c:v>
                </c:pt>
                <c:pt idx="56">
                  <c:v>0.68470332051366389</c:v>
                </c:pt>
                <c:pt idx="57">
                  <c:v>0.69138183841659639</c:v>
                </c:pt>
                <c:pt idx="58">
                  <c:v>0.69616532675779119</c:v>
                </c:pt>
                <c:pt idx="59">
                  <c:v>0.69904067432820161</c:v>
                </c:pt>
                <c:pt idx="60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97-4566-9F2A-D3F98FA5A868}"/>
            </c:ext>
          </c:extLst>
        </c:ser>
        <c:ser>
          <c:idx val="8"/>
          <c:order val="8"/>
          <c:tx>
            <c:strRef>
              <c:f>'Datos circular'!$AN$69</c:f>
              <c:strCache>
                <c:ptCount val="1"/>
                <c:pt idx="0">
                  <c:v>Escape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D7301F"/>
                    </a:solidFill>
                    <a:latin typeface="Arial"/>
                  </a:defRPr>
                </a:pPr>
                <a:endParaRPr lang="es-EC"/>
              </a:p>
            </c:txPr>
            <c:dLblPos val="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circular'!$AO$69</c:f>
              <c:numCache>
                <c:formatCode>General</c:formatCode>
                <c:ptCount val="1"/>
                <c:pt idx="0">
                  <c:v>-0.7</c:v>
                </c:pt>
              </c:numCache>
            </c:numRef>
          </c:xVal>
          <c:yVal>
            <c:numRef>
              <c:f>'Datos circular'!$AP$69</c:f>
              <c:numCache>
                <c:formatCode>General</c:formatCode>
                <c:ptCount val="1"/>
                <c:pt idx="0">
                  <c:v>-3.001613714526119E-16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E97-4566-9F2A-D3F98FA5A868}"/>
            </c:ext>
          </c:extLst>
        </c:ser>
        <c:ser>
          <c:idx val="9"/>
          <c:order val="9"/>
          <c:tx>
            <c:strRef>
              <c:f>'Datos circular'!$AF$9</c:f>
              <c:strCache>
                <c:ptCount val="1"/>
                <c:pt idx="0">
                  <c:v>PMS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rgbClr val="40404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circular'!$AG$9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circular'!$AH$9</c:f>
              <c:numCache>
                <c:formatCode>General</c:formatCode>
                <c:ptCount val="1"/>
                <c:pt idx="0">
                  <c:v>1.42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E97-4566-9F2A-D3F98FA5A868}"/>
            </c:ext>
          </c:extLst>
        </c:ser>
        <c:ser>
          <c:idx val="10"/>
          <c:order val="10"/>
          <c:tx>
            <c:strRef>
              <c:f>'Datos circular'!$AF$10</c:f>
              <c:strCache>
                <c:ptCount val="1"/>
                <c:pt idx="0">
                  <c:v>PMI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rgbClr val="404040"/>
                    </a:solidFill>
                    <a:latin typeface="Arial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circular'!$AG$10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'Datos circular'!$AH$10</c:f>
              <c:numCache>
                <c:formatCode>General</c:formatCode>
                <c:ptCount val="1"/>
                <c:pt idx="0">
                  <c:v>-1.42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E97-4566-9F2A-D3F98FA5A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.5"/>
          <c:min val="-1.5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.5"/>
          <c:min val="-1.5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10525124" cy="5238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4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14</xdr:row>
      <xdr:rowOff>0</xdr:rowOff>
    </xdr:from>
    <xdr:ext cx="39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A56" workbookViewId="0">
      <selection activeCell="A21" sqref="A21"/>
    </sheetView>
  </sheetViews>
  <sheetFormatPr baseColWidth="10" defaultColWidth="9.140625" defaultRowHeight="15" x14ac:dyDescent="0.25"/>
  <cols>
    <col min="1" max="1" width="46" customWidth="1"/>
    <col min="2" max="2" width="12" customWidth="1"/>
    <col min="3" max="3" width="3" customWidth="1"/>
    <col min="4" max="4" width="26" customWidth="1"/>
    <col min="5" max="7" width="12" customWidth="1"/>
    <col min="8" max="8" width="3" customWidth="1"/>
  </cols>
  <sheetData>
    <row r="1" spans="1:7" ht="18" x14ac:dyDescent="0.25">
      <c r="A1" s="1" t="s">
        <v>0</v>
      </c>
    </row>
    <row r="2" spans="1:7" x14ac:dyDescent="0.25">
      <c r="A2" s="2" t="s">
        <v>1</v>
      </c>
    </row>
    <row r="4" spans="1:7" ht="30" x14ac:dyDescent="0.25">
      <c r="A4" s="3" t="s">
        <v>2</v>
      </c>
      <c r="B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x14ac:dyDescent="0.25">
      <c r="A5" s="4" t="s">
        <v>8</v>
      </c>
      <c r="B5" s="5">
        <v>45</v>
      </c>
      <c r="D5" s="6" t="s">
        <v>9</v>
      </c>
      <c r="E5" s="7">
        <f>180-$B$5-$B$12</f>
        <v>120</v>
      </c>
      <c r="F5" s="7">
        <f>360+$B$6-$B$12</f>
        <v>365</v>
      </c>
      <c r="G5" s="7">
        <f t="shared" ref="G5:G10" si="0">F5-E5</f>
        <v>245</v>
      </c>
    </row>
    <row r="6" spans="1:7" x14ac:dyDescent="0.25">
      <c r="A6" s="4" t="s">
        <v>10</v>
      </c>
      <c r="B6" s="5">
        <v>20</v>
      </c>
      <c r="D6" s="6" t="s">
        <v>11</v>
      </c>
      <c r="E6" s="7">
        <f>180-$B$5</f>
        <v>135</v>
      </c>
      <c r="F6" s="7">
        <f>360+$B$6</f>
        <v>380</v>
      </c>
      <c r="G6" s="7">
        <f t="shared" si="0"/>
        <v>245</v>
      </c>
    </row>
    <row r="7" spans="1:7" x14ac:dyDescent="0.25">
      <c r="A7" s="4" t="s">
        <v>12</v>
      </c>
      <c r="B7" s="5">
        <v>20</v>
      </c>
      <c r="D7" s="6" t="s">
        <v>13</v>
      </c>
      <c r="E7" s="7">
        <f>180-$B$5+$B$12</f>
        <v>150</v>
      </c>
      <c r="F7" s="7">
        <f>360+$B$6+$B$12</f>
        <v>395</v>
      </c>
      <c r="G7" s="7">
        <f t="shared" si="0"/>
        <v>245</v>
      </c>
    </row>
    <row r="8" spans="1:7" x14ac:dyDescent="0.25">
      <c r="A8" s="4" t="s">
        <v>14</v>
      </c>
      <c r="B8" s="5">
        <v>50</v>
      </c>
      <c r="D8" s="8" t="s">
        <v>15</v>
      </c>
      <c r="E8" s="7">
        <f>360-$B$7-$B$13</f>
        <v>325</v>
      </c>
      <c r="F8" s="7">
        <f>540+$B$8-$B$13</f>
        <v>575</v>
      </c>
      <c r="G8" s="7">
        <f t="shared" si="0"/>
        <v>250</v>
      </c>
    </row>
    <row r="9" spans="1:7" x14ac:dyDescent="0.25">
      <c r="A9" s="4" t="s">
        <v>16</v>
      </c>
      <c r="B9" s="5">
        <v>9.5</v>
      </c>
      <c r="D9" s="8" t="s">
        <v>17</v>
      </c>
      <c r="E9" s="7">
        <f>360-$B$7</f>
        <v>340</v>
      </c>
      <c r="F9" s="7">
        <f>540+$B$8</f>
        <v>590</v>
      </c>
      <c r="G9" s="7">
        <f t="shared" si="0"/>
        <v>250</v>
      </c>
    </row>
    <row r="10" spans="1:7" x14ac:dyDescent="0.25">
      <c r="A10" s="4" t="s">
        <v>18</v>
      </c>
      <c r="B10" s="5">
        <v>8.5</v>
      </c>
      <c r="D10" s="8" t="s">
        <v>19</v>
      </c>
      <c r="E10" s="7">
        <f>360-$B$7+$B$13</f>
        <v>355</v>
      </c>
      <c r="F10" s="7">
        <f>540+$B$8+$B$13</f>
        <v>605</v>
      </c>
      <c r="G10" s="7">
        <f t="shared" si="0"/>
        <v>250</v>
      </c>
    </row>
    <row r="11" spans="1:7" x14ac:dyDescent="0.25">
      <c r="A11" s="4" t="s">
        <v>20</v>
      </c>
      <c r="B11" s="9">
        <v>0.42</v>
      </c>
    </row>
    <row r="12" spans="1:7" x14ac:dyDescent="0.25">
      <c r="A12" s="4" t="s">
        <v>21</v>
      </c>
      <c r="B12" s="5">
        <v>15</v>
      </c>
      <c r="D12" s="3" t="s">
        <v>22</v>
      </c>
      <c r="E12" s="3" t="s">
        <v>23</v>
      </c>
      <c r="F12" s="25" t="s">
        <v>24</v>
      </c>
      <c r="G12" s="26"/>
    </row>
    <row r="13" spans="1:7" x14ac:dyDescent="0.25">
      <c r="A13" s="4" t="s">
        <v>25</v>
      </c>
      <c r="B13" s="5">
        <v>15</v>
      </c>
      <c r="D13" s="10" t="s">
        <v>26</v>
      </c>
      <c r="E13" s="11">
        <f>MAX(0,F6-E9)</f>
        <v>40</v>
      </c>
      <c r="F13" s="27" t="s">
        <v>27</v>
      </c>
      <c r="G13" s="28"/>
    </row>
    <row r="14" spans="1:7" x14ac:dyDescent="0.25">
      <c r="A14" s="4" t="s">
        <v>28</v>
      </c>
      <c r="B14" s="5">
        <v>2</v>
      </c>
      <c r="D14" s="10" t="s">
        <v>29</v>
      </c>
      <c r="E14" s="11">
        <f>MAX(0,F7-E8)</f>
        <v>70</v>
      </c>
      <c r="F14" s="27" t="s">
        <v>30</v>
      </c>
      <c r="G14" s="28"/>
    </row>
    <row r="15" spans="1:7" x14ac:dyDescent="0.25">
      <c r="D15" s="10" t="s">
        <v>31</v>
      </c>
      <c r="E15" s="11">
        <f>MAX(0,F5-E10)</f>
        <v>10</v>
      </c>
      <c r="F15" s="27" t="s">
        <v>32</v>
      </c>
      <c r="G15" s="28"/>
    </row>
    <row r="16" spans="1:7" x14ac:dyDescent="0.25">
      <c r="A16" s="13" t="s">
        <v>33</v>
      </c>
      <c r="D16" s="10" t="s">
        <v>34</v>
      </c>
      <c r="E16" s="11">
        <f>G6</f>
        <v>245</v>
      </c>
      <c r="F16" s="27" t="s">
        <v>35</v>
      </c>
      <c r="G16" s="28"/>
    </row>
    <row r="17" spans="1:7" x14ac:dyDescent="0.25">
      <c r="A17" s="14" t="str">
        <f>IF(AND($B$11&gt;=0.1,$B$11&lt;=0.5),"Fracción de rampa válida","Revise: la fracción de rampa debe estar entre 0,10 y 0,50")</f>
        <v>Fracción de rampa válida</v>
      </c>
      <c r="D17" s="10" t="s">
        <v>36</v>
      </c>
      <c r="E17" s="11">
        <f>G9</f>
        <v>250</v>
      </c>
      <c r="F17" s="27" t="s">
        <v>37</v>
      </c>
      <c r="G17" s="28"/>
    </row>
    <row r="18" spans="1:7" x14ac:dyDescent="0.25">
      <c r="A18" s="14" t="str">
        <f>IF(E15&gt;0,"Hay cruce en todas las fases","Con la admisión retrasada y el escape adelantado desaparece el cruce")</f>
        <v>Hay cruce en todas las fases</v>
      </c>
      <c r="D18" s="10" t="s">
        <v>38</v>
      </c>
      <c r="E18" s="11">
        <f>G9/2</f>
        <v>125</v>
      </c>
      <c r="F18" s="27" t="s">
        <v>39</v>
      </c>
      <c r="G18" s="28"/>
    </row>
    <row r="20" spans="1:7" x14ac:dyDescent="0.25">
      <c r="A20" s="2" t="s">
        <v>40</v>
      </c>
    </row>
    <row r="21" spans="1:7" x14ac:dyDescent="0.25">
      <c r="A21" s="2" t="s">
        <v>41</v>
      </c>
    </row>
  </sheetData>
  <mergeCells count="7">
    <mergeCell ref="F12:G12"/>
    <mergeCell ref="F15:G15"/>
    <mergeCell ref="F16:G16"/>
    <mergeCell ref="F18:G18"/>
    <mergeCell ref="F14:G14"/>
    <mergeCell ref="F13:G13"/>
    <mergeCell ref="F17:G17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abSelected="1" zoomScale="85" zoomScaleNormal="85" workbookViewId="0">
      <selection activeCell="D29" sqref="D29"/>
    </sheetView>
  </sheetViews>
  <sheetFormatPr baseColWidth="10" defaultColWidth="9.140625" defaultRowHeight="15" x14ac:dyDescent="0.25"/>
  <cols>
    <col min="1" max="1" width="44" customWidth="1"/>
    <col min="2" max="2" width="12" customWidth="1"/>
    <col min="3" max="3" width="3" customWidth="1"/>
    <col min="4" max="4" width="44" customWidth="1"/>
    <col min="5" max="5" width="12" customWidth="1"/>
    <col min="6" max="6" width="40" customWidth="1"/>
    <col min="7" max="8" width="3" customWidth="1"/>
  </cols>
  <sheetData>
    <row r="1" spans="1:6" ht="18" x14ac:dyDescent="0.25">
      <c r="A1" s="1" t="s">
        <v>42</v>
      </c>
    </row>
    <row r="2" spans="1:6" x14ac:dyDescent="0.25">
      <c r="A2" s="2" t="s">
        <v>43</v>
      </c>
    </row>
    <row r="4" spans="1:6" ht="30" x14ac:dyDescent="0.25">
      <c r="A4" s="3" t="s">
        <v>44</v>
      </c>
      <c r="B4" s="3" t="s">
        <v>3</v>
      </c>
      <c r="D4" s="3" t="s">
        <v>45</v>
      </c>
      <c r="E4" s="3" t="s">
        <v>7</v>
      </c>
      <c r="F4" s="3" t="s">
        <v>46</v>
      </c>
    </row>
    <row r="5" spans="1:6" x14ac:dyDescent="0.25">
      <c r="A5" s="4" t="s">
        <v>47</v>
      </c>
      <c r="B5" s="15">
        <f>Simulador!B5</f>
        <v>45</v>
      </c>
      <c r="D5" s="10" t="s">
        <v>48</v>
      </c>
      <c r="E5" s="11">
        <f>B7+180+B8</f>
        <v>250</v>
      </c>
      <c r="F5" s="12" t="str">
        <f>"AAA "&amp;B7&amp;"° antes PMS → RCA "&amp;B8&amp;"° después PMI"</f>
        <v>AAA 20° antes PMS → RCA 50° después PMI</v>
      </c>
    </row>
    <row r="6" spans="1:6" x14ac:dyDescent="0.25">
      <c r="A6" s="4" t="s">
        <v>49</v>
      </c>
      <c r="B6" s="15">
        <f>Simulador!B6</f>
        <v>20</v>
      </c>
      <c r="D6" s="10" t="s">
        <v>50</v>
      </c>
      <c r="E6" s="11">
        <f>180-B8-B9</f>
        <v>120</v>
      </c>
      <c r="F6" s="12" t="str">
        <f>"RCA → chispa "&amp;B9&amp;"° antes PMS"</f>
        <v>RCA → chispa 10° antes PMS</v>
      </c>
    </row>
    <row r="7" spans="1:6" x14ac:dyDescent="0.25">
      <c r="A7" s="4" t="s">
        <v>51</v>
      </c>
      <c r="B7" s="15">
        <f>Simulador!B7</f>
        <v>20</v>
      </c>
      <c r="D7" s="10" t="s">
        <v>52</v>
      </c>
      <c r="E7" s="11">
        <f>B9</f>
        <v>10</v>
      </c>
      <c r="F7" s="12" t="str">
        <f>"Chispa → PMS"</f>
        <v>Chispa → PMS</v>
      </c>
    </row>
    <row r="8" spans="1:6" x14ac:dyDescent="0.25">
      <c r="A8" s="4" t="s">
        <v>53</v>
      </c>
      <c r="B8" s="15">
        <f>Simulador!B8</f>
        <v>50</v>
      </c>
      <c r="D8" s="10" t="s">
        <v>54</v>
      </c>
      <c r="E8" s="11">
        <f>180-B5</f>
        <v>135</v>
      </c>
      <c r="F8" s="12" t="str">
        <f>"PMS → AAE "&amp;B5&amp;"° antes PMI"</f>
        <v>PMS → AAE 45° antes PMI</v>
      </c>
    </row>
    <row r="9" spans="1:6" x14ac:dyDescent="0.25">
      <c r="A9" s="4" t="s">
        <v>55</v>
      </c>
      <c r="B9" s="5">
        <v>10</v>
      </c>
      <c r="D9" s="10" t="s">
        <v>56</v>
      </c>
      <c r="E9" s="11">
        <f>B5+180+B6</f>
        <v>245</v>
      </c>
      <c r="F9" s="12" t="str">
        <f>"AAE → RCE "&amp;B6&amp;"° después PMS"</f>
        <v>AAE → RCE 20° después PMS</v>
      </c>
    </row>
    <row r="10" spans="1:6" x14ac:dyDescent="0.25">
      <c r="D10" s="10" t="s">
        <v>57</v>
      </c>
      <c r="E10" s="11">
        <f>B7+B6</f>
        <v>40</v>
      </c>
      <c r="F10" s="12" t="str">
        <f>"AAA + RCE alrededor del PMS"</f>
        <v>AAA + RCE alrededor del PMS</v>
      </c>
    </row>
    <row r="11" spans="1:6" x14ac:dyDescent="0.25">
      <c r="D11" s="10" t="s">
        <v>58</v>
      </c>
      <c r="E11" s="11">
        <f>SUM(E5:E9)-E10</f>
        <v>720</v>
      </c>
      <c r="F11" s="12" t="str">
        <f>"El cruce se cuenta en admisión y en escape"</f>
        <v>El cruce se cuenta en admisión y en escape</v>
      </c>
    </row>
    <row r="13" spans="1:6" x14ac:dyDescent="0.25">
      <c r="D13" s="14" t="str">
        <f>IF(E11=720,"El ciclo suma 720°: diagrama coherente","Revise los ángulos: el ciclo no suma 720°")</f>
        <v>El ciclo suma 720°: diagrama coherente</v>
      </c>
    </row>
    <row r="37" spans="6:6" x14ac:dyDescent="0.25">
      <c r="F37" s="29" t="s">
        <v>59</v>
      </c>
    </row>
    <row r="38" spans="6:6" x14ac:dyDescent="0.25">
      <c r="F38" s="26"/>
    </row>
    <row r="39" spans="6:6" x14ac:dyDescent="0.25">
      <c r="F39" s="26"/>
    </row>
    <row r="40" spans="6:6" x14ac:dyDescent="0.25">
      <c r="F40" s="26"/>
    </row>
    <row r="41" spans="6:6" x14ac:dyDescent="0.25">
      <c r="F41" s="26"/>
    </row>
    <row r="42" spans="6:6" x14ac:dyDescent="0.25">
      <c r="F42" s="26"/>
    </row>
  </sheetData>
  <mergeCells count="1">
    <mergeCell ref="F37:F42"/>
  </mergeCell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7" width="14" customWidth="1"/>
    <col min="9" max="14" width="12" customWidth="1"/>
  </cols>
  <sheetData>
    <row r="1" spans="1:14" ht="30" customHeight="1" x14ac:dyDescent="0.25">
      <c r="A1" s="16" t="s">
        <v>60</v>
      </c>
      <c r="B1" s="16" t="s">
        <v>9</v>
      </c>
      <c r="C1" s="16" t="s">
        <v>11</v>
      </c>
      <c r="D1" s="16" t="s">
        <v>13</v>
      </c>
      <c r="E1" s="16" t="s">
        <v>15</v>
      </c>
      <c r="F1" s="16" t="s">
        <v>17</v>
      </c>
      <c r="G1" s="16" t="s">
        <v>19</v>
      </c>
      <c r="I1" s="16" t="s">
        <v>61</v>
      </c>
      <c r="J1" s="16" t="s">
        <v>62</v>
      </c>
      <c r="K1" s="16" t="s">
        <v>63</v>
      </c>
      <c r="L1" s="16" t="s">
        <v>64</v>
      </c>
      <c r="M1" s="16" t="s">
        <v>65</v>
      </c>
      <c r="N1" s="16" t="s">
        <v>66</v>
      </c>
    </row>
    <row r="2" spans="1:14" x14ac:dyDescent="0.25">
      <c r="A2" s="17">
        <v>0</v>
      </c>
      <c r="B2" s="18">
        <f>IF(OR((($A2-Simulador!$E$5)/Simulador!$G$5)&lt;=0,(($A2-Simulador!$E$5)/Simulador!$G$5)&gt;=1),0,IF((($A2-Simulador!$E$5)/Simulador!$G$5)&lt;Simulador!$B$11,Simulador!$B$9*(1-COS(PI()*(($A2-Simulador!$E$5)/Simulador!$G$5)/Simulador!$B$11))/2,IF((($A2-Simulador!$E$5)/Simulador!$G$5)&gt;1-Simulador!$B$11,Simulador!$B$9*(1-COS(PI()*(1-(($A2-Simulador!$E$5)/Simulador!$G$5))/Simulador!$B$11))/2,Simulador!$B$9)))</f>
        <v>0</v>
      </c>
      <c r="C2" s="18">
        <f>IF(OR((($A2-Simulador!$E$6)/Simulador!$G$6)&lt;=0,(($A2-Simulador!$E$6)/Simulador!$G$6)&gt;=1),0,IF((($A2-Simulador!$E$6)/Simulador!$G$6)&lt;Simulador!$B$11,Simulador!$B$9*(1-COS(PI()*(($A2-Simulador!$E$6)/Simulador!$G$6)/Simulador!$B$11))/2,IF((($A2-Simulador!$E$6)/Simulador!$G$6)&gt;1-Simulador!$B$11,Simulador!$B$9*(1-COS(PI()*(1-(($A2-Simulador!$E$6)/Simulador!$G$6))/Simulador!$B$11))/2,Simulador!$B$9)))</f>
        <v>0</v>
      </c>
      <c r="D2" s="18">
        <f>IF(OR((($A2-Simulador!$E$7)/Simulador!$G$7)&lt;=0,(($A2-Simulador!$E$7)/Simulador!$G$7)&gt;=1),0,IF((($A2-Simulador!$E$7)/Simulador!$G$7)&lt;Simulador!$B$11,Simulador!$B$9*(1-COS(PI()*(($A2-Simulador!$E$7)/Simulador!$G$7)/Simulador!$B$11))/2,IF((($A2-Simulador!$E$7)/Simulador!$G$7)&gt;1-Simulador!$B$11,Simulador!$B$9*(1-COS(PI()*(1-(($A2-Simulador!$E$7)/Simulador!$G$7))/Simulador!$B$11))/2,Simulador!$B$9)))</f>
        <v>0</v>
      </c>
      <c r="E2" s="18">
        <f>IF(OR((($A2-Simulador!$E$8)/Simulador!$G$8)&lt;=0,(($A2-Simulador!$E$8)/Simulador!$G$8)&gt;=1),0,IF((($A2-Simulador!$E$8)/Simulador!$G$8)&lt;Simulador!$B$11,Simulador!$B$10*(1-COS(PI()*(($A2-Simulador!$E$8)/Simulador!$G$8)/Simulador!$B$11))/2,IF((($A2-Simulador!$E$8)/Simulador!$G$8)&gt;1-Simulador!$B$11,Simulador!$B$10*(1-COS(PI()*(1-(($A2-Simulador!$E$8)/Simulador!$G$8))/Simulador!$B$11))/2,Simulador!$B$10)))</f>
        <v>0</v>
      </c>
      <c r="F2" s="18">
        <f>IF(OR((($A2-Simulador!$E$9)/Simulador!$G$9)&lt;=0,(($A2-Simulador!$E$9)/Simulador!$G$9)&gt;=1),0,IF((($A2-Simulador!$E$9)/Simulador!$G$9)&lt;Simulador!$B$11,Simulador!$B$10*(1-COS(PI()*(($A2-Simulador!$E$9)/Simulador!$G$9)/Simulador!$B$11))/2,IF((($A2-Simulador!$E$9)/Simulador!$G$9)&gt;1-Simulador!$B$11,Simulador!$B$10*(1-COS(PI()*(1-(($A2-Simulador!$E$9)/Simulador!$G$9))/Simulador!$B$11))/2,Simulador!$B$10)))</f>
        <v>0</v>
      </c>
      <c r="G2" s="18">
        <f>IF(OR((($A2-Simulador!$E$10)/Simulador!$G$10)&lt;=0,(($A2-Simulador!$E$10)/Simulador!$G$10)&gt;=1),0,IF((($A2-Simulador!$E$10)/Simulador!$G$10)&lt;Simulador!$B$11,Simulador!$B$10*(1-COS(PI()*(($A2-Simulador!$E$10)/Simulador!$G$10)/Simulador!$B$11))/2,IF((($A2-Simulador!$E$10)/Simulador!$G$10)&gt;1-Simulador!$B$11,Simulador!$B$10*(1-COS(PI()*(1-(($A2-Simulador!$E$10)/Simulador!$G$10))/Simulador!$B$11))/2,Simulador!$B$10)))</f>
        <v>0</v>
      </c>
      <c r="I2" s="19">
        <f>Simulador!$E$8</f>
        <v>325</v>
      </c>
      <c r="J2" s="19">
        <v>0</v>
      </c>
      <c r="K2" s="19">
        <f>Simulador!$E$10</f>
        <v>355</v>
      </c>
      <c r="L2" s="19">
        <v>0</v>
      </c>
      <c r="M2" s="19">
        <v>360</v>
      </c>
      <c r="N2" s="19">
        <v>0</v>
      </c>
    </row>
    <row r="3" spans="1:14" x14ac:dyDescent="0.25">
      <c r="A3" s="17">
        <f>A2+Simulador!$B$14</f>
        <v>2</v>
      </c>
      <c r="B3" s="18">
        <f>IF(OR((($A3-Simulador!$E$5)/Simulador!$G$5)&lt;=0,(($A3-Simulador!$E$5)/Simulador!$G$5)&gt;=1),0,IF((($A3-Simulador!$E$5)/Simulador!$G$5)&lt;Simulador!$B$11,Simulador!$B$9*(1-COS(PI()*(($A3-Simulador!$E$5)/Simulador!$G$5)/Simulador!$B$11))/2,IF((($A3-Simulador!$E$5)/Simulador!$G$5)&gt;1-Simulador!$B$11,Simulador!$B$9*(1-COS(PI()*(1-(($A3-Simulador!$E$5)/Simulador!$G$5))/Simulador!$B$11))/2,Simulador!$B$9)))</f>
        <v>0</v>
      </c>
      <c r="C3" s="18">
        <f>IF(OR((($A3-Simulador!$E$6)/Simulador!$G$6)&lt;=0,(($A3-Simulador!$E$6)/Simulador!$G$6)&gt;=1),0,IF((($A3-Simulador!$E$6)/Simulador!$G$6)&lt;Simulador!$B$11,Simulador!$B$9*(1-COS(PI()*(($A3-Simulador!$E$6)/Simulador!$G$6)/Simulador!$B$11))/2,IF((($A3-Simulador!$E$6)/Simulador!$G$6)&gt;1-Simulador!$B$11,Simulador!$B$9*(1-COS(PI()*(1-(($A3-Simulador!$E$6)/Simulador!$G$6))/Simulador!$B$11))/2,Simulador!$B$9)))</f>
        <v>0</v>
      </c>
      <c r="D3" s="18">
        <f>IF(OR((($A3-Simulador!$E$7)/Simulador!$G$7)&lt;=0,(($A3-Simulador!$E$7)/Simulador!$G$7)&gt;=1),0,IF((($A3-Simulador!$E$7)/Simulador!$G$7)&lt;Simulador!$B$11,Simulador!$B$9*(1-COS(PI()*(($A3-Simulador!$E$7)/Simulador!$G$7)/Simulador!$B$11))/2,IF((($A3-Simulador!$E$7)/Simulador!$G$7)&gt;1-Simulador!$B$11,Simulador!$B$9*(1-COS(PI()*(1-(($A3-Simulador!$E$7)/Simulador!$G$7))/Simulador!$B$11))/2,Simulador!$B$9)))</f>
        <v>0</v>
      </c>
      <c r="E3" s="18">
        <f>IF(OR((($A3-Simulador!$E$8)/Simulador!$G$8)&lt;=0,(($A3-Simulador!$E$8)/Simulador!$G$8)&gt;=1),0,IF((($A3-Simulador!$E$8)/Simulador!$G$8)&lt;Simulador!$B$11,Simulador!$B$10*(1-COS(PI()*(($A3-Simulador!$E$8)/Simulador!$G$8)/Simulador!$B$11))/2,IF((($A3-Simulador!$E$8)/Simulador!$G$8)&gt;1-Simulador!$B$11,Simulador!$B$10*(1-COS(PI()*(1-(($A3-Simulador!$E$8)/Simulador!$G$8))/Simulador!$B$11))/2,Simulador!$B$10)))</f>
        <v>0</v>
      </c>
      <c r="F3" s="18">
        <f>IF(OR((($A3-Simulador!$E$9)/Simulador!$G$9)&lt;=0,(($A3-Simulador!$E$9)/Simulador!$G$9)&gt;=1),0,IF((($A3-Simulador!$E$9)/Simulador!$G$9)&lt;Simulador!$B$11,Simulador!$B$10*(1-COS(PI()*(($A3-Simulador!$E$9)/Simulador!$G$9)/Simulador!$B$11))/2,IF((($A3-Simulador!$E$9)/Simulador!$G$9)&gt;1-Simulador!$B$11,Simulador!$B$10*(1-COS(PI()*(1-(($A3-Simulador!$E$9)/Simulador!$G$9))/Simulador!$B$11))/2,Simulador!$B$10)))</f>
        <v>0</v>
      </c>
      <c r="G3" s="18">
        <f>IF(OR((($A3-Simulador!$E$10)/Simulador!$G$10)&lt;=0,(($A3-Simulador!$E$10)/Simulador!$G$10)&gt;=1),0,IF((($A3-Simulador!$E$10)/Simulador!$G$10)&lt;Simulador!$B$11,Simulador!$B$10*(1-COS(PI()*(($A3-Simulador!$E$10)/Simulador!$G$10)/Simulador!$B$11))/2,IF((($A3-Simulador!$E$10)/Simulador!$G$10)&gt;1-Simulador!$B$11,Simulador!$B$10*(1-COS(PI()*(1-(($A3-Simulador!$E$10)/Simulador!$G$10))/Simulador!$B$11))/2,Simulador!$B$10)))</f>
        <v>0</v>
      </c>
      <c r="I3" s="19">
        <f>Simulador!$E$8</f>
        <v>325</v>
      </c>
      <c r="J3" s="19">
        <v>0.05</v>
      </c>
      <c r="K3" s="19">
        <f>Simulador!$E$10</f>
        <v>355</v>
      </c>
      <c r="L3" s="19">
        <v>0.05</v>
      </c>
      <c r="M3" s="19">
        <v>360</v>
      </c>
      <c r="N3" s="19">
        <f>MAX(Simulador!$B$9,Simulador!$B$10)*1.05</f>
        <v>9.9749999999999996</v>
      </c>
    </row>
    <row r="4" spans="1:14" x14ac:dyDescent="0.25">
      <c r="A4" s="17">
        <f>A3+Simulador!$B$14</f>
        <v>4</v>
      </c>
      <c r="B4" s="18">
        <f>IF(OR((($A4-Simulador!$E$5)/Simulador!$G$5)&lt;=0,(($A4-Simulador!$E$5)/Simulador!$G$5)&gt;=1),0,IF((($A4-Simulador!$E$5)/Simulador!$G$5)&lt;Simulador!$B$11,Simulador!$B$9*(1-COS(PI()*(($A4-Simulador!$E$5)/Simulador!$G$5)/Simulador!$B$11))/2,IF((($A4-Simulador!$E$5)/Simulador!$G$5)&gt;1-Simulador!$B$11,Simulador!$B$9*(1-COS(PI()*(1-(($A4-Simulador!$E$5)/Simulador!$G$5))/Simulador!$B$11))/2,Simulador!$B$9)))</f>
        <v>0</v>
      </c>
      <c r="C4" s="18">
        <f>IF(OR((($A4-Simulador!$E$6)/Simulador!$G$6)&lt;=0,(($A4-Simulador!$E$6)/Simulador!$G$6)&gt;=1),0,IF((($A4-Simulador!$E$6)/Simulador!$G$6)&lt;Simulador!$B$11,Simulador!$B$9*(1-COS(PI()*(($A4-Simulador!$E$6)/Simulador!$G$6)/Simulador!$B$11))/2,IF((($A4-Simulador!$E$6)/Simulador!$G$6)&gt;1-Simulador!$B$11,Simulador!$B$9*(1-COS(PI()*(1-(($A4-Simulador!$E$6)/Simulador!$G$6))/Simulador!$B$11))/2,Simulador!$B$9)))</f>
        <v>0</v>
      </c>
      <c r="D4" s="18">
        <f>IF(OR((($A4-Simulador!$E$7)/Simulador!$G$7)&lt;=0,(($A4-Simulador!$E$7)/Simulador!$G$7)&gt;=1),0,IF((($A4-Simulador!$E$7)/Simulador!$G$7)&lt;Simulador!$B$11,Simulador!$B$9*(1-COS(PI()*(($A4-Simulador!$E$7)/Simulador!$G$7)/Simulador!$B$11))/2,IF((($A4-Simulador!$E$7)/Simulador!$G$7)&gt;1-Simulador!$B$11,Simulador!$B$9*(1-COS(PI()*(1-(($A4-Simulador!$E$7)/Simulador!$G$7))/Simulador!$B$11))/2,Simulador!$B$9)))</f>
        <v>0</v>
      </c>
      <c r="E4" s="18">
        <f>IF(OR((($A4-Simulador!$E$8)/Simulador!$G$8)&lt;=0,(($A4-Simulador!$E$8)/Simulador!$G$8)&gt;=1),0,IF((($A4-Simulador!$E$8)/Simulador!$G$8)&lt;Simulador!$B$11,Simulador!$B$10*(1-COS(PI()*(($A4-Simulador!$E$8)/Simulador!$G$8)/Simulador!$B$11))/2,IF((($A4-Simulador!$E$8)/Simulador!$G$8)&gt;1-Simulador!$B$11,Simulador!$B$10*(1-COS(PI()*(1-(($A4-Simulador!$E$8)/Simulador!$G$8))/Simulador!$B$11))/2,Simulador!$B$10)))</f>
        <v>0</v>
      </c>
      <c r="F4" s="18">
        <f>IF(OR((($A4-Simulador!$E$9)/Simulador!$G$9)&lt;=0,(($A4-Simulador!$E$9)/Simulador!$G$9)&gt;=1),0,IF((($A4-Simulador!$E$9)/Simulador!$G$9)&lt;Simulador!$B$11,Simulador!$B$10*(1-COS(PI()*(($A4-Simulador!$E$9)/Simulador!$G$9)/Simulador!$B$11))/2,IF((($A4-Simulador!$E$9)/Simulador!$G$9)&gt;1-Simulador!$B$11,Simulador!$B$10*(1-COS(PI()*(1-(($A4-Simulador!$E$9)/Simulador!$G$9))/Simulador!$B$11))/2,Simulador!$B$10)))</f>
        <v>0</v>
      </c>
      <c r="G4" s="18">
        <f>IF(OR((($A4-Simulador!$E$10)/Simulador!$G$10)&lt;=0,(($A4-Simulador!$E$10)/Simulador!$G$10)&gt;=1),0,IF((($A4-Simulador!$E$10)/Simulador!$G$10)&lt;Simulador!$B$11,Simulador!$B$10*(1-COS(PI()*(($A4-Simulador!$E$10)/Simulador!$G$10)/Simulador!$B$11))/2,IF((($A4-Simulador!$E$10)/Simulador!$G$10)&gt;1-Simulador!$B$11,Simulador!$B$10*(1-COS(PI()*(1-(($A4-Simulador!$E$10)/Simulador!$G$10))/Simulador!$B$11))/2,Simulador!$B$10)))</f>
        <v>0</v>
      </c>
      <c r="I4" s="19">
        <f>Simulador!$E$8</f>
        <v>325</v>
      </c>
      <c r="J4" s="19">
        <f>MAX(Simulador!$B$9,Simulador!$B$10)*1.32-0.05</f>
        <v>12.49</v>
      </c>
      <c r="K4" s="19">
        <f>Simulador!$E$10</f>
        <v>355</v>
      </c>
      <c r="L4" s="19">
        <f>MAX(Simulador!$B$9,Simulador!$B$10)*1.16-0.05</f>
        <v>10.969999999999999</v>
      </c>
      <c r="M4" s="19"/>
      <c r="N4" s="19"/>
    </row>
    <row r="5" spans="1:14" x14ac:dyDescent="0.25">
      <c r="A5" s="17">
        <f>A4+Simulador!$B$14</f>
        <v>6</v>
      </c>
      <c r="B5" s="18">
        <f>IF(OR((($A5-Simulador!$E$5)/Simulador!$G$5)&lt;=0,(($A5-Simulador!$E$5)/Simulador!$G$5)&gt;=1),0,IF((($A5-Simulador!$E$5)/Simulador!$G$5)&lt;Simulador!$B$11,Simulador!$B$9*(1-COS(PI()*(($A5-Simulador!$E$5)/Simulador!$G$5)/Simulador!$B$11))/2,IF((($A5-Simulador!$E$5)/Simulador!$G$5)&gt;1-Simulador!$B$11,Simulador!$B$9*(1-COS(PI()*(1-(($A5-Simulador!$E$5)/Simulador!$G$5))/Simulador!$B$11))/2,Simulador!$B$9)))</f>
        <v>0</v>
      </c>
      <c r="C5" s="18">
        <f>IF(OR((($A5-Simulador!$E$6)/Simulador!$G$6)&lt;=0,(($A5-Simulador!$E$6)/Simulador!$G$6)&gt;=1),0,IF((($A5-Simulador!$E$6)/Simulador!$G$6)&lt;Simulador!$B$11,Simulador!$B$9*(1-COS(PI()*(($A5-Simulador!$E$6)/Simulador!$G$6)/Simulador!$B$11))/2,IF((($A5-Simulador!$E$6)/Simulador!$G$6)&gt;1-Simulador!$B$11,Simulador!$B$9*(1-COS(PI()*(1-(($A5-Simulador!$E$6)/Simulador!$G$6))/Simulador!$B$11))/2,Simulador!$B$9)))</f>
        <v>0</v>
      </c>
      <c r="D5" s="18">
        <f>IF(OR((($A5-Simulador!$E$7)/Simulador!$G$7)&lt;=0,(($A5-Simulador!$E$7)/Simulador!$G$7)&gt;=1),0,IF((($A5-Simulador!$E$7)/Simulador!$G$7)&lt;Simulador!$B$11,Simulador!$B$9*(1-COS(PI()*(($A5-Simulador!$E$7)/Simulador!$G$7)/Simulador!$B$11))/2,IF((($A5-Simulador!$E$7)/Simulador!$G$7)&gt;1-Simulador!$B$11,Simulador!$B$9*(1-COS(PI()*(1-(($A5-Simulador!$E$7)/Simulador!$G$7))/Simulador!$B$11))/2,Simulador!$B$9)))</f>
        <v>0</v>
      </c>
      <c r="E5" s="18">
        <f>IF(OR((($A5-Simulador!$E$8)/Simulador!$G$8)&lt;=0,(($A5-Simulador!$E$8)/Simulador!$G$8)&gt;=1),0,IF((($A5-Simulador!$E$8)/Simulador!$G$8)&lt;Simulador!$B$11,Simulador!$B$10*(1-COS(PI()*(($A5-Simulador!$E$8)/Simulador!$G$8)/Simulador!$B$11))/2,IF((($A5-Simulador!$E$8)/Simulador!$G$8)&gt;1-Simulador!$B$11,Simulador!$B$10*(1-COS(PI()*(1-(($A5-Simulador!$E$8)/Simulador!$G$8))/Simulador!$B$11))/2,Simulador!$B$10)))</f>
        <v>0</v>
      </c>
      <c r="F5" s="18">
        <f>IF(OR((($A5-Simulador!$E$9)/Simulador!$G$9)&lt;=0,(($A5-Simulador!$E$9)/Simulador!$G$9)&gt;=1),0,IF((($A5-Simulador!$E$9)/Simulador!$G$9)&lt;Simulador!$B$11,Simulador!$B$10*(1-COS(PI()*(($A5-Simulador!$E$9)/Simulador!$G$9)/Simulador!$B$11))/2,IF((($A5-Simulador!$E$9)/Simulador!$G$9)&gt;1-Simulador!$B$11,Simulador!$B$10*(1-COS(PI()*(1-(($A5-Simulador!$E$9)/Simulador!$G$9))/Simulador!$B$11))/2,Simulador!$B$10)))</f>
        <v>0</v>
      </c>
      <c r="G5" s="18">
        <f>IF(OR((($A5-Simulador!$E$10)/Simulador!$G$10)&lt;=0,(($A5-Simulador!$E$10)/Simulador!$G$10)&gt;=1),0,IF((($A5-Simulador!$E$10)/Simulador!$G$10)&lt;Simulador!$B$11,Simulador!$B$10*(1-COS(PI()*(($A5-Simulador!$E$10)/Simulador!$G$10)/Simulador!$B$11))/2,IF((($A5-Simulador!$E$10)/Simulador!$G$10)&gt;1-Simulador!$B$11,Simulador!$B$10*(1-COS(PI()*(1-(($A5-Simulador!$E$10)/Simulador!$G$10))/Simulador!$B$11))/2,Simulador!$B$10)))</f>
        <v>0</v>
      </c>
      <c r="I5" s="19">
        <f>Simulador!$E$8</f>
        <v>325</v>
      </c>
      <c r="J5" s="19">
        <f>MAX(Simulador!$B$9,Simulador!$B$10)*1.32</f>
        <v>12.540000000000001</v>
      </c>
      <c r="K5" s="19">
        <f>Simulador!$E$10</f>
        <v>355</v>
      </c>
      <c r="L5" s="19">
        <f>MAX(Simulador!$B$9,Simulador!$B$10)*1.16</f>
        <v>11.02</v>
      </c>
      <c r="M5" s="19"/>
      <c r="N5" s="19"/>
    </row>
    <row r="6" spans="1:14" x14ac:dyDescent="0.25">
      <c r="A6" s="17">
        <f>A5+Simulador!$B$14</f>
        <v>8</v>
      </c>
      <c r="B6" s="18">
        <f>IF(OR((($A6-Simulador!$E$5)/Simulador!$G$5)&lt;=0,(($A6-Simulador!$E$5)/Simulador!$G$5)&gt;=1),0,IF((($A6-Simulador!$E$5)/Simulador!$G$5)&lt;Simulador!$B$11,Simulador!$B$9*(1-COS(PI()*(($A6-Simulador!$E$5)/Simulador!$G$5)/Simulador!$B$11))/2,IF((($A6-Simulador!$E$5)/Simulador!$G$5)&gt;1-Simulador!$B$11,Simulador!$B$9*(1-COS(PI()*(1-(($A6-Simulador!$E$5)/Simulador!$G$5))/Simulador!$B$11))/2,Simulador!$B$9)))</f>
        <v>0</v>
      </c>
      <c r="C6" s="18">
        <f>IF(OR((($A6-Simulador!$E$6)/Simulador!$G$6)&lt;=0,(($A6-Simulador!$E$6)/Simulador!$G$6)&gt;=1),0,IF((($A6-Simulador!$E$6)/Simulador!$G$6)&lt;Simulador!$B$11,Simulador!$B$9*(1-COS(PI()*(($A6-Simulador!$E$6)/Simulador!$G$6)/Simulador!$B$11))/2,IF((($A6-Simulador!$E$6)/Simulador!$G$6)&gt;1-Simulador!$B$11,Simulador!$B$9*(1-COS(PI()*(1-(($A6-Simulador!$E$6)/Simulador!$G$6))/Simulador!$B$11))/2,Simulador!$B$9)))</f>
        <v>0</v>
      </c>
      <c r="D6" s="18">
        <f>IF(OR((($A6-Simulador!$E$7)/Simulador!$G$7)&lt;=0,(($A6-Simulador!$E$7)/Simulador!$G$7)&gt;=1),0,IF((($A6-Simulador!$E$7)/Simulador!$G$7)&lt;Simulador!$B$11,Simulador!$B$9*(1-COS(PI()*(($A6-Simulador!$E$7)/Simulador!$G$7)/Simulador!$B$11))/2,IF((($A6-Simulador!$E$7)/Simulador!$G$7)&gt;1-Simulador!$B$11,Simulador!$B$9*(1-COS(PI()*(1-(($A6-Simulador!$E$7)/Simulador!$G$7))/Simulador!$B$11))/2,Simulador!$B$9)))</f>
        <v>0</v>
      </c>
      <c r="E6" s="18">
        <f>IF(OR((($A6-Simulador!$E$8)/Simulador!$G$8)&lt;=0,(($A6-Simulador!$E$8)/Simulador!$G$8)&gt;=1),0,IF((($A6-Simulador!$E$8)/Simulador!$G$8)&lt;Simulador!$B$11,Simulador!$B$10*(1-COS(PI()*(($A6-Simulador!$E$8)/Simulador!$G$8)/Simulador!$B$11))/2,IF((($A6-Simulador!$E$8)/Simulador!$G$8)&gt;1-Simulador!$B$11,Simulador!$B$10*(1-COS(PI()*(1-(($A6-Simulador!$E$8)/Simulador!$G$8))/Simulador!$B$11))/2,Simulador!$B$10)))</f>
        <v>0</v>
      </c>
      <c r="F6" s="18">
        <f>IF(OR((($A6-Simulador!$E$9)/Simulador!$G$9)&lt;=0,(($A6-Simulador!$E$9)/Simulador!$G$9)&gt;=1),0,IF((($A6-Simulador!$E$9)/Simulador!$G$9)&lt;Simulador!$B$11,Simulador!$B$10*(1-COS(PI()*(($A6-Simulador!$E$9)/Simulador!$G$9)/Simulador!$B$11))/2,IF((($A6-Simulador!$E$9)/Simulador!$G$9)&gt;1-Simulador!$B$11,Simulador!$B$10*(1-COS(PI()*(1-(($A6-Simulador!$E$9)/Simulador!$G$9))/Simulador!$B$11))/2,Simulador!$B$10)))</f>
        <v>0</v>
      </c>
      <c r="G6" s="18">
        <f>IF(OR((($A6-Simulador!$E$10)/Simulador!$G$10)&lt;=0,(($A6-Simulador!$E$10)/Simulador!$G$10)&gt;=1),0,IF((($A6-Simulador!$E$10)/Simulador!$G$10)&lt;Simulador!$B$11,Simulador!$B$10*(1-COS(PI()*(($A6-Simulador!$E$10)/Simulador!$G$10)/Simulador!$B$11))/2,IF((($A6-Simulador!$E$10)/Simulador!$G$10)&gt;1-Simulador!$B$11,Simulador!$B$10*(1-COS(PI()*(1-(($A6-Simulador!$E$10)/Simulador!$G$10))/Simulador!$B$11))/2,Simulador!$B$10)))</f>
        <v>0</v>
      </c>
      <c r="I6" s="19">
        <f>Simulador!$E$8+0.5</f>
        <v>325.5</v>
      </c>
      <c r="J6" s="19">
        <f>MAX(Simulador!$B$9,Simulador!$B$10)*1.32</f>
        <v>12.540000000000001</v>
      </c>
      <c r="K6" s="19">
        <f>Simulador!$E$10+0.5</f>
        <v>355.5</v>
      </c>
      <c r="L6" s="19">
        <f>MAX(Simulador!$B$9,Simulador!$B$10)*1.16</f>
        <v>11.02</v>
      </c>
      <c r="M6" s="19"/>
      <c r="N6" s="19"/>
    </row>
    <row r="7" spans="1:14" x14ac:dyDescent="0.25">
      <c r="A7" s="17">
        <f>A6+Simulador!$B$14</f>
        <v>10</v>
      </c>
      <c r="B7" s="18">
        <f>IF(OR((($A7-Simulador!$E$5)/Simulador!$G$5)&lt;=0,(($A7-Simulador!$E$5)/Simulador!$G$5)&gt;=1),0,IF((($A7-Simulador!$E$5)/Simulador!$G$5)&lt;Simulador!$B$11,Simulador!$B$9*(1-COS(PI()*(($A7-Simulador!$E$5)/Simulador!$G$5)/Simulador!$B$11))/2,IF((($A7-Simulador!$E$5)/Simulador!$G$5)&gt;1-Simulador!$B$11,Simulador!$B$9*(1-COS(PI()*(1-(($A7-Simulador!$E$5)/Simulador!$G$5))/Simulador!$B$11))/2,Simulador!$B$9)))</f>
        <v>0</v>
      </c>
      <c r="C7" s="18">
        <f>IF(OR((($A7-Simulador!$E$6)/Simulador!$G$6)&lt;=0,(($A7-Simulador!$E$6)/Simulador!$G$6)&gt;=1),0,IF((($A7-Simulador!$E$6)/Simulador!$G$6)&lt;Simulador!$B$11,Simulador!$B$9*(1-COS(PI()*(($A7-Simulador!$E$6)/Simulador!$G$6)/Simulador!$B$11))/2,IF((($A7-Simulador!$E$6)/Simulador!$G$6)&gt;1-Simulador!$B$11,Simulador!$B$9*(1-COS(PI()*(1-(($A7-Simulador!$E$6)/Simulador!$G$6))/Simulador!$B$11))/2,Simulador!$B$9)))</f>
        <v>0</v>
      </c>
      <c r="D7" s="18">
        <f>IF(OR((($A7-Simulador!$E$7)/Simulador!$G$7)&lt;=0,(($A7-Simulador!$E$7)/Simulador!$G$7)&gt;=1),0,IF((($A7-Simulador!$E$7)/Simulador!$G$7)&lt;Simulador!$B$11,Simulador!$B$9*(1-COS(PI()*(($A7-Simulador!$E$7)/Simulador!$G$7)/Simulador!$B$11))/2,IF((($A7-Simulador!$E$7)/Simulador!$G$7)&gt;1-Simulador!$B$11,Simulador!$B$9*(1-COS(PI()*(1-(($A7-Simulador!$E$7)/Simulador!$G$7))/Simulador!$B$11))/2,Simulador!$B$9)))</f>
        <v>0</v>
      </c>
      <c r="E7" s="18">
        <f>IF(OR((($A7-Simulador!$E$8)/Simulador!$G$8)&lt;=0,(($A7-Simulador!$E$8)/Simulador!$G$8)&gt;=1),0,IF((($A7-Simulador!$E$8)/Simulador!$G$8)&lt;Simulador!$B$11,Simulador!$B$10*(1-COS(PI()*(($A7-Simulador!$E$8)/Simulador!$G$8)/Simulador!$B$11))/2,IF((($A7-Simulador!$E$8)/Simulador!$G$8)&gt;1-Simulador!$B$11,Simulador!$B$10*(1-COS(PI()*(1-(($A7-Simulador!$E$8)/Simulador!$G$8))/Simulador!$B$11))/2,Simulador!$B$10)))</f>
        <v>0</v>
      </c>
      <c r="F7" s="18">
        <f>IF(OR((($A7-Simulador!$E$9)/Simulador!$G$9)&lt;=0,(($A7-Simulador!$E$9)/Simulador!$G$9)&gt;=1),0,IF((($A7-Simulador!$E$9)/Simulador!$G$9)&lt;Simulador!$B$11,Simulador!$B$10*(1-COS(PI()*(($A7-Simulador!$E$9)/Simulador!$G$9)/Simulador!$B$11))/2,IF((($A7-Simulador!$E$9)/Simulador!$G$9)&gt;1-Simulador!$B$11,Simulador!$B$10*(1-COS(PI()*(1-(($A7-Simulador!$E$9)/Simulador!$G$9))/Simulador!$B$11))/2,Simulador!$B$10)))</f>
        <v>0</v>
      </c>
      <c r="G7" s="18">
        <f>IF(OR((($A7-Simulador!$E$10)/Simulador!$G$10)&lt;=0,(($A7-Simulador!$E$10)/Simulador!$G$10)&gt;=1),0,IF((($A7-Simulador!$E$10)/Simulador!$G$10)&lt;Simulador!$B$11,Simulador!$B$10*(1-COS(PI()*(($A7-Simulador!$E$10)/Simulador!$G$10)/Simulador!$B$11))/2,IF((($A7-Simulador!$E$10)/Simulador!$G$10)&gt;1-Simulador!$B$11,Simulador!$B$10*(1-COS(PI()*(1-(($A7-Simulador!$E$10)/Simulador!$G$10))/Simulador!$B$11))/2,Simulador!$B$10)))</f>
        <v>0</v>
      </c>
      <c r="I7" s="19">
        <f>Simulador!$F$7-0.5</f>
        <v>394.5</v>
      </c>
      <c r="J7" s="19">
        <f>MAX(Simulador!$B$9,Simulador!$B$10)*1.32</f>
        <v>12.540000000000001</v>
      </c>
      <c r="K7" s="19">
        <f>Simulador!$F$5-0.5</f>
        <v>364.5</v>
      </c>
      <c r="L7" s="19">
        <f>MAX(Simulador!$B$9,Simulador!$B$10)*1.16</f>
        <v>11.02</v>
      </c>
      <c r="M7" s="19"/>
      <c r="N7" s="19"/>
    </row>
    <row r="8" spans="1:14" x14ac:dyDescent="0.25">
      <c r="A8" s="17">
        <f>A7+Simulador!$B$14</f>
        <v>12</v>
      </c>
      <c r="B8" s="18">
        <f>IF(OR((($A8-Simulador!$E$5)/Simulador!$G$5)&lt;=0,(($A8-Simulador!$E$5)/Simulador!$G$5)&gt;=1),0,IF((($A8-Simulador!$E$5)/Simulador!$G$5)&lt;Simulador!$B$11,Simulador!$B$9*(1-COS(PI()*(($A8-Simulador!$E$5)/Simulador!$G$5)/Simulador!$B$11))/2,IF((($A8-Simulador!$E$5)/Simulador!$G$5)&gt;1-Simulador!$B$11,Simulador!$B$9*(1-COS(PI()*(1-(($A8-Simulador!$E$5)/Simulador!$G$5))/Simulador!$B$11))/2,Simulador!$B$9)))</f>
        <v>0</v>
      </c>
      <c r="C8" s="18">
        <f>IF(OR((($A8-Simulador!$E$6)/Simulador!$G$6)&lt;=0,(($A8-Simulador!$E$6)/Simulador!$G$6)&gt;=1),0,IF((($A8-Simulador!$E$6)/Simulador!$G$6)&lt;Simulador!$B$11,Simulador!$B$9*(1-COS(PI()*(($A8-Simulador!$E$6)/Simulador!$G$6)/Simulador!$B$11))/2,IF((($A8-Simulador!$E$6)/Simulador!$G$6)&gt;1-Simulador!$B$11,Simulador!$B$9*(1-COS(PI()*(1-(($A8-Simulador!$E$6)/Simulador!$G$6))/Simulador!$B$11))/2,Simulador!$B$9)))</f>
        <v>0</v>
      </c>
      <c r="D8" s="18">
        <f>IF(OR((($A8-Simulador!$E$7)/Simulador!$G$7)&lt;=0,(($A8-Simulador!$E$7)/Simulador!$G$7)&gt;=1),0,IF((($A8-Simulador!$E$7)/Simulador!$G$7)&lt;Simulador!$B$11,Simulador!$B$9*(1-COS(PI()*(($A8-Simulador!$E$7)/Simulador!$G$7)/Simulador!$B$11))/2,IF((($A8-Simulador!$E$7)/Simulador!$G$7)&gt;1-Simulador!$B$11,Simulador!$B$9*(1-COS(PI()*(1-(($A8-Simulador!$E$7)/Simulador!$G$7))/Simulador!$B$11))/2,Simulador!$B$9)))</f>
        <v>0</v>
      </c>
      <c r="E8" s="18">
        <f>IF(OR((($A8-Simulador!$E$8)/Simulador!$G$8)&lt;=0,(($A8-Simulador!$E$8)/Simulador!$G$8)&gt;=1),0,IF((($A8-Simulador!$E$8)/Simulador!$G$8)&lt;Simulador!$B$11,Simulador!$B$10*(1-COS(PI()*(($A8-Simulador!$E$8)/Simulador!$G$8)/Simulador!$B$11))/2,IF((($A8-Simulador!$E$8)/Simulador!$G$8)&gt;1-Simulador!$B$11,Simulador!$B$10*(1-COS(PI()*(1-(($A8-Simulador!$E$8)/Simulador!$G$8))/Simulador!$B$11))/2,Simulador!$B$10)))</f>
        <v>0</v>
      </c>
      <c r="F8" s="18">
        <f>IF(OR((($A8-Simulador!$E$9)/Simulador!$G$9)&lt;=0,(($A8-Simulador!$E$9)/Simulador!$G$9)&gt;=1),0,IF((($A8-Simulador!$E$9)/Simulador!$G$9)&lt;Simulador!$B$11,Simulador!$B$10*(1-COS(PI()*(($A8-Simulador!$E$9)/Simulador!$G$9)/Simulador!$B$11))/2,IF((($A8-Simulador!$E$9)/Simulador!$G$9)&gt;1-Simulador!$B$11,Simulador!$B$10*(1-COS(PI()*(1-(($A8-Simulador!$E$9)/Simulador!$G$9))/Simulador!$B$11))/2,Simulador!$B$10)))</f>
        <v>0</v>
      </c>
      <c r="G8" s="18">
        <f>IF(OR((($A8-Simulador!$E$10)/Simulador!$G$10)&lt;=0,(($A8-Simulador!$E$10)/Simulador!$G$10)&gt;=1),0,IF((($A8-Simulador!$E$10)/Simulador!$G$10)&lt;Simulador!$B$11,Simulador!$B$10*(1-COS(PI()*(($A8-Simulador!$E$10)/Simulador!$G$10)/Simulador!$B$11))/2,IF((($A8-Simulador!$E$10)/Simulador!$G$10)&gt;1-Simulador!$B$11,Simulador!$B$10*(1-COS(PI()*(1-(($A8-Simulador!$E$10)/Simulador!$G$10))/Simulador!$B$11))/2,Simulador!$B$10)))</f>
        <v>0</v>
      </c>
      <c r="I8" s="19">
        <f>Simulador!$F$7</f>
        <v>395</v>
      </c>
      <c r="J8" s="19">
        <f>MAX(Simulador!$B$9,Simulador!$B$10)*1.32</f>
        <v>12.540000000000001</v>
      </c>
      <c r="K8" s="19">
        <f>Simulador!$F$5</f>
        <v>365</v>
      </c>
      <c r="L8" s="19">
        <f>MAX(Simulador!$B$9,Simulador!$B$10)*1.16</f>
        <v>11.02</v>
      </c>
      <c r="M8" s="19"/>
      <c r="N8" s="19"/>
    </row>
    <row r="9" spans="1:14" x14ac:dyDescent="0.25">
      <c r="A9" s="17">
        <f>A8+Simulador!$B$14</f>
        <v>14</v>
      </c>
      <c r="B9" s="18">
        <f>IF(OR((($A9-Simulador!$E$5)/Simulador!$G$5)&lt;=0,(($A9-Simulador!$E$5)/Simulador!$G$5)&gt;=1),0,IF((($A9-Simulador!$E$5)/Simulador!$G$5)&lt;Simulador!$B$11,Simulador!$B$9*(1-COS(PI()*(($A9-Simulador!$E$5)/Simulador!$G$5)/Simulador!$B$11))/2,IF((($A9-Simulador!$E$5)/Simulador!$G$5)&gt;1-Simulador!$B$11,Simulador!$B$9*(1-COS(PI()*(1-(($A9-Simulador!$E$5)/Simulador!$G$5))/Simulador!$B$11))/2,Simulador!$B$9)))</f>
        <v>0</v>
      </c>
      <c r="C9" s="18">
        <f>IF(OR((($A9-Simulador!$E$6)/Simulador!$G$6)&lt;=0,(($A9-Simulador!$E$6)/Simulador!$G$6)&gt;=1),0,IF((($A9-Simulador!$E$6)/Simulador!$G$6)&lt;Simulador!$B$11,Simulador!$B$9*(1-COS(PI()*(($A9-Simulador!$E$6)/Simulador!$G$6)/Simulador!$B$11))/2,IF((($A9-Simulador!$E$6)/Simulador!$G$6)&gt;1-Simulador!$B$11,Simulador!$B$9*(1-COS(PI()*(1-(($A9-Simulador!$E$6)/Simulador!$G$6))/Simulador!$B$11))/2,Simulador!$B$9)))</f>
        <v>0</v>
      </c>
      <c r="D9" s="18">
        <f>IF(OR((($A9-Simulador!$E$7)/Simulador!$G$7)&lt;=0,(($A9-Simulador!$E$7)/Simulador!$G$7)&gt;=1),0,IF((($A9-Simulador!$E$7)/Simulador!$G$7)&lt;Simulador!$B$11,Simulador!$B$9*(1-COS(PI()*(($A9-Simulador!$E$7)/Simulador!$G$7)/Simulador!$B$11))/2,IF((($A9-Simulador!$E$7)/Simulador!$G$7)&gt;1-Simulador!$B$11,Simulador!$B$9*(1-COS(PI()*(1-(($A9-Simulador!$E$7)/Simulador!$G$7))/Simulador!$B$11))/2,Simulador!$B$9)))</f>
        <v>0</v>
      </c>
      <c r="E9" s="18">
        <f>IF(OR((($A9-Simulador!$E$8)/Simulador!$G$8)&lt;=0,(($A9-Simulador!$E$8)/Simulador!$G$8)&gt;=1),0,IF((($A9-Simulador!$E$8)/Simulador!$G$8)&lt;Simulador!$B$11,Simulador!$B$10*(1-COS(PI()*(($A9-Simulador!$E$8)/Simulador!$G$8)/Simulador!$B$11))/2,IF((($A9-Simulador!$E$8)/Simulador!$G$8)&gt;1-Simulador!$B$11,Simulador!$B$10*(1-COS(PI()*(1-(($A9-Simulador!$E$8)/Simulador!$G$8))/Simulador!$B$11))/2,Simulador!$B$10)))</f>
        <v>0</v>
      </c>
      <c r="F9" s="18">
        <f>IF(OR((($A9-Simulador!$E$9)/Simulador!$G$9)&lt;=0,(($A9-Simulador!$E$9)/Simulador!$G$9)&gt;=1),0,IF((($A9-Simulador!$E$9)/Simulador!$G$9)&lt;Simulador!$B$11,Simulador!$B$10*(1-COS(PI()*(($A9-Simulador!$E$9)/Simulador!$G$9)/Simulador!$B$11))/2,IF((($A9-Simulador!$E$9)/Simulador!$G$9)&gt;1-Simulador!$B$11,Simulador!$B$10*(1-COS(PI()*(1-(($A9-Simulador!$E$9)/Simulador!$G$9))/Simulador!$B$11))/2,Simulador!$B$10)))</f>
        <v>0</v>
      </c>
      <c r="G9" s="18">
        <f>IF(OR((($A9-Simulador!$E$10)/Simulador!$G$10)&lt;=0,(($A9-Simulador!$E$10)/Simulador!$G$10)&gt;=1),0,IF((($A9-Simulador!$E$10)/Simulador!$G$10)&lt;Simulador!$B$11,Simulador!$B$10*(1-COS(PI()*(($A9-Simulador!$E$10)/Simulador!$G$10)/Simulador!$B$11))/2,IF((($A9-Simulador!$E$10)/Simulador!$G$10)&gt;1-Simulador!$B$11,Simulador!$B$10*(1-COS(PI()*(1-(($A9-Simulador!$E$10)/Simulador!$G$10))/Simulador!$B$11))/2,Simulador!$B$10)))</f>
        <v>0</v>
      </c>
      <c r="I9" s="19">
        <f>Simulador!$F$7</f>
        <v>395</v>
      </c>
      <c r="J9" s="19">
        <f>MAX(Simulador!$B$9,Simulador!$B$10)*1.32-0.05</f>
        <v>12.49</v>
      </c>
      <c r="K9" s="19">
        <f>Simulador!$F$5</f>
        <v>365</v>
      </c>
      <c r="L9" s="19">
        <f>MAX(Simulador!$B$9,Simulador!$B$10)*1.16-0.05</f>
        <v>10.969999999999999</v>
      </c>
      <c r="M9" s="19"/>
      <c r="N9" s="19"/>
    </row>
    <row r="10" spans="1:14" x14ac:dyDescent="0.25">
      <c r="A10" s="17">
        <f>A9+Simulador!$B$14</f>
        <v>16</v>
      </c>
      <c r="B10" s="18">
        <f>IF(OR((($A10-Simulador!$E$5)/Simulador!$G$5)&lt;=0,(($A10-Simulador!$E$5)/Simulador!$G$5)&gt;=1),0,IF((($A10-Simulador!$E$5)/Simulador!$G$5)&lt;Simulador!$B$11,Simulador!$B$9*(1-COS(PI()*(($A10-Simulador!$E$5)/Simulador!$G$5)/Simulador!$B$11))/2,IF((($A10-Simulador!$E$5)/Simulador!$G$5)&gt;1-Simulador!$B$11,Simulador!$B$9*(1-COS(PI()*(1-(($A10-Simulador!$E$5)/Simulador!$G$5))/Simulador!$B$11))/2,Simulador!$B$9)))</f>
        <v>0</v>
      </c>
      <c r="C10" s="18">
        <f>IF(OR((($A10-Simulador!$E$6)/Simulador!$G$6)&lt;=0,(($A10-Simulador!$E$6)/Simulador!$G$6)&gt;=1),0,IF((($A10-Simulador!$E$6)/Simulador!$G$6)&lt;Simulador!$B$11,Simulador!$B$9*(1-COS(PI()*(($A10-Simulador!$E$6)/Simulador!$G$6)/Simulador!$B$11))/2,IF((($A10-Simulador!$E$6)/Simulador!$G$6)&gt;1-Simulador!$B$11,Simulador!$B$9*(1-COS(PI()*(1-(($A10-Simulador!$E$6)/Simulador!$G$6))/Simulador!$B$11))/2,Simulador!$B$9)))</f>
        <v>0</v>
      </c>
      <c r="D10" s="18">
        <f>IF(OR((($A10-Simulador!$E$7)/Simulador!$G$7)&lt;=0,(($A10-Simulador!$E$7)/Simulador!$G$7)&gt;=1),0,IF((($A10-Simulador!$E$7)/Simulador!$G$7)&lt;Simulador!$B$11,Simulador!$B$9*(1-COS(PI()*(($A10-Simulador!$E$7)/Simulador!$G$7)/Simulador!$B$11))/2,IF((($A10-Simulador!$E$7)/Simulador!$G$7)&gt;1-Simulador!$B$11,Simulador!$B$9*(1-COS(PI()*(1-(($A10-Simulador!$E$7)/Simulador!$G$7))/Simulador!$B$11))/2,Simulador!$B$9)))</f>
        <v>0</v>
      </c>
      <c r="E10" s="18">
        <f>IF(OR((($A10-Simulador!$E$8)/Simulador!$G$8)&lt;=0,(($A10-Simulador!$E$8)/Simulador!$G$8)&gt;=1),0,IF((($A10-Simulador!$E$8)/Simulador!$G$8)&lt;Simulador!$B$11,Simulador!$B$10*(1-COS(PI()*(($A10-Simulador!$E$8)/Simulador!$G$8)/Simulador!$B$11))/2,IF((($A10-Simulador!$E$8)/Simulador!$G$8)&gt;1-Simulador!$B$11,Simulador!$B$10*(1-COS(PI()*(1-(($A10-Simulador!$E$8)/Simulador!$G$8))/Simulador!$B$11))/2,Simulador!$B$10)))</f>
        <v>0</v>
      </c>
      <c r="F10" s="18">
        <f>IF(OR((($A10-Simulador!$E$9)/Simulador!$G$9)&lt;=0,(($A10-Simulador!$E$9)/Simulador!$G$9)&gt;=1),0,IF((($A10-Simulador!$E$9)/Simulador!$G$9)&lt;Simulador!$B$11,Simulador!$B$10*(1-COS(PI()*(($A10-Simulador!$E$9)/Simulador!$G$9)/Simulador!$B$11))/2,IF((($A10-Simulador!$E$9)/Simulador!$G$9)&gt;1-Simulador!$B$11,Simulador!$B$10*(1-COS(PI()*(1-(($A10-Simulador!$E$9)/Simulador!$G$9))/Simulador!$B$11))/2,Simulador!$B$10)))</f>
        <v>0</v>
      </c>
      <c r="G10" s="18">
        <f>IF(OR((($A10-Simulador!$E$10)/Simulador!$G$10)&lt;=0,(($A10-Simulador!$E$10)/Simulador!$G$10)&gt;=1),0,IF((($A10-Simulador!$E$10)/Simulador!$G$10)&lt;Simulador!$B$11,Simulador!$B$10*(1-COS(PI()*(($A10-Simulador!$E$10)/Simulador!$G$10)/Simulador!$B$11))/2,IF((($A10-Simulador!$E$10)/Simulador!$G$10)&gt;1-Simulador!$B$11,Simulador!$B$10*(1-COS(PI()*(1-(($A10-Simulador!$E$10)/Simulador!$G$10))/Simulador!$B$11))/2,Simulador!$B$10)))</f>
        <v>0</v>
      </c>
      <c r="I10" s="19">
        <f>Simulador!$F$7</f>
        <v>395</v>
      </c>
      <c r="J10" s="19">
        <v>0.05</v>
      </c>
      <c r="K10" s="19">
        <f>Simulador!$F$5</f>
        <v>365</v>
      </c>
      <c r="L10" s="19">
        <v>0.05</v>
      </c>
      <c r="M10" s="19"/>
      <c r="N10" s="19"/>
    </row>
    <row r="11" spans="1:14" x14ac:dyDescent="0.25">
      <c r="A11" s="17">
        <f>A10+Simulador!$B$14</f>
        <v>18</v>
      </c>
      <c r="B11" s="18">
        <f>IF(OR((($A11-Simulador!$E$5)/Simulador!$G$5)&lt;=0,(($A11-Simulador!$E$5)/Simulador!$G$5)&gt;=1),0,IF((($A11-Simulador!$E$5)/Simulador!$G$5)&lt;Simulador!$B$11,Simulador!$B$9*(1-COS(PI()*(($A11-Simulador!$E$5)/Simulador!$G$5)/Simulador!$B$11))/2,IF((($A11-Simulador!$E$5)/Simulador!$G$5)&gt;1-Simulador!$B$11,Simulador!$B$9*(1-COS(PI()*(1-(($A11-Simulador!$E$5)/Simulador!$G$5))/Simulador!$B$11))/2,Simulador!$B$9)))</f>
        <v>0</v>
      </c>
      <c r="C11" s="18">
        <f>IF(OR((($A11-Simulador!$E$6)/Simulador!$G$6)&lt;=0,(($A11-Simulador!$E$6)/Simulador!$G$6)&gt;=1),0,IF((($A11-Simulador!$E$6)/Simulador!$G$6)&lt;Simulador!$B$11,Simulador!$B$9*(1-COS(PI()*(($A11-Simulador!$E$6)/Simulador!$G$6)/Simulador!$B$11))/2,IF((($A11-Simulador!$E$6)/Simulador!$G$6)&gt;1-Simulador!$B$11,Simulador!$B$9*(1-COS(PI()*(1-(($A11-Simulador!$E$6)/Simulador!$G$6))/Simulador!$B$11))/2,Simulador!$B$9)))</f>
        <v>0</v>
      </c>
      <c r="D11" s="18">
        <f>IF(OR((($A11-Simulador!$E$7)/Simulador!$G$7)&lt;=0,(($A11-Simulador!$E$7)/Simulador!$G$7)&gt;=1),0,IF((($A11-Simulador!$E$7)/Simulador!$G$7)&lt;Simulador!$B$11,Simulador!$B$9*(1-COS(PI()*(($A11-Simulador!$E$7)/Simulador!$G$7)/Simulador!$B$11))/2,IF((($A11-Simulador!$E$7)/Simulador!$G$7)&gt;1-Simulador!$B$11,Simulador!$B$9*(1-COS(PI()*(1-(($A11-Simulador!$E$7)/Simulador!$G$7))/Simulador!$B$11))/2,Simulador!$B$9)))</f>
        <v>0</v>
      </c>
      <c r="E11" s="18">
        <f>IF(OR((($A11-Simulador!$E$8)/Simulador!$G$8)&lt;=0,(($A11-Simulador!$E$8)/Simulador!$G$8)&gt;=1),0,IF((($A11-Simulador!$E$8)/Simulador!$G$8)&lt;Simulador!$B$11,Simulador!$B$10*(1-COS(PI()*(($A11-Simulador!$E$8)/Simulador!$G$8)/Simulador!$B$11))/2,IF((($A11-Simulador!$E$8)/Simulador!$G$8)&gt;1-Simulador!$B$11,Simulador!$B$10*(1-COS(PI()*(1-(($A11-Simulador!$E$8)/Simulador!$G$8))/Simulador!$B$11))/2,Simulador!$B$10)))</f>
        <v>0</v>
      </c>
      <c r="F11" s="18">
        <f>IF(OR((($A11-Simulador!$E$9)/Simulador!$G$9)&lt;=0,(($A11-Simulador!$E$9)/Simulador!$G$9)&gt;=1),0,IF((($A11-Simulador!$E$9)/Simulador!$G$9)&lt;Simulador!$B$11,Simulador!$B$10*(1-COS(PI()*(($A11-Simulador!$E$9)/Simulador!$G$9)/Simulador!$B$11))/2,IF((($A11-Simulador!$E$9)/Simulador!$G$9)&gt;1-Simulador!$B$11,Simulador!$B$10*(1-COS(PI()*(1-(($A11-Simulador!$E$9)/Simulador!$G$9))/Simulador!$B$11))/2,Simulador!$B$10)))</f>
        <v>0</v>
      </c>
      <c r="G11" s="18">
        <f>IF(OR((($A11-Simulador!$E$10)/Simulador!$G$10)&lt;=0,(($A11-Simulador!$E$10)/Simulador!$G$10)&gt;=1),0,IF((($A11-Simulador!$E$10)/Simulador!$G$10)&lt;Simulador!$B$11,Simulador!$B$10*(1-COS(PI()*(($A11-Simulador!$E$10)/Simulador!$G$10)/Simulador!$B$11))/2,IF((($A11-Simulador!$E$10)/Simulador!$G$10)&gt;1-Simulador!$B$11,Simulador!$B$10*(1-COS(PI()*(1-(($A11-Simulador!$E$10)/Simulador!$G$10))/Simulador!$B$11))/2,Simulador!$B$10)))</f>
        <v>0</v>
      </c>
      <c r="I11" s="19">
        <f>Simulador!$F$7</f>
        <v>395</v>
      </c>
      <c r="J11" s="19">
        <v>0</v>
      </c>
      <c r="K11" s="19">
        <f>Simulador!$F$5</f>
        <v>365</v>
      </c>
      <c r="L11" s="19">
        <v>0</v>
      </c>
      <c r="M11" s="19"/>
      <c r="N11" s="19"/>
    </row>
    <row r="12" spans="1:14" x14ac:dyDescent="0.25">
      <c r="A12" s="17">
        <f>A11+Simulador!$B$14</f>
        <v>20</v>
      </c>
      <c r="B12" s="18">
        <f>IF(OR((($A12-Simulador!$E$5)/Simulador!$G$5)&lt;=0,(($A12-Simulador!$E$5)/Simulador!$G$5)&gt;=1),0,IF((($A12-Simulador!$E$5)/Simulador!$G$5)&lt;Simulador!$B$11,Simulador!$B$9*(1-COS(PI()*(($A12-Simulador!$E$5)/Simulador!$G$5)/Simulador!$B$11))/2,IF((($A12-Simulador!$E$5)/Simulador!$G$5)&gt;1-Simulador!$B$11,Simulador!$B$9*(1-COS(PI()*(1-(($A12-Simulador!$E$5)/Simulador!$G$5))/Simulador!$B$11))/2,Simulador!$B$9)))</f>
        <v>0</v>
      </c>
      <c r="C12" s="18">
        <f>IF(OR((($A12-Simulador!$E$6)/Simulador!$G$6)&lt;=0,(($A12-Simulador!$E$6)/Simulador!$G$6)&gt;=1),0,IF((($A12-Simulador!$E$6)/Simulador!$G$6)&lt;Simulador!$B$11,Simulador!$B$9*(1-COS(PI()*(($A12-Simulador!$E$6)/Simulador!$G$6)/Simulador!$B$11))/2,IF((($A12-Simulador!$E$6)/Simulador!$G$6)&gt;1-Simulador!$B$11,Simulador!$B$9*(1-COS(PI()*(1-(($A12-Simulador!$E$6)/Simulador!$G$6))/Simulador!$B$11))/2,Simulador!$B$9)))</f>
        <v>0</v>
      </c>
      <c r="D12" s="18">
        <f>IF(OR((($A12-Simulador!$E$7)/Simulador!$G$7)&lt;=0,(($A12-Simulador!$E$7)/Simulador!$G$7)&gt;=1),0,IF((($A12-Simulador!$E$7)/Simulador!$G$7)&lt;Simulador!$B$11,Simulador!$B$9*(1-COS(PI()*(($A12-Simulador!$E$7)/Simulador!$G$7)/Simulador!$B$11))/2,IF((($A12-Simulador!$E$7)/Simulador!$G$7)&gt;1-Simulador!$B$11,Simulador!$B$9*(1-COS(PI()*(1-(($A12-Simulador!$E$7)/Simulador!$G$7))/Simulador!$B$11))/2,Simulador!$B$9)))</f>
        <v>0</v>
      </c>
      <c r="E12" s="18">
        <f>IF(OR((($A12-Simulador!$E$8)/Simulador!$G$8)&lt;=0,(($A12-Simulador!$E$8)/Simulador!$G$8)&gt;=1),0,IF((($A12-Simulador!$E$8)/Simulador!$G$8)&lt;Simulador!$B$11,Simulador!$B$10*(1-COS(PI()*(($A12-Simulador!$E$8)/Simulador!$G$8)/Simulador!$B$11))/2,IF((($A12-Simulador!$E$8)/Simulador!$G$8)&gt;1-Simulador!$B$11,Simulador!$B$10*(1-COS(PI()*(1-(($A12-Simulador!$E$8)/Simulador!$G$8))/Simulador!$B$11))/2,Simulador!$B$10)))</f>
        <v>0</v>
      </c>
      <c r="F12" s="18">
        <f>IF(OR((($A12-Simulador!$E$9)/Simulador!$G$9)&lt;=0,(($A12-Simulador!$E$9)/Simulador!$G$9)&gt;=1),0,IF((($A12-Simulador!$E$9)/Simulador!$G$9)&lt;Simulador!$B$11,Simulador!$B$10*(1-COS(PI()*(($A12-Simulador!$E$9)/Simulador!$G$9)/Simulador!$B$11))/2,IF((($A12-Simulador!$E$9)/Simulador!$G$9)&gt;1-Simulador!$B$11,Simulador!$B$10*(1-COS(PI()*(1-(($A12-Simulador!$E$9)/Simulador!$G$9))/Simulador!$B$11))/2,Simulador!$B$10)))</f>
        <v>0</v>
      </c>
      <c r="G12" s="18">
        <f>IF(OR((($A12-Simulador!$E$10)/Simulador!$G$10)&lt;=0,(($A12-Simulador!$E$10)/Simulador!$G$10)&gt;=1),0,IF((($A12-Simulador!$E$10)/Simulador!$G$10)&lt;Simulador!$B$11,Simulador!$B$10*(1-COS(PI()*(($A12-Simulador!$E$10)/Simulador!$G$10)/Simulador!$B$11))/2,IF((($A12-Simulador!$E$10)/Simulador!$G$10)&gt;1-Simulador!$B$11,Simulador!$B$10*(1-COS(PI()*(1-(($A12-Simulador!$E$10)/Simulador!$G$10))/Simulador!$B$11))/2,Simulador!$B$10)))</f>
        <v>0</v>
      </c>
    </row>
    <row r="13" spans="1:14" x14ac:dyDescent="0.25">
      <c r="A13" s="17">
        <f>A12+Simulador!$B$14</f>
        <v>22</v>
      </c>
      <c r="B13" s="18">
        <f>IF(OR((($A13-Simulador!$E$5)/Simulador!$G$5)&lt;=0,(($A13-Simulador!$E$5)/Simulador!$G$5)&gt;=1),0,IF((($A13-Simulador!$E$5)/Simulador!$G$5)&lt;Simulador!$B$11,Simulador!$B$9*(1-COS(PI()*(($A13-Simulador!$E$5)/Simulador!$G$5)/Simulador!$B$11))/2,IF((($A13-Simulador!$E$5)/Simulador!$G$5)&gt;1-Simulador!$B$11,Simulador!$B$9*(1-COS(PI()*(1-(($A13-Simulador!$E$5)/Simulador!$G$5))/Simulador!$B$11))/2,Simulador!$B$9)))</f>
        <v>0</v>
      </c>
      <c r="C13" s="18">
        <f>IF(OR((($A13-Simulador!$E$6)/Simulador!$G$6)&lt;=0,(($A13-Simulador!$E$6)/Simulador!$G$6)&gt;=1),0,IF((($A13-Simulador!$E$6)/Simulador!$G$6)&lt;Simulador!$B$11,Simulador!$B$9*(1-COS(PI()*(($A13-Simulador!$E$6)/Simulador!$G$6)/Simulador!$B$11))/2,IF((($A13-Simulador!$E$6)/Simulador!$G$6)&gt;1-Simulador!$B$11,Simulador!$B$9*(1-COS(PI()*(1-(($A13-Simulador!$E$6)/Simulador!$G$6))/Simulador!$B$11))/2,Simulador!$B$9)))</f>
        <v>0</v>
      </c>
      <c r="D13" s="18">
        <f>IF(OR((($A13-Simulador!$E$7)/Simulador!$G$7)&lt;=0,(($A13-Simulador!$E$7)/Simulador!$G$7)&gt;=1),0,IF((($A13-Simulador!$E$7)/Simulador!$G$7)&lt;Simulador!$B$11,Simulador!$B$9*(1-COS(PI()*(($A13-Simulador!$E$7)/Simulador!$G$7)/Simulador!$B$11))/2,IF((($A13-Simulador!$E$7)/Simulador!$G$7)&gt;1-Simulador!$B$11,Simulador!$B$9*(1-COS(PI()*(1-(($A13-Simulador!$E$7)/Simulador!$G$7))/Simulador!$B$11))/2,Simulador!$B$9)))</f>
        <v>0</v>
      </c>
      <c r="E13" s="18">
        <f>IF(OR((($A13-Simulador!$E$8)/Simulador!$G$8)&lt;=0,(($A13-Simulador!$E$8)/Simulador!$G$8)&gt;=1),0,IF((($A13-Simulador!$E$8)/Simulador!$G$8)&lt;Simulador!$B$11,Simulador!$B$10*(1-COS(PI()*(($A13-Simulador!$E$8)/Simulador!$G$8)/Simulador!$B$11))/2,IF((($A13-Simulador!$E$8)/Simulador!$G$8)&gt;1-Simulador!$B$11,Simulador!$B$10*(1-COS(PI()*(1-(($A13-Simulador!$E$8)/Simulador!$G$8))/Simulador!$B$11))/2,Simulador!$B$10)))</f>
        <v>0</v>
      </c>
      <c r="F13" s="18">
        <f>IF(OR((($A13-Simulador!$E$9)/Simulador!$G$9)&lt;=0,(($A13-Simulador!$E$9)/Simulador!$G$9)&gt;=1),0,IF((($A13-Simulador!$E$9)/Simulador!$G$9)&lt;Simulador!$B$11,Simulador!$B$10*(1-COS(PI()*(($A13-Simulador!$E$9)/Simulador!$G$9)/Simulador!$B$11))/2,IF((($A13-Simulador!$E$9)/Simulador!$G$9)&gt;1-Simulador!$B$11,Simulador!$B$10*(1-COS(PI()*(1-(($A13-Simulador!$E$9)/Simulador!$G$9))/Simulador!$B$11))/2,Simulador!$B$10)))</f>
        <v>0</v>
      </c>
      <c r="G13" s="18">
        <f>IF(OR((($A13-Simulador!$E$10)/Simulador!$G$10)&lt;=0,(($A13-Simulador!$E$10)/Simulador!$G$10)&gt;=1),0,IF((($A13-Simulador!$E$10)/Simulador!$G$10)&lt;Simulador!$B$11,Simulador!$B$10*(1-COS(PI()*(($A13-Simulador!$E$10)/Simulador!$G$10)/Simulador!$B$11))/2,IF((($A13-Simulador!$E$10)/Simulador!$G$10)&gt;1-Simulador!$B$11,Simulador!$B$10*(1-COS(PI()*(1-(($A13-Simulador!$E$10)/Simulador!$G$10))/Simulador!$B$11))/2,Simulador!$B$10)))</f>
        <v>0</v>
      </c>
      <c r="I13" s="2" t="s">
        <v>67</v>
      </c>
    </row>
    <row r="14" spans="1:14" x14ac:dyDescent="0.25">
      <c r="A14" s="17">
        <f>A13+Simulador!$B$14</f>
        <v>24</v>
      </c>
      <c r="B14" s="18">
        <f>IF(OR((($A14-Simulador!$E$5)/Simulador!$G$5)&lt;=0,(($A14-Simulador!$E$5)/Simulador!$G$5)&gt;=1),0,IF((($A14-Simulador!$E$5)/Simulador!$G$5)&lt;Simulador!$B$11,Simulador!$B$9*(1-COS(PI()*(($A14-Simulador!$E$5)/Simulador!$G$5)/Simulador!$B$11))/2,IF((($A14-Simulador!$E$5)/Simulador!$G$5)&gt;1-Simulador!$B$11,Simulador!$B$9*(1-COS(PI()*(1-(($A14-Simulador!$E$5)/Simulador!$G$5))/Simulador!$B$11))/2,Simulador!$B$9)))</f>
        <v>0</v>
      </c>
      <c r="C14" s="18">
        <f>IF(OR((($A14-Simulador!$E$6)/Simulador!$G$6)&lt;=0,(($A14-Simulador!$E$6)/Simulador!$G$6)&gt;=1),0,IF((($A14-Simulador!$E$6)/Simulador!$G$6)&lt;Simulador!$B$11,Simulador!$B$9*(1-COS(PI()*(($A14-Simulador!$E$6)/Simulador!$G$6)/Simulador!$B$11))/2,IF((($A14-Simulador!$E$6)/Simulador!$G$6)&gt;1-Simulador!$B$11,Simulador!$B$9*(1-COS(PI()*(1-(($A14-Simulador!$E$6)/Simulador!$G$6))/Simulador!$B$11))/2,Simulador!$B$9)))</f>
        <v>0</v>
      </c>
      <c r="D14" s="18">
        <f>IF(OR((($A14-Simulador!$E$7)/Simulador!$G$7)&lt;=0,(($A14-Simulador!$E$7)/Simulador!$G$7)&gt;=1),0,IF((($A14-Simulador!$E$7)/Simulador!$G$7)&lt;Simulador!$B$11,Simulador!$B$9*(1-COS(PI()*(($A14-Simulador!$E$7)/Simulador!$G$7)/Simulador!$B$11))/2,IF((($A14-Simulador!$E$7)/Simulador!$G$7)&gt;1-Simulador!$B$11,Simulador!$B$9*(1-COS(PI()*(1-(($A14-Simulador!$E$7)/Simulador!$G$7))/Simulador!$B$11))/2,Simulador!$B$9)))</f>
        <v>0</v>
      </c>
      <c r="E14" s="18">
        <f>IF(OR((($A14-Simulador!$E$8)/Simulador!$G$8)&lt;=0,(($A14-Simulador!$E$8)/Simulador!$G$8)&gt;=1),0,IF((($A14-Simulador!$E$8)/Simulador!$G$8)&lt;Simulador!$B$11,Simulador!$B$10*(1-COS(PI()*(($A14-Simulador!$E$8)/Simulador!$G$8)/Simulador!$B$11))/2,IF((($A14-Simulador!$E$8)/Simulador!$G$8)&gt;1-Simulador!$B$11,Simulador!$B$10*(1-COS(PI()*(1-(($A14-Simulador!$E$8)/Simulador!$G$8))/Simulador!$B$11))/2,Simulador!$B$10)))</f>
        <v>0</v>
      </c>
      <c r="F14" s="18">
        <f>IF(OR((($A14-Simulador!$E$9)/Simulador!$G$9)&lt;=0,(($A14-Simulador!$E$9)/Simulador!$G$9)&gt;=1),0,IF((($A14-Simulador!$E$9)/Simulador!$G$9)&lt;Simulador!$B$11,Simulador!$B$10*(1-COS(PI()*(($A14-Simulador!$E$9)/Simulador!$G$9)/Simulador!$B$11))/2,IF((($A14-Simulador!$E$9)/Simulador!$G$9)&gt;1-Simulador!$B$11,Simulador!$B$10*(1-COS(PI()*(1-(($A14-Simulador!$E$9)/Simulador!$G$9))/Simulador!$B$11))/2,Simulador!$B$10)))</f>
        <v>0</v>
      </c>
      <c r="G14" s="18">
        <f>IF(OR((($A14-Simulador!$E$10)/Simulador!$G$10)&lt;=0,(($A14-Simulador!$E$10)/Simulador!$G$10)&gt;=1),0,IF((($A14-Simulador!$E$10)/Simulador!$G$10)&lt;Simulador!$B$11,Simulador!$B$10*(1-COS(PI()*(($A14-Simulador!$E$10)/Simulador!$G$10)/Simulador!$B$11))/2,IF((($A14-Simulador!$E$10)/Simulador!$G$10)&gt;1-Simulador!$B$11,Simulador!$B$10*(1-COS(PI()*(1-(($A14-Simulador!$E$10)/Simulador!$G$10))/Simulador!$B$11))/2,Simulador!$B$10)))</f>
        <v>0</v>
      </c>
    </row>
    <row r="15" spans="1:14" x14ac:dyDescent="0.25">
      <c r="A15" s="17">
        <f>A14+Simulador!$B$14</f>
        <v>26</v>
      </c>
      <c r="B15" s="18">
        <f>IF(OR((($A15-Simulador!$E$5)/Simulador!$G$5)&lt;=0,(($A15-Simulador!$E$5)/Simulador!$G$5)&gt;=1),0,IF((($A15-Simulador!$E$5)/Simulador!$G$5)&lt;Simulador!$B$11,Simulador!$B$9*(1-COS(PI()*(($A15-Simulador!$E$5)/Simulador!$G$5)/Simulador!$B$11))/2,IF((($A15-Simulador!$E$5)/Simulador!$G$5)&gt;1-Simulador!$B$11,Simulador!$B$9*(1-COS(PI()*(1-(($A15-Simulador!$E$5)/Simulador!$G$5))/Simulador!$B$11))/2,Simulador!$B$9)))</f>
        <v>0</v>
      </c>
      <c r="C15" s="18">
        <f>IF(OR((($A15-Simulador!$E$6)/Simulador!$G$6)&lt;=0,(($A15-Simulador!$E$6)/Simulador!$G$6)&gt;=1),0,IF((($A15-Simulador!$E$6)/Simulador!$G$6)&lt;Simulador!$B$11,Simulador!$B$9*(1-COS(PI()*(($A15-Simulador!$E$6)/Simulador!$G$6)/Simulador!$B$11))/2,IF((($A15-Simulador!$E$6)/Simulador!$G$6)&gt;1-Simulador!$B$11,Simulador!$B$9*(1-COS(PI()*(1-(($A15-Simulador!$E$6)/Simulador!$G$6))/Simulador!$B$11))/2,Simulador!$B$9)))</f>
        <v>0</v>
      </c>
      <c r="D15" s="18">
        <f>IF(OR((($A15-Simulador!$E$7)/Simulador!$G$7)&lt;=0,(($A15-Simulador!$E$7)/Simulador!$G$7)&gt;=1),0,IF((($A15-Simulador!$E$7)/Simulador!$G$7)&lt;Simulador!$B$11,Simulador!$B$9*(1-COS(PI()*(($A15-Simulador!$E$7)/Simulador!$G$7)/Simulador!$B$11))/2,IF((($A15-Simulador!$E$7)/Simulador!$G$7)&gt;1-Simulador!$B$11,Simulador!$B$9*(1-COS(PI()*(1-(($A15-Simulador!$E$7)/Simulador!$G$7))/Simulador!$B$11))/2,Simulador!$B$9)))</f>
        <v>0</v>
      </c>
      <c r="E15" s="18">
        <f>IF(OR((($A15-Simulador!$E$8)/Simulador!$G$8)&lt;=0,(($A15-Simulador!$E$8)/Simulador!$G$8)&gt;=1),0,IF((($A15-Simulador!$E$8)/Simulador!$G$8)&lt;Simulador!$B$11,Simulador!$B$10*(1-COS(PI()*(($A15-Simulador!$E$8)/Simulador!$G$8)/Simulador!$B$11))/2,IF((($A15-Simulador!$E$8)/Simulador!$G$8)&gt;1-Simulador!$B$11,Simulador!$B$10*(1-COS(PI()*(1-(($A15-Simulador!$E$8)/Simulador!$G$8))/Simulador!$B$11))/2,Simulador!$B$10)))</f>
        <v>0</v>
      </c>
      <c r="F15" s="18">
        <f>IF(OR((($A15-Simulador!$E$9)/Simulador!$G$9)&lt;=0,(($A15-Simulador!$E$9)/Simulador!$G$9)&gt;=1),0,IF((($A15-Simulador!$E$9)/Simulador!$G$9)&lt;Simulador!$B$11,Simulador!$B$10*(1-COS(PI()*(($A15-Simulador!$E$9)/Simulador!$G$9)/Simulador!$B$11))/2,IF((($A15-Simulador!$E$9)/Simulador!$G$9)&gt;1-Simulador!$B$11,Simulador!$B$10*(1-COS(PI()*(1-(($A15-Simulador!$E$9)/Simulador!$G$9))/Simulador!$B$11))/2,Simulador!$B$10)))</f>
        <v>0</v>
      </c>
      <c r="G15" s="18">
        <f>IF(OR((($A15-Simulador!$E$10)/Simulador!$G$10)&lt;=0,(($A15-Simulador!$E$10)/Simulador!$G$10)&gt;=1),0,IF((($A15-Simulador!$E$10)/Simulador!$G$10)&lt;Simulador!$B$11,Simulador!$B$10*(1-COS(PI()*(($A15-Simulador!$E$10)/Simulador!$G$10)/Simulador!$B$11))/2,IF((($A15-Simulador!$E$10)/Simulador!$G$10)&gt;1-Simulador!$B$11,Simulador!$B$10*(1-COS(PI()*(1-(($A15-Simulador!$E$10)/Simulador!$G$10))/Simulador!$B$11))/2,Simulador!$B$10)))</f>
        <v>0</v>
      </c>
    </row>
    <row r="16" spans="1:14" x14ac:dyDescent="0.25">
      <c r="A16" s="17">
        <f>A15+Simulador!$B$14</f>
        <v>28</v>
      </c>
      <c r="B16" s="18">
        <f>IF(OR((($A16-Simulador!$E$5)/Simulador!$G$5)&lt;=0,(($A16-Simulador!$E$5)/Simulador!$G$5)&gt;=1),0,IF((($A16-Simulador!$E$5)/Simulador!$G$5)&lt;Simulador!$B$11,Simulador!$B$9*(1-COS(PI()*(($A16-Simulador!$E$5)/Simulador!$G$5)/Simulador!$B$11))/2,IF((($A16-Simulador!$E$5)/Simulador!$G$5)&gt;1-Simulador!$B$11,Simulador!$B$9*(1-COS(PI()*(1-(($A16-Simulador!$E$5)/Simulador!$G$5))/Simulador!$B$11))/2,Simulador!$B$9)))</f>
        <v>0</v>
      </c>
      <c r="C16" s="18">
        <f>IF(OR((($A16-Simulador!$E$6)/Simulador!$G$6)&lt;=0,(($A16-Simulador!$E$6)/Simulador!$G$6)&gt;=1),0,IF((($A16-Simulador!$E$6)/Simulador!$G$6)&lt;Simulador!$B$11,Simulador!$B$9*(1-COS(PI()*(($A16-Simulador!$E$6)/Simulador!$G$6)/Simulador!$B$11))/2,IF((($A16-Simulador!$E$6)/Simulador!$G$6)&gt;1-Simulador!$B$11,Simulador!$B$9*(1-COS(PI()*(1-(($A16-Simulador!$E$6)/Simulador!$G$6))/Simulador!$B$11))/2,Simulador!$B$9)))</f>
        <v>0</v>
      </c>
      <c r="D16" s="18">
        <f>IF(OR((($A16-Simulador!$E$7)/Simulador!$G$7)&lt;=0,(($A16-Simulador!$E$7)/Simulador!$G$7)&gt;=1),0,IF((($A16-Simulador!$E$7)/Simulador!$G$7)&lt;Simulador!$B$11,Simulador!$B$9*(1-COS(PI()*(($A16-Simulador!$E$7)/Simulador!$G$7)/Simulador!$B$11))/2,IF((($A16-Simulador!$E$7)/Simulador!$G$7)&gt;1-Simulador!$B$11,Simulador!$B$9*(1-COS(PI()*(1-(($A16-Simulador!$E$7)/Simulador!$G$7))/Simulador!$B$11))/2,Simulador!$B$9)))</f>
        <v>0</v>
      </c>
      <c r="E16" s="18">
        <f>IF(OR((($A16-Simulador!$E$8)/Simulador!$G$8)&lt;=0,(($A16-Simulador!$E$8)/Simulador!$G$8)&gt;=1),0,IF((($A16-Simulador!$E$8)/Simulador!$G$8)&lt;Simulador!$B$11,Simulador!$B$10*(1-COS(PI()*(($A16-Simulador!$E$8)/Simulador!$G$8)/Simulador!$B$11))/2,IF((($A16-Simulador!$E$8)/Simulador!$G$8)&gt;1-Simulador!$B$11,Simulador!$B$10*(1-COS(PI()*(1-(($A16-Simulador!$E$8)/Simulador!$G$8))/Simulador!$B$11))/2,Simulador!$B$10)))</f>
        <v>0</v>
      </c>
      <c r="F16" s="18">
        <f>IF(OR((($A16-Simulador!$E$9)/Simulador!$G$9)&lt;=0,(($A16-Simulador!$E$9)/Simulador!$G$9)&gt;=1),0,IF((($A16-Simulador!$E$9)/Simulador!$G$9)&lt;Simulador!$B$11,Simulador!$B$10*(1-COS(PI()*(($A16-Simulador!$E$9)/Simulador!$G$9)/Simulador!$B$11))/2,IF((($A16-Simulador!$E$9)/Simulador!$G$9)&gt;1-Simulador!$B$11,Simulador!$B$10*(1-COS(PI()*(1-(($A16-Simulador!$E$9)/Simulador!$G$9))/Simulador!$B$11))/2,Simulador!$B$10)))</f>
        <v>0</v>
      </c>
      <c r="G16" s="18">
        <f>IF(OR((($A16-Simulador!$E$10)/Simulador!$G$10)&lt;=0,(($A16-Simulador!$E$10)/Simulador!$G$10)&gt;=1),0,IF((($A16-Simulador!$E$10)/Simulador!$G$10)&lt;Simulador!$B$11,Simulador!$B$10*(1-COS(PI()*(($A16-Simulador!$E$10)/Simulador!$G$10)/Simulador!$B$11))/2,IF((($A16-Simulador!$E$10)/Simulador!$G$10)&gt;1-Simulador!$B$11,Simulador!$B$10*(1-COS(PI()*(1-(($A16-Simulador!$E$10)/Simulador!$G$10))/Simulador!$B$11))/2,Simulador!$B$10)))</f>
        <v>0</v>
      </c>
    </row>
    <row r="17" spans="1:7" x14ac:dyDescent="0.25">
      <c r="A17" s="17">
        <f>A16+Simulador!$B$14</f>
        <v>30</v>
      </c>
      <c r="B17" s="18">
        <f>IF(OR((($A17-Simulador!$E$5)/Simulador!$G$5)&lt;=0,(($A17-Simulador!$E$5)/Simulador!$G$5)&gt;=1),0,IF((($A17-Simulador!$E$5)/Simulador!$G$5)&lt;Simulador!$B$11,Simulador!$B$9*(1-COS(PI()*(($A17-Simulador!$E$5)/Simulador!$G$5)/Simulador!$B$11))/2,IF((($A17-Simulador!$E$5)/Simulador!$G$5)&gt;1-Simulador!$B$11,Simulador!$B$9*(1-COS(PI()*(1-(($A17-Simulador!$E$5)/Simulador!$G$5))/Simulador!$B$11))/2,Simulador!$B$9)))</f>
        <v>0</v>
      </c>
      <c r="C17" s="18">
        <f>IF(OR((($A17-Simulador!$E$6)/Simulador!$G$6)&lt;=0,(($A17-Simulador!$E$6)/Simulador!$G$6)&gt;=1),0,IF((($A17-Simulador!$E$6)/Simulador!$G$6)&lt;Simulador!$B$11,Simulador!$B$9*(1-COS(PI()*(($A17-Simulador!$E$6)/Simulador!$G$6)/Simulador!$B$11))/2,IF((($A17-Simulador!$E$6)/Simulador!$G$6)&gt;1-Simulador!$B$11,Simulador!$B$9*(1-COS(PI()*(1-(($A17-Simulador!$E$6)/Simulador!$G$6))/Simulador!$B$11))/2,Simulador!$B$9)))</f>
        <v>0</v>
      </c>
      <c r="D17" s="18">
        <f>IF(OR((($A17-Simulador!$E$7)/Simulador!$G$7)&lt;=0,(($A17-Simulador!$E$7)/Simulador!$G$7)&gt;=1),0,IF((($A17-Simulador!$E$7)/Simulador!$G$7)&lt;Simulador!$B$11,Simulador!$B$9*(1-COS(PI()*(($A17-Simulador!$E$7)/Simulador!$G$7)/Simulador!$B$11))/2,IF((($A17-Simulador!$E$7)/Simulador!$G$7)&gt;1-Simulador!$B$11,Simulador!$B$9*(1-COS(PI()*(1-(($A17-Simulador!$E$7)/Simulador!$G$7))/Simulador!$B$11))/2,Simulador!$B$9)))</f>
        <v>0</v>
      </c>
      <c r="E17" s="18">
        <f>IF(OR((($A17-Simulador!$E$8)/Simulador!$G$8)&lt;=0,(($A17-Simulador!$E$8)/Simulador!$G$8)&gt;=1),0,IF((($A17-Simulador!$E$8)/Simulador!$G$8)&lt;Simulador!$B$11,Simulador!$B$10*(1-COS(PI()*(($A17-Simulador!$E$8)/Simulador!$G$8)/Simulador!$B$11))/2,IF((($A17-Simulador!$E$8)/Simulador!$G$8)&gt;1-Simulador!$B$11,Simulador!$B$10*(1-COS(PI()*(1-(($A17-Simulador!$E$8)/Simulador!$G$8))/Simulador!$B$11))/2,Simulador!$B$10)))</f>
        <v>0</v>
      </c>
      <c r="F17" s="18">
        <f>IF(OR((($A17-Simulador!$E$9)/Simulador!$G$9)&lt;=0,(($A17-Simulador!$E$9)/Simulador!$G$9)&gt;=1),0,IF((($A17-Simulador!$E$9)/Simulador!$G$9)&lt;Simulador!$B$11,Simulador!$B$10*(1-COS(PI()*(($A17-Simulador!$E$9)/Simulador!$G$9)/Simulador!$B$11))/2,IF((($A17-Simulador!$E$9)/Simulador!$G$9)&gt;1-Simulador!$B$11,Simulador!$B$10*(1-COS(PI()*(1-(($A17-Simulador!$E$9)/Simulador!$G$9))/Simulador!$B$11))/2,Simulador!$B$10)))</f>
        <v>0</v>
      </c>
      <c r="G17" s="18">
        <f>IF(OR((($A17-Simulador!$E$10)/Simulador!$G$10)&lt;=0,(($A17-Simulador!$E$10)/Simulador!$G$10)&gt;=1),0,IF((($A17-Simulador!$E$10)/Simulador!$G$10)&lt;Simulador!$B$11,Simulador!$B$10*(1-COS(PI()*(($A17-Simulador!$E$10)/Simulador!$G$10)/Simulador!$B$11))/2,IF((($A17-Simulador!$E$10)/Simulador!$G$10)&gt;1-Simulador!$B$11,Simulador!$B$10*(1-COS(PI()*(1-(($A17-Simulador!$E$10)/Simulador!$G$10))/Simulador!$B$11))/2,Simulador!$B$10)))</f>
        <v>0</v>
      </c>
    </row>
    <row r="18" spans="1:7" x14ac:dyDescent="0.25">
      <c r="A18" s="17">
        <f>A17+Simulador!$B$14</f>
        <v>32</v>
      </c>
      <c r="B18" s="18">
        <f>IF(OR((($A18-Simulador!$E$5)/Simulador!$G$5)&lt;=0,(($A18-Simulador!$E$5)/Simulador!$G$5)&gt;=1),0,IF((($A18-Simulador!$E$5)/Simulador!$G$5)&lt;Simulador!$B$11,Simulador!$B$9*(1-COS(PI()*(($A18-Simulador!$E$5)/Simulador!$G$5)/Simulador!$B$11))/2,IF((($A18-Simulador!$E$5)/Simulador!$G$5)&gt;1-Simulador!$B$11,Simulador!$B$9*(1-COS(PI()*(1-(($A18-Simulador!$E$5)/Simulador!$G$5))/Simulador!$B$11))/2,Simulador!$B$9)))</f>
        <v>0</v>
      </c>
      <c r="C18" s="18">
        <f>IF(OR((($A18-Simulador!$E$6)/Simulador!$G$6)&lt;=0,(($A18-Simulador!$E$6)/Simulador!$G$6)&gt;=1),0,IF((($A18-Simulador!$E$6)/Simulador!$G$6)&lt;Simulador!$B$11,Simulador!$B$9*(1-COS(PI()*(($A18-Simulador!$E$6)/Simulador!$G$6)/Simulador!$B$11))/2,IF((($A18-Simulador!$E$6)/Simulador!$G$6)&gt;1-Simulador!$B$11,Simulador!$B$9*(1-COS(PI()*(1-(($A18-Simulador!$E$6)/Simulador!$G$6))/Simulador!$B$11))/2,Simulador!$B$9)))</f>
        <v>0</v>
      </c>
      <c r="D18" s="18">
        <f>IF(OR((($A18-Simulador!$E$7)/Simulador!$G$7)&lt;=0,(($A18-Simulador!$E$7)/Simulador!$G$7)&gt;=1),0,IF((($A18-Simulador!$E$7)/Simulador!$G$7)&lt;Simulador!$B$11,Simulador!$B$9*(1-COS(PI()*(($A18-Simulador!$E$7)/Simulador!$G$7)/Simulador!$B$11))/2,IF((($A18-Simulador!$E$7)/Simulador!$G$7)&gt;1-Simulador!$B$11,Simulador!$B$9*(1-COS(PI()*(1-(($A18-Simulador!$E$7)/Simulador!$G$7))/Simulador!$B$11))/2,Simulador!$B$9)))</f>
        <v>0</v>
      </c>
      <c r="E18" s="18">
        <f>IF(OR((($A18-Simulador!$E$8)/Simulador!$G$8)&lt;=0,(($A18-Simulador!$E$8)/Simulador!$G$8)&gt;=1),0,IF((($A18-Simulador!$E$8)/Simulador!$G$8)&lt;Simulador!$B$11,Simulador!$B$10*(1-COS(PI()*(($A18-Simulador!$E$8)/Simulador!$G$8)/Simulador!$B$11))/2,IF((($A18-Simulador!$E$8)/Simulador!$G$8)&gt;1-Simulador!$B$11,Simulador!$B$10*(1-COS(PI()*(1-(($A18-Simulador!$E$8)/Simulador!$G$8))/Simulador!$B$11))/2,Simulador!$B$10)))</f>
        <v>0</v>
      </c>
      <c r="F18" s="18">
        <f>IF(OR((($A18-Simulador!$E$9)/Simulador!$G$9)&lt;=0,(($A18-Simulador!$E$9)/Simulador!$G$9)&gt;=1),0,IF((($A18-Simulador!$E$9)/Simulador!$G$9)&lt;Simulador!$B$11,Simulador!$B$10*(1-COS(PI()*(($A18-Simulador!$E$9)/Simulador!$G$9)/Simulador!$B$11))/2,IF((($A18-Simulador!$E$9)/Simulador!$G$9)&gt;1-Simulador!$B$11,Simulador!$B$10*(1-COS(PI()*(1-(($A18-Simulador!$E$9)/Simulador!$G$9))/Simulador!$B$11))/2,Simulador!$B$10)))</f>
        <v>0</v>
      </c>
      <c r="G18" s="18">
        <f>IF(OR((($A18-Simulador!$E$10)/Simulador!$G$10)&lt;=0,(($A18-Simulador!$E$10)/Simulador!$G$10)&gt;=1),0,IF((($A18-Simulador!$E$10)/Simulador!$G$10)&lt;Simulador!$B$11,Simulador!$B$10*(1-COS(PI()*(($A18-Simulador!$E$10)/Simulador!$G$10)/Simulador!$B$11))/2,IF((($A18-Simulador!$E$10)/Simulador!$G$10)&gt;1-Simulador!$B$11,Simulador!$B$10*(1-COS(PI()*(1-(($A18-Simulador!$E$10)/Simulador!$G$10))/Simulador!$B$11))/2,Simulador!$B$10)))</f>
        <v>0</v>
      </c>
    </row>
    <row r="19" spans="1:7" x14ac:dyDescent="0.25">
      <c r="A19" s="17">
        <f>A18+Simulador!$B$14</f>
        <v>34</v>
      </c>
      <c r="B19" s="18">
        <f>IF(OR((($A19-Simulador!$E$5)/Simulador!$G$5)&lt;=0,(($A19-Simulador!$E$5)/Simulador!$G$5)&gt;=1),0,IF((($A19-Simulador!$E$5)/Simulador!$G$5)&lt;Simulador!$B$11,Simulador!$B$9*(1-COS(PI()*(($A19-Simulador!$E$5)/Simulador!$G$5)/Simulador!$B$11))/2,IF((($A19-Simulador!$E$5)/Simulador!$G$5)&gt;1-Simulador!$B$11,Simulador!$B$9*(1-COS(PI()*(1-(($A19-Simulador!$E$5)/Simulador!$G$5))/Simulador!$B$11))/2,Simulador!$B$9)))</f>
        <v>0</v>
      </c>
      <c r="C19" s="18">
        <f>IF(OR((($A19-Simulador!$E$6)/Simulador!$G$6)&lt;=0,(($A19-Simulador!$E$6)/Simulador!$G$6)&gt;=1),0,IF((($A19-Simulador!$E$6)/Simulador!$G$6)&lt;Simulador!$B$11,Simulador!$B$9*(1-COS(PI()*(($A19-Simulador!$E$6)/Simulador!$G$6)/Simulador!$B$11))/2,IF((($A19-Simulador!$E$6)/Simulador!$G$6)&gt;1-Simulador!$B$11,Simulador!$B$9*(1-COS(PI()*(1-(($A19-Simulador!$E$6)/Simulador!$G$6))/Simulador!$B$11))/2,Simulador!$B$9)))</f>
        <v>0</v>
      </c>
      <c r="D19" s="18">
        <f>IF(OR((($A19-Simulador!$E$7)/Simulador!$G$7)&lt;=0,(($A19-Simulador!$E$7)/Simulador!$G$7)&gt;=1),0,IF((($A19-Simulador!$E$7)/Simulador!$G$7)&lt;Simulador!$B$11,Simulador!$B$9*(1-COS(PI()*(($A19-Simulador!$E$7)/Simulador!$G$7)/Simulador!$B$11))/2,IF((($A19-Simulador!$E$7)/Simulador!$G$7)&gt;1-Simulador!$B$11,Simulador!$B$9*(1-COS(PI()*(1-(($A19-Simulador!$E$7)/Simulador!$G$7))/Simulador!$B$11))/2,Simulador!$B$9)))</f>
        <v>0</v>
      </c>
      <c r="E19" s="18">
        <f>IF(OR((($A19-Simulador!$E$8)/Simulador!$G$8)&lt;=0,(($A19-Simulador!$E$8)/Simulador!$G$8)&gt;=1),0,IF((($A19-Simulador!$E$8)/Simulador!$G$8)&lt;Simulador!$B$11,Simulador!$B$10*(1-COS(PI()*(($A19-Simulador!$E$8)/Simulador!$G$8)/Simulador!$B$11))/2,IF((($A19-Simulador!$E$8)/Simulador!$G$8)&gt;1-Simulador!$B$11,Simulador!$B$10*(1-COS(PI()*(1-(($A19-Simulador!$E$8)/Simulador!$G$8))/Simulador!$B$11))/2,Simulador!$B$10)))</f>
        <v>0</v>
      </c>
      <c r="F19" s="18">
        <f>IF(OR((($A19-Simulador!$E$9)/Simulador!$G$9)&lt;=0,(($A19-Simulador!$E$9)/Simulador!$G$9)&gt;=1),0,IF((($A19-Simulador!$E$9)/Simulador!$G$9)&lt;Simulador!$B$11,Simulador!$B$10*(1-COS(PI()*(($A19-Simulador!$E$9)/Simulador!$G$9)/Simulador!$B$11))/2,IF((($A19-Simulador!$E$9)/Simulador!$G$9)&gt;1-Simulador!$B$11,Simulador!$B$10*(1-COS(PI()*(1-(($A19-Simulador!$E$9)/Simulador!$G$9))/Simulador!$B$11))/2,Simulador!$B$10)))</f>
        <v>0</v>
      </c>
      <c r="G19" s="18">
        <f>IF(OR((($A19-Simulador!$E$10)/Simulador!$G$10)&lt;=0,(($A19-Simulador!$E$10)/Simulador!$G$10)&gt;=1),0,IF((($A19-Simulador!$E$10)/Simulador!$G$10)&lt;Simulador!$B$11,Simulador!$B$10*(1-COS(PI()*(($A19-Simulador!$E$10)/Simulador!$G$10)/Simulador!$B$11))/2,IF((($A19-Simulador!$E$10)/Simulador!$G$10)&gt;1-Simulador!$B$11,Simulador!$B$10*(1-COS(PI()*(1-(($A19-Simulador!$E$10)/Simulador!$G$10))/Simulador!$B$11))/2,Simulador!$B$10)))</f>
        <v>0</v>
      </c>
    </row>
    <row r="20" spans="1:7" x14ac:dyDescent="0.25">
      <c r="A20" s="17">
        <f>A19+Simulador!$B$14</f>
        <v>36</v>
      </c>
      <c r="B20" s="18">
        <f>IF(OR((($A20-Simulador!$E$5)/Simulador!$G$5)&lt;=0,(($A20-Simulador!$E$5)/Simulador!$G$5)&gt;=1),0,IF((($A20-Simulador!$E$5)/Simulador!$G$5)&lt;Simulador!$B$11,Simulador!$B$9*(1-COS(PI()*(($A20-Simulador!$E$5)/Simulador!$G$5)/Simulador!$B$11))/2,IF((($A20-Simulador!$E$5)/Simulador!$G$5)&gt;1-Simulador!$B$11,Simulador!$B$9*(1-COS(PI()*(1-(($A20-Simulador!$E$5)/Simulador!$G$5))/Simulador!$B$11))/2,Simulador!$B$9)))</f>
        <v>0</v>
      </c>
      <c r="C20" s="18">
        <f>IF(OR((($A20-Simulador!$E$6)/Simulador!$G$6)&lt;=0,(($A20-Simulador!$E$6)/Simulador!$G$6)&gt;=1),0,IF((($A20-Simulador!$E$6)/Simulador!$G$6)&lt;Simulador!$B$11,Simulador!$B$9*(1-COS(PI()*(($A20-Simulador!$E$6)/Simulador!$G$6)/Simulador!$B$11))/2,IF((($A20-Simulador!$E$6)/Simulador!$G$6)&gt;1-Simulador!$B$11,Simulador!$B$9*(1-COS(PI()*(1-(($A20-Simulador!$E$6)/Simulador!$G$6))/Simulador!$B$11))/2,Simulador!$B$9)))</f>
        <v>0</v>
      </c>
      <c r="D20" s="18">
        <f>IF(OR((($A20-Simulador!$E$7)/Simulador!$G$7)&lt;=0,(($A20-Simulador!$E$7)/Simulador!$G$7)&gt;=1),0,IF((($A20-Simulador!$E$7)/Simulador!$G$7)&lt;Simulador!$B$11,Simulador!$B$9*(1-COS(PI()*(($A20-Simulador!$E$7)/Simulador!$G$7)/Simulador!$B$11))/2,IF((($A20-Simulador!$E$7)/Simulador!$G$7)&gt;1-Simulador!$B$11,Simulador!$B$9*(1-COS(PI()*(1-(($A20-Simulador!$E$7)/Simulador!$G$7))/Simulador!$B$11))/2,Simulador!$B$9)))</f>
        <v>0</v>
      </c>
      <c r="E20" s="18">
        <f>IF(OR((($A20-Simulador!$E$8)/Simulador!$G$8)&lt;=0,(($A20-Simulador!$E$8)/Simulador!$G$8)&gt;=1),0,IF((($A20-Simulador!$E$8)/Simulador!$G$8)&lt;Simulador!$B$11,Simulador!$B$10*(1-COS(PI()*(($A20-Simulador!$E$8)/Simulador!$G$8)/Simulador!$B$11))/2,IF((($A20-Simulador!$E$8)/Simulador!$G$8)&gt;1-Simulador!$B$11,Simulador!$B$10*(1-COS(PI()*(1-(($A20-Simulador!$E$8)/Simulador!$G$8))/Simulador!$B$11))/2,Simulador!$B$10)))</f>
        <v>0</v>
      </c>
      <c r="F20" s="18">
        <f>IF(OR((($A20-Simulador!$E$9)/Simulador!$G$9)&lt;=0,(($A20-Simulador!$E$9)/Simulador!$G$9)&gt;=1),0,IF((($A20-Simulador!$E$9)/Simulador!$G$9)&lt;Simulador!$B$11,Simulador!$B$10*(1-COS(PI()*(($A20-Simulador!$E$9)/Simulador!$G$9)/Simulador!$B$11))/2,IF((($A20-Simulador!$E$9)/Simulador!$G$9)&gt;1-Simulador!$B$11,Simulador!$B$10*(1-COS(PI()*(1-(($A20-Simulador!$E$9)/Simulador!$G$9))/Simulador!$B$11))/2,Simulador!$B$10)))</f>
        <v>0</v>
      </c>
      <c r="G20" s="18">
        <f>IF(OR((($A20-Simulador!$E$10)/Simulador!$G$10)&lt;=0,(($A20-Simulador!$E$10)/Simulador!$G$10)&gt;=1),0,IF((($A20-Simulador!$E$10)/Simulador!$G$10)&lt;Simulador!$B$11,Simulador!$B$10*(1-COS(PI()*(($A20-Simulador!$E$10)/Simulador!$G$10)/Simulador!$B$11))/2,IF((($A20-Simulador!$E$10)/Simulador!$G$10)&gt;1-Simulador!$B$11,Simulador!$B$10*(1-COS(PI()*(1-(($A20-Simulador!$E$10)/Simulador!$G$10))/Simulador!$B$11))/2,Simulador!$B$10)))</f>
        <v>0</v>
      </c>
    </row>
    <row r="21" spans="1:7" x14ac:dyDescent="0.25">
      <c r="A21" s="17">
        <f>A20+Simulador!$B$14</f>
        <v>38</v>
      </c>
      <c r="B21" s="18">
        <f>IF(OR((($A21-Simulador!$E$5)/Simulador!$G$5)&lt;=0,(($A21-Simulador!$E$5)/Simulador!$G$5)&gt;=1),0,IF((($A21-Simulador!$E$5)/Simulador!$G$5)&lt;Simulador!$B$11,Simulador!$B$9*(1-COS(PI()*(($A21-Simulador!$E$5)/Simulador!$G$5)/Simulador!$B$11))/2,IF((($A21-Simulador!$E$5)/Simulador!$G$5)&gt;1-Simulador!$B$11,Simulador!$B$9*(1-COS(PI()*(1-(($A21-Simulador!$E$5)/Simulador!$G$5))/Simulador!$B$11))/2,Simulador!$B$9)))</f>
        <v>0</v>
      </c>
      <c r="C21" s="18">
        <f>IF(OR((($A21-Simulador!$E$6)/Simulador!$G$6)&lt;=0,(($A21-Simulador!$E$6)/Simulador!$G$6)&gt;=1),0,IF((($A21-Simulador!$E$6)/Simulador!$G$6)&lt;Simulador!$B$11,Simulador!$B$9*(1-COS(PI()*(($A21-Simulador!$E$6)/Simulador!$G$6)/Simulador!$B$11))/2,IF((($A21-Simulador!$E$6)/Simulador!$G$6)&gt;1-Simulador!$B$11,Simulador!$B$9*(1-COS(PI()*(1-(($A21-Simulador!$E$6)/Simulador!$G$6))/Simulador!$B$11))/2,Simulador!$B$9)))</f>
        <v>0</v>
      </c>
      <c r="D21" s="18">
        <f>IF(OR((($A21-Simulador!$E$7)/Simulador!$G$7)&lt;=0,(($A21-Simulador!$E$7)/Simulador!$G$7)&gt;=1),0,IF((($A21-Simulador!$E$7)/Simulador!$G$7)&lt;Simulador!$B$11,Simulador!$B$9*(1-COS(PI()*(($A21-Simulador!$E$7)/Simulador!$G$7)/Simulador!$B$11))/2,IF((($A21-Simulador!$E$7)/Simulador!$G$7)&gt;1-Simulador!$B$11,Simulador!$B$9*(1-COS(PI()*(1-(($A21-Simulador!$E$7)/Simulador!$G$7))/Simulador!$B$11))/2,Simulador!$B$9)))</f>
        <v>0</v>
      </c>
      <c r="E21" s="18">
        <f>IF(OR((($A21-Simulador!$E$8)/Simulador!$G$8)&lt;=0,(($A21-Simulador!$E$8)/Simulador!$G$8)&gt;=1),0,IF((($A21-Simulador!$E$8)/Simulador!$G$8)&lt;Simulador!$B$11,Simulador!$B$10*(1-COS(PI()*(($A21-Simulador!$E$8)/Simulador!$G$8)/Simulador!$B$11))/2,IF((($A21-Simulador!$E$8)/Simulador!$G$8)&gt;1-Simulador!$B$11,Simulador!$B$10*(1-COS(PI()*(1-(($A21-Simulador!$E$8)/Simulador!$G$8))/Simulador!$B$11))/2,Simulador!$B$10)))</f>
        <v>0</v>
      </c>
      <c r="F21" s="18">
        <f>IF(OR((($A21-Simulador!$E$9)/Simulador!$G$9)&lt;=0,(($A21-Simulador!$E$9)/Simulador!$G$9)&gt;=1),0,IF((($A21-Simulador!$E$9)/Simulador!$G$9)&lt;Simulador!$B$11,Simulador!$B$10*(1-COS(PI()*(($A21-Simulador!$E$9)/Simulador!$G$9)/Simulador!$B$11))/2,IF((($A21-Simulador!$E$9)/Simulador!$G$9)&gt;1-Simulador!$B$11,Simulador!$B$10*(1-COS(PI()*(1-(($A21-Simulador!$E$9)/Simulador!$G$9))/Simulador!$B$11))/2,Simulador!$B$10)))</f>
        <v>0</v>
      </c>
      <c r="G21" s="18">
        <f>IF(OR((($A21-Simulador!$E$10)/Simulador!$G$10)&lt;=0,(($A21-Simulador!$E$10)/Simulador!$G$10)&gt;=1),0,IF((($A21-Simulador!$E$10)/Simulador!$G$10)&lt;Simulador!$B$11,Simulador!$B$10*(1-COS(PI()*(($A21-Simulador!$E$10)/Simulador!$G$10)/Simulador!$B$11))/2,IF((($A21-Simulador!$E$10)/Simulador!$G$10)&gt;1-Simulador!$B$11,Simulador!$B$10*(1-COS(PI()*(1-(($A21-Simulador!$E$10)/Simulador!$G$10))/Simulador!$B$11))/2,Simulador!$B$10)))</f>
        <v>0</v>
      </c>
    </row>
    <row r="22" spans="1:7" x14ac:dyDescent="0.25">
      <c r="A22" s="17">
        <f>A21+Simulador!$B$14</f>
        <v>40</v>
      </c>
      <c r="B22" s="18">
        <f>IF(OR((($A22-Simulador!$E$5)/Simulador!$G$5)&lt;=0,(($A22-Simulador!$E$5)/Simulador!$G$5)&gt;=1),0,IF((($A22-Simulador!$E$5)/Simulador!$G$5)&lt;Simulador!$B$11,Simulador!$B$9*(1-COS(PI()*(($A22-Simulador!$E$5)/Simulador!$G$5)/Simulador!$B$11))/2,IF((($A22-Simulador!$E$5)/Simulador!$G$5)&gt;1-Simulador!$B$11,Simulador!$B$9*(1-COS(PI()*(1-(($A22-Simulador!$E$5)/Simulador!$G$5))/Simulador!$B$11))/2,Simulador!$B$9)))</f>
        <v>0</v>
      </c>
      <c r="C22" s="18">
        <f>IF(OR((($A22-Simulador!$E$6)/Simulador!$G$6)&lt;=0,(($A22-Simulador!$E$6)/Simulador!$G$6)&gt;=1),0,IF((($A22-Simulador!$E$6)/Simulador!$G$6)&lt;Simulador!$B$11,Simulador!$B$9*(1-COS(PI()*(($A22-Simulador!$E$6)/Simulador!$G$6)/Simulador!$B$11))/2,IF((($A22-Simulador!$E$6)/Simulador!$G$6)&gt;1-Simulador!$B$11,Simulador!$B$9*(1-COS(PI()*(1-(($A22-Simulador!$E$6)/Simulador!$G$6))/Simulador!$B$11))/2,Simulador!$B$9)))</f>
        <v>0</v>
      </c>
      <c r="D22" s="18">
        <f>IF(OR((($A22-Simulador!$E$7)/Simulador!$G$7)&lt;=0,(($A22-Simulador!$E$7)/Simulador!$G$7)&gt;=1),0,IF((($A22-Simulador!$E$7)/Simulador!$G$7)&lt;Simulador!$B$11,Simulador!$B$9*(1-COS(PI()*(($A22-Simulador!$E$7)/Simulador!$G$7)/Simulador!$B$11))/2,IF((($A22-Simulador!$E$7)/Simulador!$G$7)&gt;1-Simulador!$B$11,Simulador!$B$9*(1-COS(PI()*(1-(($A22-Simulador!$E$7)/Simulador!$G$7))/Simulador!$B$11))/2,Simulador!$B$9)))</f>
        <v>0</v>
      </c>
      <c r="E22" s="18">
        <f>IF(OR((($A22-Simulador!$E$8)/Simulador!$G$8)&lt;=0,(($A22-Simulador!$E$8)/Simulador!$G$8)&gt;=1),0,IF((($A22-Simulador!$E$8)/Simulador!$G$8)&lt;Simulador!$B$11,Simulador!$B$10*(1-COS(PI()*(($A22-Simulador!$E$8)/Simulador!$G$8)/Simulador!$B$11))/2,IF((($A22-Simulador!$E$8)/Simulador!$G$8)&gt;1-Simulador!$B$11,Simulador!$B$10*(1-COS(PI()*(1-(($A22-Simulador!$E$8)/Simulador!$G$8))/Simulador!$B$11))/2,Simulador!$B$10)))</f>
        <v>0</v>
      </c>
      <c r="F22" s="18">
        <f>IF(OR((($A22-Simulador!$E$9)/Simulador!$G$9)&lt;=0,(($A22-Simulador!$E$9)/Simulador!$G$9)&gt;=1),0,IF((($A22-Simulador!$E$9)/Simulador!$G$9)&lt;Simulador!$B$11,Simulador!$B$10*(1-COS(PI()*(($A22-Simulador!$E$9)/Simulador!$G$9)/Simulador!$B$11))/2,IF((($A22-Simulador!$E$9)/Simulador!$G$9)&gt;1-Simulador!$B$11,Simulador!$B$10*(1-COS(PI()*(1-(($A22-Simulador!$E$9)/Simulador!$G$9))/Simulador!$B$11))/2,Simulador!$B$10)))</f>
        <v>0</v>
      </c>
      <c r="G22" s="18">
        <f>IF(OR((($A22-Simulador!$E$10)/Simulador!$G$10)&lt;=0,(($A22-Simulador!$E$10)/Simulador!$G$10)&gt;=1),0,IF((($A22-Simulador!$E$10)/Simulador!$G$10)&lt;Simulador!$B$11,Simulador!$B$10*(1-COS(PI()*(($A22-Simulador!$E$10)/Simulador!$G$10)/Simulador!$B$11))/2,IF((($A22-Simulador!$E$10)/Simulador!$G$10)&gt;1-Simulador!$B$11,Simulador!$B$10*(1-COS(PI()*(1-(($A22-Simulador!$E$10)/Simulador!$G$10))/Simulador!$B$11))/2,Simulador!$B$10)))</f>
        <v>0</v>
      </c>
    </row>
    <row r="23" spans="1:7" x14ac:dyDescent="0.25">
      <c r="A23" s="17">
        <f>A22+Simulador!$B$14</f>
        <v>42</v>
      </c>
      <c r="B23" s="18">
        <f>IF(OR((($A23-Simulador!$E$5)/Simulador!$G$5)&lt;=0,(($A23-Simulador!$E$5)/Simulador!$G$5)&gt;=1),0,IF((($A23-Simulador!$E$5)/Simulador!$G$5)&lt;Simulador!$B$11,Simulador!$B$9*(1-COS(PI()*(($A23-Simulador!$E$5)/Simulador!$G$5)/Simulador!$B$11))/2,IF((($A23-Simulador!$E$5)/Simulador!$G$5)&gt;1-Simulador!$B$11,Simulador!$B$9*(1-COS(PI()*(1-(($A23-Simulador!$E$5)/Simulador!$G$5))/Simulador!$B$11))/2,Simulador!$B$9)))</f>
        <v>0</v>
      </c>
      <c r="C23" s="18">
        <f>IF(OR((($A23-Simulador!$E$6)/Simulador!$G$6)&lt;=0,(($A23-Simulador!$E$6)/Simulador!$G$6)&gt;=1),0,IF((($A23-Simulador!$E$6)/Simulador!$G$6)&lt;Simulador!$B$11,Simulador!$B$9*(1-COS(PI()*(($A23-Simulador!$E$6)/Simulador!$G$6)/Simulador!$B$11))/2,IF((($A23-Simulador!$E$6)/Simulador!$G$6)&gt;1-Simulador!$B$11,Simulador!$B$9*(1-COS(PI()*(1-(($A23-Simulador!$E$6)/Simulador!$G$6))/Simulador!$B$11))/2,Simulador!$B$9)))</f>
        <v>0</v>
      </c>
      <c r="D23" s="18">
        <f>IF(OR((($A23-Simulador!$E$7)/Simulador!$G$7)&lt;=0,(($A23-Simulador!$E$7)/Simulador!$G$7)&gt;=1),0,IF((($A23-Simulador!$E$7)/Simulador!$G$7)&lt;Simulador!$B$11,Simulador!$B$9*(1-COS(PI()*(($A23-Simulador!$E$7)/Simulador!$G$7)/Simulador!$B$11))/2,IF((($A23-Simulador!$E$7)/Simulador!$G$7)&gt;1-Simulador!$B$11,Simulador!$B$9*(1-COS(PI()*(1-(($A23-Simulador!$E$7)/Simulador!$G$7))/Simulador!$B$11))/2,Simulador!$B$9)))</f>
        <v>0</v>
      </c>
      <c r="E23" s="18">
        <f>IF(OR((($A23-Simulador!$E$8)/Simulador!$G$8)&lt;=0,(($A23-Simulador!$E$8)/Simulador!$G$8)&gt;=1),0,IF((($A23-Simulador!$E$8)/Simulador!$G$8)&lt;Simulador!$B$11,Simulador!$B$10*(1-COS(PI()*(($A23-Simulador!$E$8)/Simulador!$G$8)/Simulador!$B$11))/2,IF((($A23-Simulador!$E$8)/Simulador!$G$8)&gt;1-Simulador!$B$11,Simulador!$B$10*(1-COS(PI()*(1-(($A23-Simulador!$E$8)/Simulador!$G$8))/Simulador!$B$11))/2,Simulador!$B$10)))</f>
        <v>0</v>
      </c>
      <c r="F23" s="18">
        <f>IF(OR((($A23-Simulador!$E$9)/Simulador!$G$9)&lt;=0,(($A23-Simulador!$E$9)/Simulador!$G$9)&gt;=1),0,IF((($A23-Simulador!$E$9)/Simulador!$G$9)&lt;Simulador!$B$11,Simulador!$B$10*(1-COS(PI()*(($A23-Simulador!$E$9)/Simulador!$G$9)/Simulador!$B$11))/2,IF((($A23-Simulador!$E$9)/Simulador!$G$9)&gt;1-Simulador!$B$11,Simulador!$B$10*(1-COS(PI()*(1-(($A23-Simulador!$E$9)/Simulador!$G$9))/Simulador!$B$11))/2,Simulador!$B$10)))</f>
        <v>0</v>
      </c>
      <c r="G23" s="18">
        <f>IF(OR((($A23-Simulador!$E$10)/Simulador!$G$10)&lt;=0,(($A23-Simulador!$E$10)/Simulador!$G$10)&gt;=1),0,IF((($A23-Simulador!$E$10)/Simulador!$G$10)&lt;Simulador!$B$11,Simulador!$B$10*(1-COS(PI()*(($A23-Simulador!$E$10)/Simulador!$G$10)/Simulador!$B$11))/2,IF((($A23-Simulador!$E$10)/Simulador!$G$10)&gt;1-Simulador!$B$11,Simulador!$B$10*(1-COS(PI()*(1-(($A23-Simulador!$E$10)/Simulador!$G$10))/Simulador!$B$11))/2,Simulador!$B$10)))</f>
        <v>0</v>
      </c>
    </row>
    <row r="24" spans="1:7" x14ac:dyDescent="0.25">
      <c r="A24" s="17">
        <f>A23+Simulador!$B$14</f>
        <v>44</v>
      </c>
      <c r="B24" s="18">
        <f>IF(OR((($A24-Simulador!$E$5)/Simulador!$G$5)&lt;=0,(($A24-Simulador!$E$5)/Simulador!$G$5)&gt;=1),0,IF((($A24-Simulador!$E$5)/Simulador!$G$5)&lt;Simulador!$B$11,Simulador!$B$9*(1-COS(PI()*(($A24-Simulador!$E$5)/Simulador!$G$5)/Simulador!$B$11))/2,IF((($A24-Simulador!$E$5)/Simulador!$G$5)&gt;1-Simulador!$B$11,Simulador!$B$9*(1-COS(PI()*(1-(($A24-Simulador!$E$5)/Simulador!$G$5))/Simulador!$B$11))/2,Simulador!$B$9)))</f>
        <v>0</v>
      </c>
      <c r="C24" s="18">
        <f>IF(OR((($A24-Simulador!$E$6)/Simulador!$G$6)&lt;=0,(($A24-Simulador!$E$6)/Simulador!$G$6)&gt;=1),0,IF((($A24-Simulador!$E$6)/Simulador!$G$6)&lt;Simulador!$B$11,Simulador!$B$9*(1-COS(PI()*(($A24-Simulador!$E$6)/Simulador!$G$6)/Simulador!$B$11))/2,IF((($A24-Simulador!$E$6)/Simulador!$G$6)&gt;1-Simulador!$B$11,Simulador!$B$9*(1-COS(PI()*(1-(($A24-Simulador!$E$6)/Simulador!$G$6))/Simulador!$B$11))/2,Simulador!$B$9)))</f>
        <v>0</v>
      </c>
      <c r="D24" s="18">
        <f>IF(OR((($A24-Simulador!$E$7)/Simulador!$G$7)&lt;=0,(($A24-Simulador!$E$7)/Simulador!$G$7)&gt;=1),0,IF((($A24-Simulador!$E$7)/Simulador!$G$7)&lt;Simulador!$B$11,Simulador!$B$9*(1-COS(PI()*(($A24-Simulador!$E$7)/Simulador!$G$7)/Simulador!$B$11))/2,IF((($A24-Simulador!$E$7)/Simulador!$G$7)&gt;1-Simulador!$B$11,Simulador!$B$9*(1-COS(PI()*(1-(($A24-Simulador!$E$7)/Simulador!$G$7))/Simulador!$B$11))/2,Simulador!$B$9)))</f>
        <v>0</v>
      </c>
      <c r="E24" s="18">
        <f>IF(OR((($A24-Simulador!$E$8)/Simulador!$G$8)&lt;=0,(($A24-Simulador!$E$8)/Simulador!$G$8)&gt;=1),0,IF((($A24-Simulador!$E$8)/Simulador!$G$8)&lt;Simulador!$B$11,Simulador!$B$10*(1-COS(PI()*(($A24-Simulador!$E$8)/Simulador!$G$8)/Simulador!$B$11))/2,IF((($A24-Simulador!$E$8)/Simulador!$G$8)&gt;1-Simulador!$B$11,Simulador!$B$10*(1-COS(PI()*(1-(($A24-Simulador!$E$8)/Simulador!$G$8))/Simulador!$B$11))/2,Simulador!$B$10)))</f>
        <v>0</v>
      </c>
      <c r="F24" s="18">
        <f>IF(OR((($A24-Simulador!$E$9)/Simulador!$G$9)&lt;=0,(($A24-Simulador!$E$9)/Simulador!$G$9)&gt;=1),0,IF((($A24-Simulador!$E$9)/Simulador!$G$9)&lt;Simulador!$B$11,Simulador!$B$10*(1-COS(PI()*(($A24-Simulador!$E$9)/Simulador!$G$9)/Simulador!$B$11))/2,IF((($A24-Simulador!$E$9)/Simulador!$G$9)&gt;1-Simulador!$B$11,Simulador!$B$10*(1-COS(PI()*(1-(($A24-Simulador!$E$9)/Simulador!$G$9))/Simulador!$B$11))/2,Simulador!$B$10)))</f>
        <v>0</v>
      </c>
      <c r="G24" s="18">
        <f>IF(OR((($A24-Simulador!$E$10)/Simulador!$G$10)&lt;=0,(($A24-Simulador!$E$10)/Simulador!$G$10)&gt;=1),0,IF((($A24-Simulador!$E$10)/Simulador!$G$10)&lt;Simulador!$B$11,Simulador!$B$10*(1-COS(PI()*(($A24-Simulador!$E$10)/Simulador!$G$10)/Simulador!$B$11))/2,IF((($A24-Simulador!$E$10)/Simulador!$G$10)&gt;1-Simulador!$B$11,Simulador!$B$10*(1-COS(PI()*(1-(($A24-Simulador!$E$10)/Simulador!$G$10))/Simulador!$B$11))/2,Simulador!$B$10)))</f>
        <v>0</v>
      </c>
    </row>
    <row r="25" spans="1:7" x14ac:dyDescent="0.25">
      <c r="A25" s="17">
        <f>A24+Simulador!$B$14</f>
        <v>46</v>
      </c>
      <c r="B25" s="18">
        <f>IF(OR((($A25-Simulador!$E$5)/Simulador!$G$5)&lt;=0,(($A25-Simulador!$E$5)/Simulador!$G$5)&gt;=1),0,IF((($A25-Simulador!$E$5)/Simulador!$G$5)&lt;Simulador!$B$11,Simulador!$B$9*(1-COS(PI()*(($A25-Simulador!$E$5)/Simulador!$G$5)/Simulador!$B$11))/2,IF((($A25-Simulador!$E$5)/Simulador!$G$5)&gt;1-Simulador!$B$11,Simulador!$B$9*(1-COS(PI()*(1-(($A25-Simulador!$E$5)/Simulador!$G$5))/Simulador!$B$11))/2,Simulador!$B$9)))</f>
        <v>0</v>
      </c>
      <c r="C25" s="18">
        <f>IF(OR((($A25-Simulador!$E$6)/Simulador!$G$6)&lt;=0,(($A25-Simulador!$E$6)/Simulador!$G$6)&gt;=1),0,IF((($A25-Simulador!$E$6)/Simulador!$G$6)&lt;Simulador!$B$11,Simulador!$B$9*(1-COS(PI()*(($A25-Simulador!$E$6)/Simulador!$G$6)/Simulador!$B$11))/2,IF((($A25-Simulador!$E$6)/Simulador!$G$6)&gt;1-Simulador!$B$11,Simulador!$B$9*(1-COS(PI()*(1-(($A25-Simulador!$E$6)/Simulador!$G$6))/Simulador!$B$11))/2,Simulador!$B$9)))</f>
        <v>0</v>
      </c>
      <c r="D25" s="18">
        <f>IF(OR((($A25-Simulador!$E$7)/Simulador!$G$7)&lt;=0,(($A25-Simulador!$E$7)/Simulador!$G$7)&gt;=1),0,IF((($A25-Simulador!$E$7)/Simulador!$G$7)&lt;Simulador!$B$11,Simulador!$B$9*(1-COS(PI()*(($A25-Simulador!$E$7)/Simulador!$G$7)/Simulador!$B$11))/2,IF((($A25-Simulador!$E$7)/Simulador!$G$7)&gt;1-Simulador!$B$11,Simulador!$B$9*(1-COS(PI()*(1-(($A25-Simulador!$E$7)/Simulador!$G$7))/Simulador!$B$11))/2,Simulador!$B$9)))</f>
        <v>0</v>
      </c>
      <c r="E25" s="18">
        <f>IF(OR((($A25-Simulador!$E$8)/Simulador!$G$8)&lt;=0,(($A25-Simulador!$E$8)/Simulador!$G$8)&gt;=1),0,IF((($A25-Simulador!$E$8)/Simulador!$G$8)&lt;Simulador!$B$11,Simulador!$B$10*(1-COS(PI()*(($A25-Simulador!$E$8)/Simulador!$G$8)/Simulador!$B$11))/2,IF((($A25-Simulador!$E$8)/Simulador!$G$8)&gt;1-Simulador!$B$11,Simulador!$B$10*(1-COS(PI()*(1-(($A25-Simulador!$E$8)/Simulador!$G$8))/Simulador!$B$11))/2,Simulador!$B$10)))</f>
        <v>0</v>
      </c>
      <c r="F25" s="18">
        <f>IF(OR((($A25-Simulador!$E$9)/Simulador!$G$9)&lt;=0,(($A25-Simulador!$E$9)/Simulador!$G$9)&gt;=1),0,IF((($A25-Simulador!$E$9)/Simulador!$G$9)&lt;Simulador!$B$11,Simulador!$B$10*(1-COS(PI()*(($A25-Simulador!$E$9)/Simulador!$G$9)/Simulador!$B$11))/2,IF((($A25-Simulador!$E$9)/Simulador!$G$9)&gt;1-Simulador!$B$11,Simulador!$B$10*(1-COS(PI()*(1-(($A25-Simulador!$E$9)/Simulador!$G$9))/Simulador!$B$11))/2,Simulador!$B$10)))</f>
        <v>0</v>
      </c>
      <c r="G25" s="18">
        <f>IF(OR((($A25-Simulador!$E$10)/Simulador!$G$10)&lt;=0,(($A25-Simulador!$E$10)/Simulador!$G$10)&gt;=1),0,IF((($A25-Simulador!$E$10)/Simulador!$G$10)&lt;Simulador!$B$11,Simulador!$B$10*(1-COS(PI()*(($A25-Simulador!$E$10)/Simulador!$G$10)/Simulador!$B$11))/2,IF((($A25-Simulador!$E$10)/Simulador!$G$10)&gt;1-Simulador!$B$11,Simulador!$B$10*(1-COS(PI()*(1-(($A25-Simulador!$E$10)/Simulador!$G$10))/Simulador!$B$11))/2,Simulador!$B$10)))</f>
        <v>0</v>
      </c>
    </row>
    <row r="26" spans="1:7" x14ac:dyDescent="0.25">
      <c r="A26" s="17">
        <f>A25+Simulador!$B$14</f>
        <v>48</v>
      </c>
      <c r="B26" s="18">
        <f>IF(OR((($A26-Simulador!$E$5)/Simulador!$G$5)&lt;=0,(($A26-Simulador!$E$5)/Simulador!$G$5)&gt;=1),0,IF((($A26-Simulador!$E$5)/Simulador!$G$5)&lt;Simulador!$B$11,Simulador!$B$9*(1-COS(PI()*(($A26-Simulador!$E$5)/Simulador!$G$5)/Simulador!$B$11))/2,IF((($A26-Simulador!$E$5)/Simulador!$G$5)&gt;1-Simulador!$B$11,Simulador!$B$9*(1-COS(PI()*(1-(($A26-Simulador!$E$5)/Simulador!$G$5))/Simulador!$B$11))/2,Simulador!$B$9)))</f>
        <v>0</v>
      </c>
      <c r="C26" s="18">
        <f>IF(OR((($A26-Simulador!$E$6)/Simulador!$G$6)&lt;=0,(($A26-Simulador!$E$6)/Simulador!$G$6)&gt;=1),0,IF((($A26-Simulador!$E$6)/Simulador!$G$6)&lt;Simulador!$B$11,Simulador!$B$9*(1-COS(PI()*(($A26-Simulador!$E$6)/Simulador!$G$6)/Simulador!$B$11))/2,IF((($A26-Simulador!$E$6)/Simulador!$G$6)&gt;1-Simulador!$B$11,Simulador!$B$9*(1-COS(PI()*(1-(($A26-Simulador!$E$6)/Simulador!$G$6))/Simulador!$B$11))/2,Simulador!$B$9)))</f>
        <v>0</v>
      </c>
      <c r="D26" s="18">
        <f>IF(OR((($A26-Simulador!$E$7)/Simulador!$G$7)&lt;=0,(($A26-Simulador!$E$7)/Simulador!$G$7)&gt;=1),0,IF((($A26-Simulador!$E$7)/Simulador!$G$7)&lt;Simulador!$B$11,Simulador!$B$9*(1-COS(PI()*(($A26-Simulador!$E$7)/Simulador!$G$7)/Simulador!$B$11))/2,IF((($A26-Simulador!$E$7)/Simulador!$G$7)&gt;1-Simulador!$B$11,Simulador!$B$9*(1-COS(PI()*(1-(($A26-Simulador!$E$7)/Simulador!$G$7))/Simulador!$B$11))/2,Simulador!$B$9)))</f>
        <v>0</v>
      </c>
      <c r="E26" s="18">
        <f>IF(OR((($A26-Simulador!$E$8)/Simulador!$G$8)&lt;=0,(($A26-Simulador!$E$8)/Simulador!$G$8)&gt;=1),0,IF((($A26-Simulador!$E$8)/Simulador!$G$8)&lt;Simulador!$B$11,Simulador!$B$10*(1-COS(PI()*(($A26-Simulador!$E$8)/Simulador!$G$8)/Simulador!$B$11))/2,IF((($A26-Simulador!$E$8)/Simulador!$G$8)&gt;1-Simulador!$B$11,Simulador!$B$10*(1-COS(PI()*(1-(($A26-Simulador!$E$8)/Simulador!$G$8))/Simulador!$B$11))/2,Simulador!$B$10)))</f>
        <v>0</v>
      </c>
      <c r="F26" s="18">
        <f>IF(OR((($A26-Simulador!$E$9)/Simulador!$G$9)&lt;=0,(($A26-Simulador!$E$9)/Simulador!$G$9)&gt;=1),0,IF((($A26-Simulador!$E$9)/Simulador!$G$9)&lt;Simulador!$B$11,Simulador!$B$10*(1-COS(PI()*(($A26-Simulador!$E$9)/Simulador!$G$9)/Simulador!$B$11))/2,IF((($A26-Simulador!$E$9)/Simulador!$G$9)&gt;1-Simulador!$B$11,Simulador!$B$10*(1-COS(PI()*(1-(($A26-Simulador!$E$9)/Simulador!$G$9))/Simulador!$B$11))/2,Simulador!$B$10)))</f>
        <v>0</v>
      </c>
      <c r="G26" s="18">
        <f>IF(OR((($A26-Simulador!$E$10)/Simulador!$G$10)&lt;=0,(($A26-Simulador!$E$10)/Simulador!$G$10)&gt;=1),0,IF((($A26-Simulador!$E$10)/Simulador!$G$10)&lt;Simulador!$B$11,Simulador!$B$10*(1-COS(PI()*(($A26-Simulador!$E$10)/Simulador!$G$10)/Simulador!$B$11))/2,IF((($A26-Simulador!$E$10)/Simulador!$G$10)&gt;1-Simulador!$B$11,Simulador!$B$10*(1-COS(PI()*(1-(($A26-Simulador!$E$10)/Simulador!$G$10))/Simulador!$B$11))/2,Simulador!$B$10)))</f>
        <v>0</v>
      </c>
    </row>
    <row r="27" spans="1:7" x14ac:dyDescent="0.25">
      <c r="A27" s="17">
        <f>A26+Simulador!$B$14</f>
        <v>50</v>
      </c>
      <c r="B27" s="18">
        <f>IF(OR((($A27-Simulador!$E$5)/Simulador!$G$5)&lt;=0,(($A27-Simulador!$E$5)/Simulador!$G$5)&gt;=1),0,IF((($A27-Simulador!$E$5)/Simulador!$G$5)&lt;Simulador!$B$11,Simulador!$B$9*(1-COS(PI()*(($A27-Simulador!$E$5)/Simulador!$G$5)/Simulador!$B$11))/2,IF((($A27-Simulador!$E$5)/Simulador!$G$5)&gt;1-Simulador!$B$11,Simulador!$B$9*(1-COS(PI()*(1-(($A27-Simulador!$E$5)/Simulador!$G$5))/Simulador!$B$11))/2,Simulador!$B$9)))</f>
        <v>0</v>
      </c>
      <c r="C27" s="18">
        <f>IF(OR((($A27-Simulador!$E$6)/Simulador!$G$6)&lt;=0,(($A27-Simulador!$E$6)/Simulador!$G$6)&gt;=1),0,IF((($A27-Simulador!$E$6)/Simulador!$G$6)&lt;Simulador!$B$11,Simulador!$B$9*(1-COS(PI()*(($A27-Simulador!$E$6)/Simulador!$G$6)/Simulador!$B$11))/2,IF((($A27-Simulador!$E$6)/Simulador!$G$6)&gt;1-Simulador!$B$11,Simulador!$B$9*(1-COS(PI()*(1-(($A27-Simulador!$E$6)/Simulador!$G$6))/Simulador!$B$11))/2,Simulador!$B$9)))</f>
        <v>0</v>
      </c>
      <c r="D27" s="18">
        <f>IF(OR((($A27-Simulador!$E$7)/Simulador!$G$7)&lt;=0,(($A27-Simulador!$E$7)/Simulador!$G$7)&gt;=1),0,IF((($A27-Simulador!$E$7)/Simulador!$G$7)&lt;Simulador!$B$11,Simulador!$B$9*(1-COS(PI()*(($A27-Simulador!$E$7)/Simulador!$G$7)/Simulador!$B$11))/2,IF((($A27-Simulador!$E$7)/Simulador!$G$7)&gt;1-Simulador!$B$11,Simulador!$B$9*(1-COS(PI()*(1-(($A27-Simulador!$E$7)/Simulador!$G$7))/Simulador!$B$11))/2,Simulador!$B$9)))</f>
        <v>0</v>
      </c>
      <c r="E27" s="18">
        <f>IF(OR((($A27-Simulador!$E$8)/Simulador!$G$8)&lt;=0,(($A27-Simulador!$E$8)/Simulador!$G$8)&gt;=1),0,IF((($A27-Simulador!$E$8)/Simulador!$G$8)&lt;Simulador!$B$11,Simulador!$B$10*(1-COS(PI()*(($A27-Simulador!$E$8)/Simulador!$G$8)/Simulador!$B$11))/2,IF((($A27-Simulador!$E$8)/Simulador!$G$8)&gt;1-Simulador!$B$11,Simulador!$B$10*(1-COS(PI()*(1-(($A27-Simulador!$E$8)/Simulador!$G$8))/Simulador!$B$11))/2,Simulador!$B$10)))</f>
        <v>0</v>
      </c>
      <c r="F27" s="18">
        <f>IF(OR((($A27-Simulador!$E$9)/Simulador!$G$9)&lt;=0,(($A27-Simulador!$E$9)/Simulador!$G$9)&gt;=1),0,IF((($A27-Simulador!$E$9)/Simulador!$G$9)&lt;Simulador!$B$11,Simulador!$B$10*(1-COS(PI()*(($A27-Simulador!$E$9)/Simulador!$G$9)/Simulador!$B$11))/2,IF((($A27-Simulador!$E$9)/Simulador!$G$9)&gt;1-Simulador!$B$11,Simulador!$B$10*(1-COS(PI()*(1-(($A27-Simulador!$E$9)/Simulador!$G$9))/Simulador!$B$11))/2,Simulador!$B$10)))</f>
        <v>0</v>
      </c>
      <c r="G27" s="18">
        <f>IF(OR((($A27-Simulador!$E$10)/Simulador!$G$10)&lt;=0,(($A27-Simulador!$E$10)/Simulador!$G$10)&gt;=1),0,IF((($A27-Simulador!$E$10)/Simulador!$G$10)&lt;Simulador!$B$11,Simulador!$B$10*(1-COS(PI()*(($A27-Simulador!$E$10)/Simulador!$G$10)/Simulador!$B$11))/2,IF((($A27-Simulador!$E$10)/Simulador!$G$10)&gt;1-Simulador!$B$11,Simulador!$B$10*(1-COS(PI()*(1-(($A27-Simulador!$E$10)/Simulador!$G$10))/Simulador!$B$11))/2,Simulador!$B$10)))</f>
        <v>0</v>
      </c>
    </row>
    <row r="28" spans="1:7" x14ac:dyDescent="0.25">
      <c r="A28" s="17">
        <f>A27+Simulador!$B$14</f>
        <v>52</v>
      </c>
      <c r="B28" s="18">
        <f>IF(OR((($A28-Simulador!$E$5)/Simulador!$G$5)&lt;=0,(($A28-Simulador!$E$5)/Simulador!$G$5)&gt;=1),0,IF((($A28-Simulador!$E$5)/Simulador!$G$5)&lt;Simulador!$B$11,Simulador!$B$9*(1-COS(PI()*(($A28-Simulador!$E$5)/Simulador!$G$5)/Simulador!$B$11))/2,IF((($A28-Simulador!$E$5)/Simulador!$G$5)&gt;1-Simulador!$B$11,Simulador!$B$9*(1-COS(PI()*(1-(($A28-Simulador!$E$5)/Simulador!$G$5))/Simulador!$B$11))/2,Simulador!$B$9)))</f>
        <v>0</v>
      </c>
      <c r="C28" s="18">
        <f>IF(OR((($A28-Simulador!$E$6)/Simulador!$G$6)&lt;=0,(($A28-Simulador!$E$6)/Simulador!$G$6)&gt;=1),0,IF((($A28-Simulador!$E$6)/Simulador!$G$6)&lt;Simulador!$B$11,Simulador!$B$9*(1-COS(PI()*(($A28-Simulador!$E$6)/Simulador!$G$6)/Simulador!$B$11))/2,IF((($A28-Simulador!$E$6)/Simulador!$G$6)&gt;1-Simulador!$B$11,Simulador!$B$9*(1-COS(PI()*(1-(($A28-Simulador!$E$6)/Simulador!$G$6))/Simulador!$B$11))/2,Simulador!$B$9)))</f>
        <v>0</v>
      </c>
      <c r="D28" s="18">
        <f>IF(OR((($A28-Simulador!$E$7)/Simulador!$G$7)&lt;=0,(($A28-Simulador!$E$7)/Simulador!$G$7)&gt;=1),0,IF((($A28-Simulador!$E$7)/Simulador!$G$7)&lt;Simulador!$B$11,Simulador!$B$9*(1-COS(PI()*(($A28-Simulador!$E$7)/Simulador!$G$7)/Simulador!$B$11))/2,IF((($A28-Simulador!$E$7)/Simulador!$G$7)&gt;1-Simulador!$B$11,Simulador!$B$9*(1-COS(PI()*(1-(($A28-Simulador!$E$7)/Simulador!$G$7))/Simulador!$B$11))/2,Simulador!$B$9)))</f>
        <v>0</v>
      </c>
      <c r="E28" s="18">
        <f>IF(OR((($A28-Simulador!$E$8)/Simulador!$G$8)&lt;=0,(($A28-Simulador!$E$8)/Simulador!$G$8)&gt;=1),0,IF((($A28-Simulador!$E$8)/Simulador!$G$8)&lt;Simulador!$B$11,Simulador!$B$10*(1-COS(PI()*(($A28-Simulador!$E$8)/Simulador!$G$8)/Simulador!$B$11))/2,IF((($A28-Simulador!$E$8)/Simulador!$G$8)&gt;1-Simulador!$B$11,Simulador!$B$10*(1-COS(PI()*(1-(($A28-Simulador!$E$8)/Simulador!$G$8))/Simulador!$B$11))/2,Simulador!$B$10)))</f>
        <v>0</v>
      </c>
      <c r="F28" s="18">
        <f>IF(OR((($A28-Simulador!$E$9)/Simulador!$G$9)&lt;=0,(($A28-Simulador!$E$9)/Simulador!$G$9)&gt;=1),0,IF((($A28-Simulador!$E$9)/Simulador!$G$9)&lt;Simulador!$B$11,Simulador!$B$10*(1-COS(PI()*(($A28-Simulador!$E$9)/Simulador!$G$9)/Simulador!$B$11))/2,IF((($A28-Simulador!$E$9)/Simulador!$G$9)&gt;1-Simulador!$B$11,Simulador!$B$10*(1-COS(PI()*(1-(($A28-Simulador!$E$9)/Simulador!$G$9))/Simulador!$B$11))/2,Simulador!$B$10)))</f>
        <v>0</v>
      </c>
      <c r="G28" s="18">
        <f>IF(OR((($A28-Simulador!$E$10)/Simulador!$G$10)&lt;=0,(($A28-Simulador!$E$10)/Simulador!$G$10)&gt;=1),0,IF((($A28-Simulador!$E$10)/Simulador!$G$10)&lt;Simulador!$B$11,Simulador!$B$10*(1-COS(PI()*(($A28-Simulador!$E$10)/Simulador!$G$10)/Simulador!$B$11))/2,IF((($A28-Simulador!$E$10)/Simulador!$G$10)&gt;1-Simulador!$B$11,Simulador!$B$10*(1-COS(PI()*(1-(($A28-Simulador!$E$10)/Simulador!$G$10))/Simulador!$B$11))/2,Simulador!$B$10)))</f>
        <v>0</v>
      </c>
    </row>
    <row r="29" spans="1:7" x14ac:dyDescent="0.25">
      <c r="A29" s="17">
        <f>A28+Simulador!$B$14</f>
        <v>54</v>
      </c>
      <c r="B29" s="18">
        <f>IF(OR((($A29-Simulador!$E$5)/Simulador!$G$5)&lt;=0,(($A29-Simulador!$E$5)/Simulador!$G$5)&gt;=1),0,IF((($A29-Simulador!$E$5)/Simulador!$G$5)&lt;Simulador!$B$11,Simulador!$B$9*(1-COS(PI()*(($A29-Simulador!$E$5)/Simulador!$G$5)/Simulador!$B$11))/2,IF((($A29-Simulador!$E$5)/Simulador!$G$5)&gt;1-Simulador!$B$11,Simulador!$B$9*(1-COS(PI()*(1-(($A29-Simulador!$E$5)/Simulador!$G$5))/Simulador!$B$11))/2,Simulador!$B$9)))</f>
        <v>0</v>
      </c>
      <c r="C29" s="18">
        <f>IF(OR((($A29-Simulador!$E$6)/Simulador!$G$6)&lt;=0,(($A29-Simulador!$E$6)/Simulador!$G$6)&gt;=1),0,IF((($A29-Simulador!$E$6)/Simulador!$G$6)&lt;Simulador!$B$11,Simulador!$B$9*(1-COS(PI()*(($A29-Simulador!$E$6)/Simulador!$G$6)/Simulador!$B$11))/2,IF((($A29-Simulador!$E$6)/Simulador!$G$6)&gt;1-Simulador!$B$11,Simulador!$B$9*(1-COS(PI()*(1-(($A29-Simulador!$E$6)/Simulador!$G$6))/Simulador!$B$11))/2,Simulador!$B$9)))</f>
        <v>0</v>
      </c>
      <c r="D29" s="18">
        <f>IF(OR((($A29-Simulador!$E$7)/Simulador!$G$7)&lt;=0,(($A29-Simulador!$E$7)/Simulador!$G$7)&gt;=1),0,IF((($A29-Simulador!$E$7)/Simulador!$G$7)&lt;Simulador!$B$11,Simulador!$B$9*(1-COS(PI()*(($A29-Simulador!$E$7)/Simulador!$G$7)/Simulador!$B$11))/2,IF((($A29-Simulador!$E$7)/Simulador!$G$7)&gt;1-Simulador!$B$11,Simulador!$B$9*(1-COS(PI()*(1-(($A29-Simulador!$E$7)/Simulador!$G$7))/Simulador!$B$11))/2,Simulador!$B$9)))</f>
        <v>0</v>
      </c>
      <c r="E29" s="18">
        <f>IF(OR((($A29-Simulador!$E$8)/Simulador!$G$8)&lt;=0,(($A29-Simulador!$E$8)/Simulador!$G$8)&gt;=1),0,IF((($A29-Simulador!$E$8)/Simulador!$G$8)&lt;Simulador!$B$11,Simulador!$B$10*(1-COS(PI()*(($A29-Simulador!$E$8)/Simulador!$G$8)/Simulador!$B$11))/2,IF((($A29-Simulador!$E$8)/Simulador!$G$8)&gt;1-Simulador!$B$11,Simulador!$B$10*(1-COS(PI()*(1-(($A29-Simulador!$E$8)/Simulador!$G$8))/Simulador!$B$11))/2,Simulador!$B$10)))</f>
        <v>0</v>
      </c>
      <c r="F29" s="18">
        <f>IF(OR((($A29-Simulador!$E$9)/Simulador!$G$9)&lt;=0,(($A29-Simulador!$E$9)/Simulador!$G$9)&gt;=1),0,IF((($A29-Simulador!$E$9)/Simulador!$G$9)&lt;Simulador!$B$11,Simulador!$B$10*(1-COS(PI()*(($A29-Simulador!$E$9)/Simulador!$G$9)/Simulador!$B$11))/2,IF((($A29-Simulador!$E$9)/Simulador!$G$9)&gt;1-Simulador!$B$11,Simulador!$B$10*(1-COS(PI()*(1-(($A29-Simulador!$E$9)/Simulador!$G$9))/Simulador!$B$11))/2,Simulador!$B$10)))</f>
        <v>0</v>
      </c>
      <c r="G29" s="18">
        <f>IF(OR((($A29-Simulador!$E$10)/Simulador!$G$10)&lt;=0,(($A29-Simulador!$E$10)/Simulador!$G$10)&gt;=1),0,IF((($A29-Simulador!$E$10)/Simulador!$G$10)&lt;Simulador!$B$11,Simulador!$B$10*(1-COS(PI()*(($A29-Simulador!$E$10)/Simulador!$G$10)/Simulador!$B$11))/2,IF((($A29-Simulador!$E$10)/Simulador!$G$10)&gt;1-Simulador!$B$11,Simulador!$B$10*(1-COS(PI()*(1-(($A29-Simulador!$E$10)/Simulador!$G$10))/Simulador!$B$11))/2,Simulador!$B$10)))</f>
        <v>0</v>
      </c>
    </row>
    <row r="30" spans="1:7" x14ac:dyDescent="0.25">
      <c r="A30" s="17">
        <f>A29+Simulador!$B$14</f>
        <v>56</v>
      </c>
      <c r="B30" s="18">
        <f>IF(OR((($A30-Simulador!$E$5)/Simulador!$G$5)&lt;=0,(($A30-Simulador!$E$5)/Simulador!$G$5)&gt;=1),0,IF((($A30-Simulador!$E$5)/Simulador!$G$5)&lt;Simulador!$B$11,Simulador!$B$9*(1-COS(PI()*(($A30-Simulador!$E$5)/Simulador!$G$5)/Simulador!$B$11))/2,IF((($A30-Simulador!$E$5)/Simulador!$G$5)&gt;1-Simulador!$B$11,Simulador!$B$9*(1-COS(PI()*(1-(($A30-Simulador!$E$5)/Simulador!$G$5))/Simulador!$B$11))/2,Simulador!$B$9)))</f>
        <v>0</v>
      </c>
      <c r="C30" s="18">
        <f>IF(OR((($A30-Simulador!$E$6)/Simulador!$G$6)&lt;=0,(($A30-Simulador!$E$6)/Simulador!$G$6)&gt;=1),0,IF((($A30-Simulador!$E$6)/Simulador!$G$6)&lt;Simulador!$B$11,Simulador!$B$9*(1-COS(PI()*(($A30-Simulador!$E$6)/Simulador!$G$6)/Simulador!$B$11))/2,IF((($A30-Simulador!$E$6)/Simulador!$G$6)&gt;1-Simulador!$B$11,Simulador!$B$9*(1-COS(PI()*(1-(($A30-Simulador!$E$6)/Simulador!$G$6))/Simulador!$B$11))/2,Simulador!$B$9)))</f>
        <v>0</v>
      </c>
      <c r="D30" s="18">
        <f>IF(OR((($A30-Simulador!$E$7)/Simulador!$G$7)&lt;=0,(($A30-Simulador!$E$7)/Simulador!$G$7)&gt;=1),0,IF((($A30-Simulador!$E$7)/Simulador!$G$7)&lt;Simulador!$B$11,Simulador!$B$9*(1-COS(PI()*(($A30-Simulador!$E$7)/Simulador!$G$7)/Simulador!$B$11))/2,IF((($A30-Simulador!$E$7)/Simulador!$G$7)&gt;1-Simulador!$B$11,Simulador!$B$9*(1-COS(PI()*(1-(($A30-Simulador!$E$7)/Simulador!$G$7))/Simulador!$B$11))/2,Simulador!$B$9)))</f>
        <v>0</v>
      </c>
      <c r="E30" s="18">
        <f>IF(OR((($A30-Simulador!$E$8)/Simulador!$G$8)&lt;=0,(($A30-Simulador!$E$8)/Simulador!$G$8)&gt;=1),0,IF((($A30-Simulador!$E$8)/Simulador!$G$8)&lt;Simulador!$B$11,Simulador!$B$10*(1-COS(PI()*(($A30-Simulador!$E$8)/Simulador!$G$8)/Simulador!$B$11))/2,IF((($A30-Simulador!$E$8)/Simulador!$G$8)&gt;1-Simulador!$B$11,Simulador!$B$10*(1-COS(PI()*(1-(($A30-Simulador!$E$8)/Simulador!$G$8))/Simulador!$B$11))/2,Simulador!$B$10)))</f>
        <v>0</v>
      </c>
      <c r="F30" s="18">
        <f>IF(OR((($A30-Simulador!$E$9)/Simulador!$G$9)&lt;=0,(($A30-Simulador!$E$9)/Simulador!$G$9)&gt;=1),0,IF((($A30-Simulador!$E$9)/Simulador!$G$9)&lt;Simulador!$B$11,Simulador!$B$10*(1-COS(PI()*(($A30-Simulador!$E$9)/Simulador!$G$9)/Simulador!$B$11))/2,IF((($A30-Simulador!$E$9)/Simulador!$G$9)&gt;1-Simulador!$B$11,Simulador!$B$10*(1-COS(PI()*(1-(($A30-Simulador!$E$9)/Simulador!$G$9))/Simulador!$B$11))/2,Simulador!$B$10)))</f>
        <v>0</v>
      </c>
      <c r="G30" s="18">
        <f>IF(OR((($A30-Simulador!$E$10)/Simulador!$G$10)&lt;=0,(($A30-Simulador!$E$10)/Simulador!$G$10)&gt;=1),0,IF((($A30-Simulador!$E$10)/Simulador!$G$10)&lt;Simulador!$B$11,Simulador!$B$10*(1-COS(PI()*(($A30-Simulador!$E$10)/Simulador!$G$10)/Simulador!$B$11))/2,IF((($A30-Simulador!$E$10)/Simulador!$G$10)&gt;1-Simulador!$B$11,Simulador!$B$10*(1-COS(PI()*(1-(($A30-Simulador!$E$10)/Simulador!$G$10))/Simulador!$B$11))/2,Simulador!$B$10)))</f>
        <v>0</v>
      </c>
    </row>
    <row r="31" spans="1:7" x14ac:dyDescent="0.25">
      <c r="A31" s="17">
        <f>A30+Simulador!$B$14</f>
        <v>58</v>
      </c>
      <c r="B31" s="18">
        <f>IF(OR((($A31-Simulador!$E$5)/Simulador!$G$5)&lt;=0,(($A31-Simulador!$E$5)/Simulador!$G$5)&gt;=1),0,IF((($A31-Simulador!$E$5)/Simulador!$G$5)&lt;Simulador!$B$11,Simulador!$B$9*(1-COS(PI()*(($A31-Simulador!$E$5)/Simulador!$G$5)/Simulador!$B$11))/2,IF((($A31-Simulador!$E$5)/Simulador!$G$5)&gt;1-Simulador!$B$11,Simulador!$B$9*(1-COS(PI()*(1-(($A31-Simulador!$E$5)/Simulador!$G$5))/Simulador!$B$11))/2,Simulador!$B$9)))</f>
        <v>0</v>
      </c>
      <c r="C31" s="18">
        <f>IF(OR((($A31-Simulador!$E$6)/Simulador!$G$6)&lt;=0,(($A31-Simulador!$E$6)/Simulador!$G$6)&gt;=1),0,IF((($A31-Simulador!$E$6)/Simulador!$G$6)&lt;Simulador!$B$11,Simulador!$B$9*(1-COS(PI()*(($A31-Simulador!$E$6)/Simulador!$G$6)/Simulador!$B$11))/2,IF((($A31-Simulador!$E$6)/Simulador!$G$6)&gt;1-Simulador!$B$11,Simulador!$B$9*(1-COS(PI()*(1-(($A31-Simulador!$E$6)/Simulador!$G$6))/Simulador!$B$11))/2,Simulador!$B$9)))</f>
        <v>0</v>
      </c>
      <c r="D31" s="18">
        <f>IF(OR((($A31-Simulador!$E$7)/Simulador!$G$7)&lt;=0,(($A31-Simulador!$E$7)/Simulador!$G$7)&gt;=1),0,IF((($A31-Simulador!$E$7)/Simulador!$G$7)&lt;Simulador!$B$11,Simulador!$B$9*(1-COS(PI()*(($A31-Simulador!$E$7)/Simulador!$G$7)/Simulador!$B$11))/2,IF((($A31-Simulador!$E$7)/Simulador!$G$7)&gt;1-Simulador!$B$11,Simulador!$B$9*(1-COS(PI()*(1-(($A31-Simulador!$E$7)/Simulador!$G$7))/Simulador!$B$11))/2,Simulador!$B$9)))</f>
        <v>0</v>
      </c>
      <c r="E31" s="18">
        <f>IF(OR((($A31-Simulador!$E$8)/Simulador!$G$8)&lt;=0,(($A31-Simulador!$E$8)/Simulador!$G$8)&gt;=1),0,IF((($A31-Simulador!$E$8)/Simulador!$G$8)&lt;Simulador!$B$11,Simulador!$B$10*(1-COS(PI()*(($A31-Simulador!$E$8)/Simulador!$G$8)/Simulador!$B$11))/2,IF((($A31-Simulador!$E$8)/Simulador!$G$8)&gt;1-Simulador!$B$11,Simulador!$B$10*(1-COS(PI()*(1-(($A31-Simulador!$E$8)/Simulador!$G$8))/Simulador!$B$11))/2,Simulador!$B$10)))</f>
        <v>0</v>
      </c>
      <c r="F31" s="18">
        <f>IF(OR((($A31-Simulador!$E$9)/Simulador!$G$9)&lt;=0,(($A31-Simulador!$E$9)/Simulador!$G$9)&gt;=1),0,IF((($A31-Simulador!$E$9)/Simulador!$G$9)&lt;Simulador!$B$11,Simulador!$B$10*(1-COS(PI()*(($A31-Simulador!$E$9)/Simulador!$G$9)/Simulador!$B$11))/2,IF((($A31-Simulador!$E$9)/Simulador!$G$9)&gt;1-Simulador!$B$11,Simulador!$B$10*(1-COS(PI()*(1-(($A31-Simulador!$E$9)/Simulador!$G$9))/Simulador!$B$11))/2,Simulador!$B$10)))</f>
        <v>0</v>
      </c>
      <c r="G31" s="18">
        <f>IF(OR((($A31-Simulador!$E$10)/Simulador!$G$10)&lt;=0,(($A31-Simulador!$E$10)/Simulador!$G$10)&gt;=1),0,IF((($A31-Simulador!$E$10)/Simulador!$G$10)&lt;Simulador!$B$11,Simulador!$B$10*(1-COS(PI()*(($A31-Simulador!$E$10)/Simulador!$G$10)/Simulador!$B$11))/2,IF((($A31-Simulador!$E$10)/Simulador!$G$10)&gt;1-Simulador!$B$11,Simulador!$B$10*(1-COS(PI()*(1-(($A31-Simulador!$E$10)/Simulador!$G$10))/Simulador!$B$11))/2,Simulador!$B$10)))</f>
        <v>0</v>
      </c>
    </row>
    <row r="32" spans="1:7" x14ac:dyDescent="0.25">
      <c r="A32" s="17">
        <f>A31+Simulador!$B$14</f>
        <v>60</v>
      </c>
      <c r="B32" s="18">
        <f>IF(OR((($A32-Simulador!$E$5)/Simulador!$G$5)&lt;=0,(($A32-Simulador!$E$5)/Simulador!$G$5)&gt;=1),0,IF((($A32-Simulador!$E$5)/Simulador!$G$5)&lt;Simulador!$B$11,Simulador!$B$9*(1-COS(PI()*(($A32-Simulador!$E$5)/Simulador!$G$5)/Simulador!$B$11))/2,IF((($A32-Simulador!$E$5)/Simulador!$G$5)&gt;1-Simulador!$B$11,Simulador!$B$9*(1-COS(PI()*(1-(($A32-Simulador!$E$5)/Simulador!$G$5))/Simulador!$B$11))/2,Simulador!$B$9)))</f>
        <v>0</v>
      </c>
      <c r="C32" s="18">
        <f>IF(OR((($A32-Simulador!$E$6)/Simulador!$G$6)&lt;=0,(($A32-Simulador!$E$6)/Simulador!$G$6)&gt;=1),0,IF((($A32-Simulador!$E$6)/Simulador!$G$6)&lt;Simulador!$B$11,Simulador!$B$9*(1-COS(PI()*(($A32-Simulador!$E$6)/Simulador!$G$6)/Simulador!$B$11))/2,IF((($A32-Simulador!$E$6)/Simulador!$G$6)&gt;1-Simulador!$B$11,Simulador!$B$9*(1-COS(PI()*(1-(($A32-Simulador!$E$6)/Simulador!$G$6))/Simulador!$B$11))/2,Simulador!$B$9)))</f>
        <v>0</v>
      </c>
      <c r="D32" s="18">
        <f>IF(OR((($A32-Simulador!$E$7)/Simulador!$G$7)&lt;=0,(($A32-Simulador!$E$7)/Simulador!$G$7)&gt;=1),0,IF((($A32-Simulador!$E$7)/Simulador!$G$7)&lt;Simulador!$B$11,Simulador!$B$9*(1-COS(PI()*(($A32-Simulador!$E$7)/Simulador!$G$7)/Simulador!$B$11))/2,IF((($A32-Simulador!$E$7)/Simulador!$G$7)&gt;1-Simulador!$B$11,Simulador!$B$9*(1-COS(PI()*(1-(($A32-Simulador!$E$7)/Simulador!$G$7))/Simulador!$B$11))/2,Simulador!$B$9)))</f>
        <v>0</v>
      </c>
      <c r="E32" s="18">
        <f>IF(OR((($A32-Simulador!$E$8)/Simulador!$G$8)&lt;=0,(($A32-Simulador!$E$8)/Simulador!$G$8)&gt;=1),0,IF((($A32-Simulador!$E$8)/Simulador!$G$8)&lt;Simulador!$B$11,Simulador!$B$10*(1-COS(PI()*(($A32-Simulador!$E$8)/Simulador!$G$8)/Simulador!$B$11))/2,IF((($A32-Simulador!$E$8)/Simulador!$G$8)&gt;1-Simulador!$B$11,Simulador!$B$10*(1-COS(PI()*(1-(($A32-Simulador!$E$8)/Simulador!$G$8))/Simulador!$B$11))/2,Simulador!$B$10)))</f>
        <v>0</v>
      </c>
      <c r="F32" s="18">
        <f>IF(OR((($A32-Simulador!$E$9)/Simulador!$G$9)&lt;=0,(($A32-Simulador!$E$9)/Simulador!$G$9)&gt;=1),0,IF((($A32-Simulador!$E$9)/Simulador!$G$9)&lt;Simulador!$B$11,Simulador!$B$10*(1-COS(PI()*(($A32-Simulador!$E$9)/Simulador!$G$9)/Simulador!$B$11))/2,IF((($A32-Simulador!$E$9)/Simulador!$G$9)&gt;1-Simulador!$B$11,Simulador!$B$10*(1-COS(PI()*(1-(($A32-Simulador!$E$9)/Simulador!$G$9))/Simulador!$B$11))/2,Simulador!$B$10)))</f>
        <v>0</v>
      </c>
      <c r="G32" s="18">
        <f>IF(OR((($A32-Simulador!$E$10)/Simulador!$G$10)&lt;=0,(($A32-Simulador!$E$10)/Simulador!$G$10)&gt;=1),0,IF((($A32-Simulador!$E$10)/Simulador!$G$10)&lt;Simulador!$B$11,Simulador!$B$10*(1-COS(PI()*(($A32-Simulador!$E$10)/Simulador!$G$10)/Simulador!$B$11))/2,IF((($A32-Simulador!$E$10)/Simulador!$G$10)&gt;1-Simulador!$B$11,Simulador!$B$10*(1-COS(PI()*(1-(($A32-Simulador!$E$10)/Simulador!$G$10))/Simulador!$B$11))/2,Simulador!$B$10)))</f>
        <v>0</v>
      </c>
    </row>
    <row r="33" spans="1:7" x14ac:dyDescent="0.25">
      <c r="A33" s="17">
        <f>A32+Simulador!$B$14</f>
        <v>62</v>
      </c>
      <c r="B33" s="18">
        <f>IF(OR((($A33-Simulador!$E$5)/Simulador!$G$5)&lt;=0,(($A33-Simulador!$E$5)/Simulador!$G$5)&gt;=1),0,IF((($A33-Simulador!$E$5)/Simulador!$G$5)&lt;Simulador!$B$11,Simulador!$B$9*(1-COS(PI()*(($A33-Simulador!$E$5)/Simulador!$G$5)/Simulador!$B$11))/2,IF((($A33-Simulador!$E$5)/Simulador!$G$5)&gt;1-Simulador!$B$11,Simulador!$B$9*(1-COS(PI()*(1-(($A33-Simulador!$E$5)/Simulador!$G$5))/Simulador!$B$11))/2,Simulador!$B$9)))</f>
        <v>0</v>
      </c>
      <c r="C33" s="18">
        <f>IF(OR((($A33-Simulador!$E$6)/Simulador!$G$6)&lt;=0,(($A33-Simulador!$E$6)/Simulador!$G$6)&gt;=1),0,IF((($A33-Simulador!$E$6)/Simulador!$G$6)&lt;Simulador!$B$11,Simulador!$B$9*(1-COS(PI()*(($A33-Simulador!$E$6)/Simulador!$G$6)/Simulador!$B$11))/2,IF((($A33-Simulador!$E$6)/Simulador!$G$6)&gt;1-Simulador!$B$11,Simulador!$B$9*(1-COS(PI()*(1-(($A33-Simulador!$E$6)/Simulador!$G$6))/Simulador!$B$11))/2,Simulador!$B$9)))</f>
        <v>0</v>
      </c>
      <c r="D33" s="18">
        <f>IF(OR((($A33-Simulador!$E$7)/Simulador!$G$7)&lt;=0,(($A33-Simulador!$E$7)/Simulador!$G$7)&gt;=1),0,IF((($A33-Simulador!$E$7)/Simulador!$G$7)&lt;Simulador!$B$11,Simulador!$B$9*(1-COS(PI()*(($A33-Simulador!$E$7)/Simulador!$G$7)/Simulador!$B$11))/2,IF((($A33-Simulador!$E$7)/Simulador!$G$7)&gt;1-Simulador!$B$11,Simulador!$B$9*(1-COS(PI()*(1-(($A33-Simulador!$E$7)/Simulador!$G$7))/Simulador!$B$11))/2,Simulador!$B$9)))</f>
        <v>0</v>
      </c>
      <c r="E33" s="18">
        <f>IF(OR((($A33-Simulador!$E$8)/Simulador!$G$8)&lt;=0,(($A33-Simulador!$E$8)/Simulador!$G$8)&gt;=1),0,IF((($A33-Simulador!$E$8)/Simulador!$G$8)&lt;Simulador!$B$11,Simulador!$B$10*(1-COS(PI()*(($A33-Simulador!$E$8)/Simulador!$G$8)/Simulador!$B$11))/2,IF((($A33-Simulador!$E$8)/Simulador!$G$8)&gt;1-Simulador!$B$11,Simulador!$B$10*(1-COS(PI()*(1-(($A33-Simulador!$E$8)/Simulador!$G$8))/Simulador!$B$11))/2,Simulador!$B$10)))</f>
        <v>0</v>
      </c>
      <c r="F33" s="18">
        <f>IF(OR((($A33-Simulador!$E$9)/Simulador!$G$9)&lt;=0,(($A33-Simulador!$E$9)/Simulador!$G$9)&gt;=1),0,IF((($A33-Simulador!$E$9)/Simulador!$G$9)&lt;Simulador!$B$11,Simulador!$B$10*(1-COS(PI()*(($A33-Simulador!$E$9)/Simulador!$G$9)/Simulador!$B$11))/2,IF((($A33-Simulador!$E$9)/Simulador!$G$9)&gt;1-Simulador!$B$11,Simulador!$B$10*(1-COS(PI()*(1-(($A33-Simulador!$E$9)/Simulador!$G$9))/Simulador!$B$11))/2,Simulador!$B$10)))</f>
        <v>0</v>
      </c>
      <c r="G33" s="18">
        <f>IF(OR((($A33-Simulador!$E$10)/Simulador!$G$10)&lt;=0,(($A33-Simulador!$E$10)/Simulador!$G$10)&gt;=1),0,IF((($A33-Simulador!$E$10)/Simulador!$G$10)&lt;Simulador!$B$11,Simulador!$B$10*(1-COS(PI()*(($A33-Simulador!$E$10)/Simulador!$G$10)/Simulador!$B$11))/2,IF((($A33-Simulador!$E$10)/Simulador!$G$10)&gt;1-Simulador!$B$11,Simulador!$B$10*(1-COS(PI()*(1-(($A33-Simulador!$E$10)/Simulador!$G$10))/Simulador!$B$11))/2,Simulador!$B$10)))</f>
        <v>0</v>
      </c>
    </row>
    <row r="34" spans="1:7" x14ac:dyDescent="0.25">
      <c r="A34" s="17">
        <f>A33+Simulador!$B$14</f>
        <v>64</v>
      </c>
      <c r="B34" s="18">
        <f>IF(OR((($A34-Simulador!$E$5)/Simulador!$G$5)&lt;=0,(($A34-Simulador!$E$5)/Simulador!$G$5)&gt;=1),0,IF((($A34-Simulador!$E$5)/Simulador!$G$5)&lt;Simulador!$B$11,Simulador!$B$9*(1-COS(PI()*(($A34-Simulador!$E$5)/Simulador!$G$5)/Simulador!$B$11))/2,IF((($A34-Simulador!$E$5)/Simulador!$G$5)&gt;1-Simulador!$B$11,Simulador!$B$9*(1-COS(PI()*(1-(($A34-Simulador!$E$5)/Simulador!$G$5))/Simulador!$B$11))/2,Simulador!$B$9)))</f>
        <v>0</v>
      </c>
      <c r="C34" s="18">
        <f>IF(OR((($A34-Simulador!$E$6)/Simulador!$G$6)&lt;=0,(($A34-Simulador!$E$6)/Simulador!$G$6)&gt;=1),0,IF((($A34-Simulador!$E$6)/Simulador!$G$6)&lt;Simulador!$B$11,Simulador!$B$9*(1-COS(PI()*(($A34-Simulador!$E$6)/Simulador!$G$6)/Simulador!$B$11))/2,IF((($A34-Simulador!$E$6)/Simulador!$G$6)&gt;1-Simulador!$B$11,Simulador!$B$9*(1-COS(PI()*(1-(($A34-Simulador!$E$6)/Simulador!$G$6))/Simulador!$B$11))/2,Simulador!$B$9)))</f>
        <v>0</v>
      </c>
      <c r="D34" s="18">
        <f>IF(OR((($A34-Simulador!$E$7)/Simulador!$G$7)&lt;=0,(($A34-Simulador!$E$7)/Simulador!$G$7)&gt;=1),0,IF((($A34-Simulador!$E$7)/Simulador!$G$7)&lt;Simulador!$B$11,Simulador!$B$9*(1-COS(PI()*(($A34-Simulador!$E$7)/Simulador!$G$7)/Simulador!$B$11))/2,IF((($A34-Simulador!$E$7)/Simulador!$G$7)&gt;1-Simulador!$B$11,Simulador!$B$9*(1-COS(PI()*(1-(($A34-Simulador!$E$7)/Simulador!$G$7))/Simulador!$B$11))/2,Simulador!$B$9)))</f>
        <v>0</v>
      </c>
      <c r="E34" s="18">
        <f>IF(OR((($A34-Simulador!$E$8)/Simulador!$G$8)&lt;=0,(($A34-Simulador!$E$8)/Simulador!$G$8)&gt;=1),0,IF((($A34-Simulador!$E$8)/Simulador!$G$8)&lt;Simulador!$B$11,Simulador!$B$10*(1-COS(PI()*(($A34-Simulador!$E$8)/Simulador!$G$8)/Simulador!$B$11))/2,IF((($A34-Simulador!$E$8)/Simulador!$G$8)&gt;1-Simulador!$B$11,Simulador!$B$10*(1-COS(PI()*(1-(($A34-Simulador!$E$8)/Simulador!$G$8))/Simulador!$B$11))/2,Simulador!$B$10)))</f>
        <v>0</v>
      </c>
      <c r="F34" s="18">
        <f>IF(OR((($A34-Simulador!$E$9)/Simulador!$G$9)&lt;=0,(($A34-Simulador!$E$9)/Simulador!$G$9)&gt;=1),0,IF((($A34-Simulador!$E$9)/Simulador!$G$9)&lt;Simulador!$B$11,Simulador!$B$10*(1-COS(PI()*(($A34-Simulador!$E$9)/Simulador!$G$9)/Simulador!$B$11))/2,IF((($A34-Simulador!$E$9)/Simulador!$G$9)&gt;1-Simulador!$B$11,Simulador!$B$10*(1-COS(PI()*(1-(($A34-Simulador!$E$9)/Simulador!$G$9))/Simulador!$B$11))/2,Simulador!$B$10)))</f>
        <v>0</v>
      </c>
      <c r="G34" s="18">
        <f>IF(OR((($A34-Simulador!$E$10)/Simulador!$G$10)&lt;=0,(($A34-Simulador!$E$10)/Simulador!$G$10)&gt;=1),0,IF((($A34-Simulador!$E$10)/Simulador!$G$10)&lt;Simulador!$B$11,Simulador!$B$10*(1-COS(PI()*(($A34-Simulador!$E$10)/Simulador!$G$10)/Simulador!$B$11))/2,IF((($A34-Simulador!$E$10)/Simulador!$G$10)&gt;1-Simulador!$B$11,Simulador!$B$10*(1-COS(PI()*(1-(($A34-Simulador!$E$10)/Simulador!$G$10))/Simulador!$B$11))/2,Simulador!$B$10)))</f>
        <v>0</v>
      </c>
    </row>
    <row r="35" spans="1:7" x14ac:dyDescent="0.25">
      <c r="A35" s="17">
        <f>A34+Simulador!$B$14</f>
        <v>66</v>
      </c>
      <c r="B35" s="18">
        <f>IF(OR((($A35-Simulador!$E$5)/Simulador!$G$5)&lt;=0,(($A35-Simulador!$E$5)/Simulador!$G$5)&gt;=1),0,IF((($A35-Simulador!$E$5)/Simulador!$G$5)&lt;Simulador!$B$11,Simulador!$B$9*(1-COS(PI()*(($A35-Simulador!$E$5)/Simulador!$G$5)/Simulador!$B$11))/2,IF((($A35-Simulador!$E$5)/Simulador!$G$5)&gt;1-Simulador!$B$11,Simulador!$B$9*(1-COS(PI()*(1-(($A35-Simulador!$E$5)/Simulador!$G$5))/Simulador!$B$11))/2,Simulador!$B$9)))</f>
        <v>0</v>
      </c>
      <c r="C35" s="18">
        <f>IF(OR((($A35-Simulador!$E$6)/Simulador!$G$6)&lt;=0,(($A35-Simulador!$E$6)/Simulador!$G$6)&gt;=1),0,IF((($A35-Simulador!$E$6)/Simulador!$G$6)&lt;Simulador!$B$11,Simulador!$B$9*(1-COS(PI()*(($A35-Simulador!$E$6)/Simulador!$G$6)/Simulador!$B$11))/2,IF((($A35-Simulador!$E$6)/Simulador!$G$6)&gt;1-Simulador!$B$11,Simulador!$B$9*(1-COS(PI()*(1-(($A35-Simulador!$E$6)/Simulador!$G$6))/Simulador!$B$11))/2,Simulador!$B$9)))</f>
        <v>0</v>
      </c>
      <c r="D35" s="18">
        <f>IF(OR((($A35-Simulador!$E$7)/Simulador!$G$7)&lt;=0,(($A35-Simulador!$E$7)/Simulador!$G$7)&gt;=1),0,IF((($A35-Simulador!$E$7)/Simulador!$G$7)&lt;Simulador!$B$11,Simulador!$B$9*(1-COS(PI()*(($A35-Simulador!$E$7)/Simulador!$G$7)/Simulador!$B$11))/2,IF((($A35-Simulador!$E$7)/Simulador!$G$7)&gt;1-Simulador!$B$11,Simulador!$B$9*(1-COS(PI()*(1-(($A35-Simulador!$E$7)/Simulador!$G$7))/Simulador!$B$11))/2,Simulador!$B$9)))</f>
        <v>0</v>
      </c>
      <c r="E35" s="18">
        <f>IF(OR((($A35-Simulador!$E$8)/Simulador!$G$8)&lt;=0,(($A35-Simulador!$E$8)/Simulador!$G$8)&gt;=1),0,IF((($A35-Simulador!$E$8)/Simulador!$G$8)&lt;Simulador!$B$11,Simulador!$B$10*(1-COS(PI()*(($A35-Simulador!$E$8)/Simulador!$G$8)/Simulador!$B$11))/2,IF((($A35-Simulador!$E$8)/Simulador!$G$8)&gt;1-Simulador!$B$11,Simulador!$B$10*(1-COS(PI()*(1-(($A35-Simulador!$E$8)/Simulador!$G$8))/Simulador!$B$11))/2,Simulador!$B$10)))</f>
        <v>0</v>
      </c>
      <c r="F35" s="18">
        <f>IF(OR((($A35-Simulador!$E$9)/Simulador!$G$9)&lt;=0,(($A35-Simulador!$E$9)/Simulador!$G$9)&gt;=1),0,IF((($A35-Simulador!$E$9)/Simulador!$G$9)&lt;Simulador!$B$11,Simulador!$B$10*(1-COS(PI()*(($A35-Simulador!$E$9)/Simulador!$G$9)/Simulador!$B$11))/2,IF((($A35-Simulador!$E$9)/Simulador!$G$9)&gt;1-Simulador!$B$11,Simulador!$B$10*(1-COS(PI()*(1-(($A35-Simulador!$E$9)/Simulador!$G$9))/Simulador!$B$11))/2,Simulador!$B$10)))</f>
        <v>0</v>
      </c>
      <c r="G35" s="18">
        <f>IF(OR((($A35-Simulador!$E$10)/Simulador!$G$10)&lt;=0,(($A35-Simulador!$E$10)/Simulador!$G$10)&gt;=1),0,IF((($A35-Simulador!$E$10)/Simulador!$G$10)&lt;Simulador!$B$11,Simulador!$B$10*(1-COS(PI()*(($A35-Simulador!$E$10)/Simulador!$G$10)/Simulador!$B$11))/2,IF((($A35-Simulador!$E$10)/Simulador!$G$10)&gt;1-Simulador!$B$11,Simulador!$B$10*(1-COS(PI()*(1-(($A35-Simulador!$E$10)/Simulador!$G$10))/Simulador!$B$11))/2,Simulador!$B$10)))</f>
        <v>0</v>
      </c>
    </row>
    <row r="36" spans="1:7" x14ac:dyDescent="0.25">
      <c r="A36" s="17">
        <f>A35+Simulador!$B$14</f>
        <v>68</v>
      </c>
      <c r="B36" s="18">
        <f>IF(OR((($A36-Simulador!$E$5)/Simulador!$G$5)&lt;=0,(($A36-Simulador!$E$5)/Simulador!$G$5)&gt;=1),0,IF((($A36-Simulador!$E$5)/Simulador!$G$5)&lt;Simulador!$B$11,Simulador!$B$9*(1-COS(PI()*(($A36-Simulador!$E$5)/Simulador!$G$5)/Simulador!$B$11))/2,IF((($A36-Simulador!$E$5)/Simulador!$G$5)&gt;1-Simulador!$B$11,Simulador!$B$9*(1-COS(PI()*(1-(($A36-Simulador!$E$5)/Simulador!$G$5))/Simulador!$B$11))/2,Simulador!$B$9)))</f>
        <v>0</v>
      </c>
      <c r="C36" s="18">
        <f>IF(OR((($A36-Simulador!$E$6)/Simulador!$G$6)&lt;=0,(($A36-Simulador!$E$6)/Simulador!$G$6)&gt;=1),0,IF((($A36-Simulador!$E$6)/Simulador!$G$6)&lt;Simulador!$B$11,Simulador!$B$9*(1-COS(PI()*(($A36-Simulador!$E$6)/Simulador!$G$6)/Simulador!$B$11))/2,IF((($A36-Simulador!$E$6)/Simulador!$G$6)&gt;1-Simulador!$B$11,Simulador!$B$9*(1-COS(PI()*(1-(($A36-Simulador!$E$6)/Simulador!$G$6))/Simulador!$B$11))/2,Simulador!$B$9)))</f>
        <v>0</v>
      </c>
      <c r="D36" s="18">
        <f>IF(OR((($A36-Simulador!$E$7)/Simulador!$G$7)&lt;=0,(($A36-Simulador!$E$7)/Simulador!$G$7)&gt;=1),0,IF((($A36-Simulador!$E$7)/Simulador!$G$7)&lt;Simulador!$B$11,Simulador!$B$9*(1-COS(PI()*(($A36-Simulador!$E$7)/Simulador!$G$7)/Simulador!$B$11))/2,IF((($A36-Simulador!$E$7)/Simulador!$G$7)&gt;1-Simulador!$B$11,Simulador!$B$9*(1-COS(PI()*(1-(($A36-Simulador!$E$7)/Simulador!$G$7))/Simulador!$B$11))/2,Simulador!$B$9)))</f>
        <v>0</v>
      </c>
      <c r="E36" s="18">
        <f>IF(OR((($A36-Simulador!$E$8)/Simulador!$G$8)&lt;=0,(($A36-Simulador!$E$8)/Simulador!$G$8)&gt;=1),0,IF((($A36-Simulador!$E$8)/Simulador!$G$8)&lt;Simulador!$B$11,Simulador!$B$10*(1-COS(PI()*(($A36-Simulador!$E$8)/Simulador!$G$8)/Simulador!$B$11))/2,IF((($A36-Simulador!$E$8)/Simulador!$G$8)&gt;1-Simulador!$B$11,Simulador!$B$10*(1-COS(PI()*(1-(($A36-Simulador!$E$8)/Simulador!$G$8))/Simulador!$B$11))/2,Simulador!$B$10)))</f>
        <v>0</v>
      </c>
      <c r="F36" s="18">
        <f>IF(OR((($A36-Simulador!$E$9)/Simulador!$G$9)&lt;=0,(($A36-Simulador!$E$9)/Simulador!$G$9)&gt;=1),0,IF((($A36-Simulador!$E$9)/Simulador!$G$9)&lt;Simulador!$B$11,Simulador!$B$10*(1-COS(PI()*(($A36-Simulador!$E$9)/Simulador!$G$9)/Simulador!$B$11))/2,IF((($A36-Simulador!$E$9)/Simulador!$G$9)&gt;1-Simulador!$B$11,Simulador!$B$10*(1-COS(PI()*(1-(($A36-Simulador!$E$9)/Simulador!$G$9))/Simulador!$B$11))/2,Simulador!$B$10)))</f>
        <v>0</v>
      </c>
      <c r="G36" s="18">
        <f>IF(OR((($A36-Simulador!$E$10)/Simulador!$G$10)&lt;=0,(($A36-Simulador!$E$10)/Simulador!$G$10)&gt;=1),0,IF((($A36-Simulador!$E$10)/Simulador!$G$10)&lt;Simulador!$B$11,Simulador!$B$10*(1-COS(PI()*(($A36-Simulador!$E$10)/Simulador!$G$10)/Simulador!$B$11))/2,IF((($A36-Simulador!$E$10)/Simulador!$G$10)&gt;1-Simulador!$B$11,Simulador!$B$10*(1-COS(PI()*(1-(($A36-Simulador!$E$10)/Simulador!$G$10))/Simulador!$B$11))/2,Simulador!$B$10)))</f>
        <v>0</v>
      </c>
    </row>
    <row r="37" spans="1:7" x14ac:dyDescent="0.25">
      <c r="A37" s="17">
        <f>A36+Simulador!$B$14</f>
        <v>70</v>
      </c>
      <c r="B37" s="18">
        <f>IF(OR((($A37-Simulador!$E$5)/Simulador!$G$5)&lt;=0,(($A37-Simulador!$E$5)/Simulador!$G$5)&gt;=1),0,IF((($A37-Simulador!$E$5)/Simulador!$G$5)&lt;Simulador!$B$11,Simulador!$B$9*(1-COS(PI()*(($A37-Simulador!$E$5)/Simulador!$G$5)/Simulador!$B$11))/2,IF((($A37-Simulador!$E$5)/Simulador!$G$5)&gt;1-Simulador!$B$11,Simulador!$B$9*(1-COS(PI()*(1-(($A37-Simulador!$E$5)/Simulador!$G$5))/Simulador!$B$11))/2,Simulador!$B$9)))</f>
        <v>0</v>
      </c>
      <c r="C37" s="18">
        <f>IF(OR((($A37-Simulador!$E$6)/Simulador!$G$6)&lt;=0,(($A37-Simulador!$E$6)/Simulador!$G$6)&gt;=1),0,IF((($A37-Simulador!$E$6)/Simulador!$G$6)&lt;Simulador!$B$11,Simulador!$B$9*(1-COS(PI()*(($A37-Simulador!$E$6)/Simulador!$G$6)/Simulador!$B$11))/2,IF((($A37-Simulador!$E$6)/Simulador!$G$6)&gt;1-Simulador!$B$11,Simulador!$B$9*(1-COS(PI()*(1-(($A37-Simulador!$E$6)/Simulador!$G$6))/Simulador!$B$11))/2,Simulador!$B$9)))</f>
        <v>0</v>
      </c>
      <c r="D37" s="18">
        <f>IF(OR((($A37-Simulador!$E$7)/Simulador!$G$7)&lt;=0,(($A37-Simulador!$E$7)/Simulador!$G$7)&gt;=1),0,IF((($A37-Simulador!$E$7)/Simulador!$G$7)&lt;Simulador!$B$11,Simulador!$B$9*(1-COS(PI()*(($A37-Simulador!$E$7)/Simulador!$G$7)/Simulador!$B$11))/2,IF((($A37-Simulador!$E$7)/Simulador!$G$7)&gt;1-Simulador!$B$11,Simulador!$B$9*(1-COS(PI()*(1-(($A37-Simulador!$E$7)/Simulador!$G$7))/Simulador!$B$11))/2,Simulador!$B$9)))</f>
        <v>0</v>
      </c>
      <c r="E37" s="18">
        <f>IF(OR((($A37-Simulador!$E$8)/Simulador!$G$8)&lt;=0,(($A37-Simulador!$E$8)/Simulador!$G$8)&gt;=1),0,IF((($A37-Simulador!$E$8)/Simulador!$G$8)&lt;Simulador!$B$11,Simulador!$B$10*(1-COS(PI()*(($A37-Simulador!$E$8)/Simulador!$G$8)/Simulador!$B$11))/2,IF((($A37-Simulador!$E$8)/Simulador!$G$8)&gt;1-Simulador!$B$11,Simulador!$B$10*(1-COS(PI()*(1-(($A37-Simulador!$E$8)/Simulador!$G$8))/Simulador!$B$11))/2,Simulador!$B$10)))</f>
        <v>0</v>
      </c>
      <c r="F37" s="18">
        <f>IF(OR((($A37-Simulador!$E$9)/Simulador!$G$9)&lt;=0,(($A37-Simulador!$E$9)/Simulador!$G$9)&gt;=1),0,IF((($A37-Simulador!$E$9)/Simulador!$G$9)&lt;Simulador!$B$11,Simulador!$B$10*(1-COS(PI()*(($A37-Simulador!$E$9)/Simulador!$G$9)/Simulador!$B$11))/2,IF((($A37-Simulador!$E$9)/Simulador!$G$9)&gt;1-Simulador!$B$11,Simulador!$B$10*(1-COS(PI()*(1-(($A37-Simulador!$E$9)/Simulador!$G$9))/Simulador!$B$11))/2,Simulador!$B$10)))</f>
        <v>0</v>
      </c>
      <c r="G37" s="18">
        <f>IF(OR((($A37-Simulador!$E$10)/Simulador!$G$10)&lt;=0,(($A37-Simulador!$E$10)/Simulador!$G$10)&gt;=1),0,IF((($A37-Simulador!$E$10)/Simulador!$G$10)&lt;Simulador!$B$11,Simulador!$B$10*(1-COS(PI()*(($A37-Simulador!$E$10)/Simulador!$G$10)/Simulador!$B$11))/2,IF((($A37-Simulador!$E$10)/Simulador!$G$10)&gt;1-Simulador!$B$11,Simulador!$B$10*(1-COS(PI()*(1-(($A37-Simulador!$E$10)/Simulador!$G$10))/Simulador!$B$11))/2,Simulador!$B$10)))</f>
        <v>0</v>
      </c>
    </row>
    <row r="38" spans="1:7" x14ac:dyDescent="0.25">
      <c r="A38" s="17">
        <f>A37+Simulador!$B$14</f>
        <v>72</v>
      </c>
      <c r="B38" s="18">
        <f>IF(OR((($A38-Simulador!$E$5)/Simulador!$G$5)&lt;=0,(($A38-Simulador!$E$5)/Simulador!$G$5)&gt;=1),0,IF((($A38-Simulador!$E$5)/Simulador!$G$5)&lt;Simulador!$B$11,Simulador!$B$9*(1-COS(PI()*(($A38-Simulador!$E$5)/Simulador!$G$5)/Simulador!$B$11))/2,IF((($A38-Simulador!$E$5)/Simulador!$G$5)&gt;1-Simulador!$B$11,Simulador!$B$9*(1-COS(PI()*(1-(($A38-Simulador!$E$5)/Simulador!$G$5))/Simulador!$B$11))/2,Simulador!$B$9)))</f>
        <v>0</v>
      </c>
      <c r="C38" s="18">
        <f>IF(OR((($A38-Simulador!$E$6)/Simulador!$G$6)&lt;=0,(($A38-Simulador!$E$6)/Simulador!$G$6)&gt;=1),0,IF((($A38-Simulador!$E$6)/Simulador!$G$6)&lt;Simulador!$B$11,Simulador!$B$9*(1-COS(PI()*(($A38-Simulador!$E$6)/Simulador!$G$6)/Simulador!$B$11))/2,IF((($A38-Simulador!$E$6)/Simulador!$G$6)&gt;1-Simulador!$B$11,Simulador!$B$9*(1-COS(PI()*(1-(($A38-Simulador!$E$6)/Simulador!$G$6))/Simulador!$B$11))/2,Simulador!$B$9)))</f>
        <v>0</v>
      </c>
      <c r="D38" s="18">
        <f>IF(OR((($A38-Simulador!$E$7)/Simulador!$G$7)&lt;=0,(($A38-Simulador!$E$7)/Simulador!$G$7)&gt;=1),0,IF((($A38-Simulador!$E$7)/Simulador!$G$7)&lt;Simulador!$B$11,Simulador!$B$9*(1-COS(PI()*(($A38-Simulador!$E$7)/Simulador!$G$7)/Simulador!$B$11))/2,IF((($A38-Simulador!$E$7)/Simulador!$G$7)&gt;1-Simulador!$B$11,Simulador!$B$9*(1-COS(PI()*(1-(($A38-Simulador!$E$7)/Simulador!$G$7))/Simulador!$B$11))/2,Simulador!$B$9)))</f>
        <v>0</v>
      </c>
      <c r="E38" s="18">
        <f>IF(OR((($A38-Simulador!$E$8)/Simulador!$G$8)&lt;=0,(($A38-Simulador!$E$8)/Simulador!$G$8)&gt;=1),0,IF((($A38-Simulador!$E$8)/Simulador!$G$8)&lt;Simulador!$B$11,Simulador!$B$10*(1-COS(PI()*(($A38-Simulador!$E$8)/Simulador!$G$8)/Simulador!$B$11))/2,IF((($A38-Simulador!$E$8)/Simulador!$G$8)&gt;1-Simulador!$B$11,Simulador!$B$10*(1-COS(PI()*(1-(($A38-Simulador!$E$8)/Simulador!$G$8))/Simulador!$B$11))/2,Simulador!$B$10)))</f>
        <v>0</v>
      </c>
      <c r="F38" s="18">
        <f>IF(OR((($A38-Simulador!$E$9)/Simulador!$G$9)&lt;=0,(($A38-Simulador!$E$9)/Simulador!$G$9)&gt;=1),0,IF((($A38-Simulador!$E$9)/Simulador!$G$9)&lt;Simulador!$B$11,Simulador!$B$10*(1-COS(PI()*(($A38-Simulador!$E$9)/Simulador!$G$9)/Simulador!$B$11))/2,IF((($A38-Simulador!$E$9)/Simulador!$G$9)&gt;1-Simulador!$B$11,Simulador!$B$10*(1-COS(PI()*(1-(($A38-Simulador!$E$9)/Simulador!$G$9))/Simulador!$B$11))/2,Simulador!$B$10)))</f>
        <v>0</v>
      </c>
      <c r="G38" s="18">
        <f>IF(OR((($A38-Simulador!$E$10)/Simulador!$G$10)&lt;=0,(($A38-Simulador!$E$10)/Simulador!$G$10)&gt;=1),0,IF((($A38-Simulador!$E$10)/Simulador!$G$10)&lt;Simulador!$B$11,Simulador!$B$10*(1-COS(PI()*(($A38-Simulador!$E$10)/Simulador!$G$10)/Simulador!$B$11))/2,IF((($A38-Simulador!$E$10)/Simulador!$G$10)&gt;1-Simulador!$B$11,Simulador!$B$10*(1-COS(PI()*(1-(($A38-Simulador!$E$10)/Simulador!$G$10))/Simulador!$B$11))/2,Simulador!$B$10)))</f>
        <v>0</v>
      </c>
    </row>
    <row r="39" spans="1:7" x14ac:dyDescent="0.25">
      <c r="A39" s="17">
        <f>A38+Simulador!$B$14</f>
        <v>74</v>
      </c>
      <c r="B39" s="18">
        <f>IF(OR((($A39-Simulador!$E$5)/Simulador!$G$5)&lt;=0,(($A39-Simulador!$E$5)/Simulador!$G$5)&gt;=1),0,IF((($A39-Simulador!$E$5)/Simulador!$G$5)&lt;Simulador!$B$11,Simulador!$B$9*(1-COS(PI()*(($A39-Simulador!$E$5)/Simulador!$G$5)/Simulador!$B$11))/2,IF((($A39-Simulador!$E$5)/Simulador!$G$5)&gt;1-Simulador!$B$11,Simulador!$B$9*(1-COS(PI()*(1-(($A39-Simulador!$E$5)/Simulador!$G$5))/Simulador!$B$11))/2,Simulador!$B$9)))</f>
        <v>0</v>
      </c>
      <c r="C39" s="18">
        <f>IF(OR((($A39-Simulador!$E$6)/Simulador!$G$6)&lt;=0,(($A39-Simulador!$E$6)/Simulador!$G$6)&gt;=1),0,IF((($A39-Simulador!$E$6)/Simulador!$G$6)&lt;Simulador!$B$11,Simulador!$B$9*(1-COS(PI()*(($A39-Simulador!$E$6)/Simulador!$G$6)/Simulador!$B$11))/2,IF((($A39-Simulador!$E$6)/Simulador!$G$6)&gt;1-Simulador!$B$11,Simulador!$B$9*(1-COS(PI()*(1-(($A39-Simulador!$E$6)/Simulador!$G$6))/Simulador!$B$11))/2,Simulador!$B$9)))</f>
        <v>0</v>
      </c>
      <c r="D39" s="18">
        <f>IF(OR((($A39-Simulador!$E$7)/Simulador!$G$7)&lt;=0,(($A39-Simulador!$E$7)/Simulador!$G$7)&gt;=1),0,IF((($A39-Simulador!$E$7)/Simulador!$G$7)&lt;Simulador!$B$11,Simulador!$B$9*(1-COS(PI()*(($A39-Simulador!$E$7)/Simulador!$G$7)/Simulador!$B$11))/2,IF((($A39-Simulador!$E$7)/Simulador!$G$7)&gt;1-Simulador!$B$11,Simulador!$B$9*(1-COS(PI()*(1-(($A39-Simulador!$E$7)/Simulador!$G$7))/Simulador!$B$11))/2,Simulador!$B$9)))</f>
        <v>0</v>
      </c>
      <c r="E39" s="18">
        <f>IF(OR((($A39-Simulador!$E$8)/Simulador!$G$8)&lt;=0,(($A39-Simulador!$E$8)/Simulador!$G$8)&gt;=1),0,IF((($A39-Simulador!$E$8)/Simulador!$G$8)&lt;Simulador!$B$11,Simulador!$B$10*(1-COS(PI()*(($A39-Simulador!$E$8)/Simulador!$G$8)/Simulador!$B$11))/2,IF((($A39-Simulador!$E$8)/Simulador!$G$8)&gt;1-Simulador!$B$11,Simulador!$B$10*(1-COS(PI()*(1-(($A39-Simulador!$E$8)/Simulador!$G$8))/Simulador!$B$11))/2,Simulador!$B$10)))</f>
        <v>0</v>
      </c>
      <c r="F39" s="18">
        <f>IF(OR((($A39-Simulador!$E$9)/Simulador!$G$9)&lt;=0,(($A39-Simulador!$E$9)/Simulador!$G$9)&gt;=1),0,IF((($A39-Simulador!$E$9)/Simulador!$G$9)&lt;Simulador!$B$11,Simulador!$B$10*(1-COS(PI()*(($A39-Simulador!$E$9)/Simulador!$G$9)/Simulador!$B$11))/2,IF((($A39-Simulador!$E$9)/Simulador!$G$9)&gt;1-Simulador!$B$11,Simulador!$B$10*(1-COS(PI()*(1-(($A39-Simulador!$E$9)/Simulador!$G$9))/Simulador!$B$11))/2,Simulador!$B$10)))</f>
        <v>0</v>
      </c>
      <c r="G39" s="18">
        <f>IF(OR((($A39-Simulador!$E$10)/Simulador!$G$10)&lt;=0,(($A39-Simulador!$E$10)/Simulador!$G$10)&gt;=1),0,IF((($A39-Simulador!$E$10)/Simulador!$G$10)&lt;Simulador!$B$11,Simulador!$B$10*(1-COS(PI()*(($A39-Simulador!$E$10)/Simulador!$G$10)/Simulador!$B$11))/2,IF((($A39-Simulador!$E$10)/Simulador!$G$10)&gt;1-Simulador!$B$11,Simulador!$B$10*(1-COS(PI()*(1-(($A39-Simulador!$E$10)/Simulador!$G$10))/Simulador!$B$11))/2,Simulador!$B$10)))</f>
        <v>0</v>
      </c>
    </row>
    <row r="40" spans="1:7" x14ac:dyDescent="0.25">
      <c r="A40" s="17">
        <f>A39+Simulador!$B$14</f>
        <v>76</v>
      </c>
      <c r="B40" s="18">
        <f>IF(OR((($A40-Simulador!$E$5)/Simulador!$G$5)&lt;=0,(($A40-Simulador!$E$5)/Simulador!$G$5)&gt;=1),0,IF((($A40-Simulador!$E$5)/Simulador!$G$5)&lt;Simulador!$B$11,Simulador!$B$9*(1-COS(PI()*(($A40-Simulador!$E$5)/Simulador!$G$5)/Simulador!$B$11))/2,IF((($A40-Simulador!$E$5)/Simulador!$G$5)&gt;1-Simulador!$B$11,Simulador!$B$9*(1-COS(PI()*(1-(($A40-Simulador!$E$5)/Simulador!$G$5))/Simulador!$B$11))/2,Simulador!$B$9)))</f>
        <v>0</v>
      </c>
      <c r="C40" s="18">
        <f>IF(OR((($A40-Simulador!$E$6)/Simulador!$G$6)&lt;=0,(($A40-Simulador!$E$6)/Simulador!$G$6)&gt;=1),0,IF((($A40-Simulador!$E$6)/Simulador!$G$6)&lt;Simulador!$B$11,Simulador!$B$9*(1-COS(PI()*(($A40-Simulador!$E$6)/Simulador!$G$6)/Simulador!$B$11))/2,IF((($A40-Simulador!$E$6)/Simulador!$G$6)&gt;1-Simulador!$B$11,Simulador!$B$9*(1-COS(PI()*(1-(($A40-Simulador!$E$6)/Simulador!$G$6))/Simulador!$B$11))/2,Simulador!$B$9)))</f>
        <v>0</v>
      </c>
      <c r="D40" s="18">
        <f>IF(OR((($A40-Simulador!$E$7)/Simulador!$G$7)&lt;=0,(($A40-Simulador!$E$7)/Simulador!$G$7)&gt;=1),0,IF((($A40-Simulador!$E$7)/Simulador!$G$7)&lt;Simulador!$B$11,Simulador!$B$9*(1-COS(PI()*(($A40-Simulador!$E$7)/Simulador!$G$7)/Simulador!$B$11))/2,IF((($A40-Simulador!$E$7)/Simulador!$G$7)&gt;1-Simulador!$B$11,Simulador!$B$9*(1-COS(PI()*(1-(($A40-Simulador!$E$7)/Simulador!$G$7))/Simulador!$B$11))/2,Simulador!$B$9)))</f>
        <v>0</v>
      </c>
      <c r="E40" s="18">
        <f>IF(OR((($A40-Simulador!$E$8)/Simulador!$G$8)&lt;=0,(($A40-Simulador!$E$8)/Simulador!$G$8)&gt;=1),0,IF((($A40-Simulador!$E$8)/Simulador!$G$8)&lt;Simulador!$B$11,Simulador!$B$10*(1-COS(PI()*(($A40-Simulador!$E$8)/Simulador!$G$8)/Simulador!$B$11))/2,IF((($A40-Simulador!$E$8)/Simulador!$G$8)&gt;1-Simulador!$B$11,Simulador!$B$10*(1-COS(PI()*(1-(($A40-Simulador!$E$8)/Simulador!$G$8))/Simulador!$B$11))/2,Simulador!$B$10)))</f>
        <v>0</v>
      </c>
      <c r="F40" s="18">
        <f>IF(OR((($A40-Simulador!$E$9)/Simulador!$G$9)&lt;=0,(($A40-Simulador!$E$9)/Simulador!$G$9)&gt;=1),0,IF((($A40-Simulador!$E$9)/Simulador!$G$9)&lt;Simulador!$B$11,Simulador!$B$10*(1-COS(PI()*(($A40-Simulador!$E$9)/Simulador!$G$9)/Simulador!$B$11))/2,IF((($A40-Simulador!$E$9)/Simulador!$G$9)&gt;1-Simulador!$B$11,Simulador!$B$10*(1-COS(PI()*(1-(($A40-Simulador!$E$9)/Simulador!$G$9))/Simulador!$B$11))/2,Simulador!$B$10)))</f>
        <v>0</v>
      </c>
      <c r="G40" s="18">
        <f>IF(OR((($A40-Simulador!$E$10)/Simulador!$G$10)&lt;=0,(($A40-Simulador!$E$10)/Simulador!$G$10)&gt;=1),0,IF((($A40-Simulador!$E$10)/Simulador!$G$10)&lt;Simulador!$B$11,Simulador!$B$10*(1-COS(PI()*(($A40-Simulador!$E$10)/Simulador!$G$10)/Simulador!$B$11))/2,IF((($A40-Simulador!$E$10)/Simulador!$G$10)&gt;1-Simulador!$B$11,Simulador!$B$10*(1-COS(PI()*(1-(($A40-Simulador!$E$10)/Simulador!$G$10))/Simulador!$B$11))/2,Simulador!$B$10)))</f>
        <v>0</v>
      </c>
    </row>
    <row r="41" spans="1:7" x14ac:dyDescent="0.25">
      <c r="A41" s="17">
        <f>A40+Simulador!$B$14</f>
        <v>78</v>
      </c>
      <c r="B41" s="18">
        <f>IF(OR((($A41-Simulador!$E$5)/Simulador!$G$5)&lt;=0,(($A41-Simulador!$E$5)/Simulador!$G$5)&gt;=1),0,IF((($A41-Simulador!$E$5)/Simulador!$G$5)&lt;Simulador!$B$11,Simulador!$B$9*(1-COS(PI()*(($A41-Simulador!$E$5)/Simulador!$G$5)/Simulador!$B$11))/2,IF((($A41-Simulador!$E$5)/Simulador!$G$5)&gt;1-Simulador!$B$11,Simulador!$B$9*(1-COS(PI()*(1-(($A41-Simulador!$E$5)/Simulador!$G$5))/Simulador!$B$11))/2,Simulador!$B$9)))</f>
        <v>0</v>
      </c>
      <c r="C41" s="18">
        <f>IF(OR((($A41-Simulador!$E$6)/Simulador!$G$6)&lt;=0,(($A41-Simulador!$E$6)/Simulador!$G$6)&gt;=1),0,IF((($A41-Simulador!$E$6)/Simulador!$G$6)&lt;Simulador!$B$11,Simulador!$B$9*(1-COS(PI()*(($A41-Simulador!$E$6)/Simulador!$G$6)/Simulador!$B$11))/2,IF((($A41-Simulador!$E$6)/Simulador!$G$6)&gt;1-Simulador!$B$11,Simulador!$B$9*(1-COS(PI()*(1-(($A41-Simulador!$E$6)/Simulador!$G$6))/Simulador!$B$11))/2,Simulador!$B$9)))</f>
        <v>0</v>
      </c>
      <c r="D41" s="18">
        <f>IF(OR((($A41-Simulador!$E$7)/Simulador!$G$7)&lt;=0,(($A41-Simulador!$E$7)/Simulador!$G$7)&gt;=1),0,IF((($A41-Simulador!$E$7)/Simulador!$G$7)&lt;Simulador!$B$11,Simulador!$B$9*(1-COS(PI()*(($A41-Simulador!$E$7)/Simulador!$G$7)/Simulador!$B$11))/2,IF((($A41-Simulador!$E$7)/Simulador!$G$7)&gt;1-Simulador!$B$11,Simulador!$B$9*(1-COS(PI()*(1-(($A41-Simulador!$E$7)/Simulador!$G$7))/Simulador!$B$11))/2,Simulador!$B$9)))</f>
        <v>0</v>
      </c>
      <c r="E41" s="18">
        <f>IF(OR((($A41-Simulador!$E$8)/Simulador!$G$8)&lt;=0,(($A41-Simulador!$E$8)/Simulador!$G$8)&gt;=1),0,IF((($A41-Simulador!$E$8)/Simulador!$G$8)&lt;Simulador!$B$11,Simulador!$B$10*(1-COS(PI()*(($A41-Simulador!$E$8)/Simulador!$G$8)/Simulador!$B$11))/2,IF((($A41-Simulador!$E$8)/Simulador!$G$8)&gt;1-Simulador!$B$11,Simulador!$B$10*(1-COS(PI()*(1-(($A41-Simulador!$E$8)/Simulador!$G$8))/Simulador!$B$11))/2,Simulador!$B$10)))</f>
        <v>0</v>
      </c>
      <c r="F41" s="18">
        <f>IF(OR((($A41-Simulador!$E$9)/Simulador!$G$9)&lt;=0,(($A41-Simulador!$E$9)/Simulador!$G$9)&gt;=1),0,IF((($A41-Simulador!$E$9)/Simulador!$G$9)&lt;Simulador!$B$11,Simulador!$B$10*(1-COS(PI()*(($A41-Simulador!$E$9)/Simulador!$G$9)/Simulador!$B$11))/2,IF((($A41-Simulador!$E$9)/Simulador!$G$9)&gt;1-Simulador!$B$11,Simulador!$B$10*(1-COS(PI()*(1-(($A41-Simulador!$E$9)/Simulador!$G$9))/Simulador!$B$11))/2,Simulador!$B$10)))</f>
        <v>0</v>
      </c>
      <c r="G41" s="18">
        <f>IF(OR((($A41-Simulador!$E$10)/Simulador!$G$10)&lt;=0,(($A41-Simulador!$E$10)/Simulador!$G$10)&gt;=1),0,IF((($A41-Simulador!$E$10)/Simulador!$G$10)&lt;Simulador!$B$11,Simulador!$B$10*(1-COS(PI()*(($A41-Simulador!$E$10)/Simulador!$G$10)/Simulador!$B$11))/2,IF((($A41-Simulador!$E$10)/Simulador!$G$10)&gt;1-Simulador!$B$11,Simulador!$B$10*(1-COS(PI()*(1-(($A41-Simulador!$E$10)/Simulador!$G$10))/Simulador!$B$11))/2,Simulador!$B$10)))</f>
        <v>0</v>
      </c>
    </row>
    <row r="42" spans="1:7" x14ac:dyDescent="0.25">
      <c r="A42" s="17">
        <f>A41+Simulador!$B$14</f>
        <v>80</v>
      </c>
      <c r="B42" s="18">
        <f>IF(OR((($A42-Simulador!$E$5)/Simulador!$G$5)&lt;=0,(($A42-Simulador!$E$5)/Simulador!$G$5)&gt;=1),0,IF((($A42-Simulador!$E$5)/Simulador!$G$5)&lt;Simulador!$B$11,Simulador!$B$9*(1-COS(PI()*(($A42-Simulador!$E$5)/Simulador!$G$5)/Simulador!$B$11))/2,IF((($A42-Simulador!$E$5)/Simulador!$G$5)&gt;1-Simulador!$B$11,Simulador!$B$9*(1-COS(PI()*(1-(($A42-Simulador!$E$5)/Simulador!$G$5))/Simulador!$B$11))/2,Simulador!$B$9)))</f>
        <v>0</v>
      </c>
      <c r="C42" s="18">
        <f>IF(OR((($A42-Simulador!$E$6)/Simulador!$G$6)&lt;=0,(($A42-Simulador!$E$6)/Simulador!$G$6)&gt;=1),0,IF((($A42-Simulador!$E$6)/Simulador!$G$6)&lt;Simulador!$B$11,Simulador!$B$9*(1-COS(PI()*(($A42-Simulador!$E$6)/Simulador!$G$6)/Simulador!$B$11))/2,IF((($A42-Simulador!$E$6)/Simulador!$G$6)&gt;1-Simulador!$B$11,Simulador!$B$9*(1-COS(PI()*(1-(($A42-Simulador!$E$6)/Simulador!$G$6))/Simulador!$B$11))/2,Simulador!$B$9)))</f>
        <v>0</v>
      </c>
      <c r="D42" s="18">
        <f>IF(OR((($A42-Simulador!$E$7)/Simulador!$G$7)&lt;=0,(($A42-Simulador!$E$7)/Simulador!$G$7)&gt;=1),0,IF((($A42-Simulador!$E$7)/Simulador!$G$7)&lt;Simulador!$B$11,Simulador!$B$9*(1-COS(PI()*(($A42-Simulador!$E$7)/Simulador!$G$7)/Simulador!$B$11))/2,IF((($A42-Simulador!$E$7)/Simulador!$G$7)&gt;1-Simulador!$B$11,Simulador!$B$9*(1-COS(PI()*(1-(($A42-Simulador!$E$7)/Simulador!$G$7))/Simulador!$B$11))/2,Simulador!$B$9)))</f>
        <v>0</v>
      </c>
      <c r="E42" s="18">
        <f>IF(OR((($A42-Simulador!$E$8)/Simulador!$G$8)&lt;=0,(($A42-Simulador!$E$8)/Simulador!$G$8)&gt;=1),0,IF((($A42-Simulador!$E$8)/Simulador!$G$8)&lt;Simulador!$B$11,Simulador!$B$10*(1-COS(PI()*(($A42-Simulador!$E$8)/Simulador!$G$8)/Simulador!$B$11))/2,IF((($A42-Simulador!$E$8)/Simulador!$G$8)&gt;1-Simulador!$B$11,Simulador!$B$10*(1-COS(PI()*(1-(($A42-Simulador!$E$8)/Simulador!$G$8))/Simulador!$B$11))/2,Simulador!$B$10)))</f>
        <v>0</v>
      </c>
      <c r="F42" s="18">
        <f>IF(OR((($A42-Simulador!$E$9)/Simulador!$G$9)&lt;=0,(($A42-Simulador!$E$9)/Simulador!$G$9)&gt;=1),0,IF((($A42-Simulador!$E$9)/Simulador!$G$9)&lt;Simulador!$B$11,Simulador!$B$10*(1-COS(PI()*(($A42-Simulador!$E$9)/Simulador!$G$9)/Simulador!$B$11))/2,IF((($A42-Simulador!$E$9)/Simulador!$G$9)&gt;1-Simulador!$B$11,Simulador!$B$10*(1-COS(PI()*(1-(($A42-Simulador!$E$9)/Simulador!$G$9))/Simulador!$B$11))/2,Simulador!$B$10)))</f>
        <v>0</v>
      </c>
      <c r="G42" s="18">
        <f>IF(OR((($A42-Simulador!$E$10)/Simulador!$G$10)&lt;=0,(($A42-Simulador!$E$10)/Simulador!$G$10)&gt;=1),0,IF((($A42-Simulador!$E$10)/Simulador!$G$10)&lt;Simulador!$B$11,Simulador!$B$10*(1-COS(PI()*(($A42-Simulador!$E$10)/Simulador!$G$10)/Simulador!$B$11))/2,IF((($A42-Simulador!$E$10)/Simulador!$G$10)&gt;1-Simulador!$B$11,Simulador!$B$10*(1-COS(PI()*(1-(($A42-Simulador!$E$10)/Simulador!$G$10))/Simulador!$B$11))/2,Simulador!$B$10)))</f>
        <v>0</v>
      </c>
    </row>
    <row r="43" spans="1:7" x14ac:dyDescent="0.25">
      <c r="A43" s="17">
        <f>A42+Simulador!$B$14</f>
        <v>82</v>
      </c>
      <c r="B43" s="18">
        <f>IF(OR((($A43-Simulador!$E$5)/Simulador!$G$5)&lt;=0,(($A43-Simulador!$E$5)/Simulador!$G$5)&gt;=1),0,IF((($A43-Simulador!$E$5)/Simulador!$G$5)&lt;Simulador!$B$11,Simulador!$B$9*(1-COS(PI()*(($A43-Simulador!$E$5)/Simulador!$G$5)/Simulador!$B$11))/2,IF((($A43-Simulador!$E$5)/Simulador!$G$5)&gt;1-Simulador!$B$11,Simulador!$B$9*(1-COS(PI()*(1-(($A43-Simulador!$E$5)/Simulador!$G$5))/Simulador!$B$11))/2,Simulador!$B$9)))</f>
        <v>0</v>
      </c>
      <c r="C43" s="18">
        <f>IF(OR((($A43-Simulador!$E$6)/Simulador!$G$6)&lt;=0,(($A43-Simulador!$E$6)/Simulador!$G$6)&gt;=1),0,IF((($A43-Simulador!$E$6)/Simulador!$G$6)&lt;Simulador!$B$11,Simulador!$B$9*(1-COS(PI()*(($A43-Simulador!$E$6)/Simulador!$G$6)/Simulador!$B$11))/2,IF((($A43-Simulador!$E$6)/Simulador!$G$6)&gt;1-Simulador!$B$11,Simulador!$B$9*(1-COS(PI()*(1-(($A43-Simulador!$E$6)/Simulador!$G$6))/Simulador!$B$11))/2,Simulador!$B$9)))</f>
        <v>0</v>
      </c>
      <c r="D43" s="18">
        <f>IF(OR((($A43-Simulador!$E$7)/Simulador!$G$7)&lt;=0,(($A43-Simulador!$E$7)/Simulador!$G$7)&gt;=1),0,IF((($A43-Simulador!$E$7)/Simulador!$G$7)&lt;Simulador!$B$11,Simulador!$B$9*(1-COS(PI()*(($A43-Simulador!$E$7)/Simulador!$G$7)/Simulador!$B$11))/2,IF((($A43-Simulador!$E$7)/Simulador!$G$7)&gt;1-Simulador!$B$11,Simulador!$B$9*(1-COS(PI()*(1-(($A43-Simulador!$E$7)/Simulador!$G$7))/Simulador!$B$11))/2,Simulador!$B$9)))</f>
        <v>0</v>
      </c>
      <c r="E43" s="18">
        <f>IF(OR((($A43-Simulador!$E$8)/Simulador!$G$8)&lt;=0,(($A43-Simulador!$E$8)/Simulador!$G$8)&gt;=1),0,IF((($A43-Simulador!$E$8)/Simulador!$G$8)&lt;Simulador!$B$11,Simulador!$B$10*(1-COS(PI()*(($A43-Simulador!$E$8)/Simulador!$G$8)/Simulador!$B$11))/2,IF((($A43-Simulador!$E$8)/Simulador!$G$8)&gt;1-Simulador!$B$11,Simulador!$B$10*(1-COS(PI()*(1-(($A43-Simulador!$E$8)/Simulador!$G$8))/Simulador!$B$11))/2,Simulador!$B$10)))</f>
        <v>0</v>
      </c>
      <c r="F43" s="18">
        <f>IF(OR((($A43-Simulador!$E$9)/Simulador!$G$9)&lt;=0,(($A43-Simulador!$E$9)/Simulador!$G$9)&gt;=1),0,IF((($A43-Simulador!$E$9)/Simulador!$G$9)&lt;Simulador!$B$11,Simulador!$B$10*(1-COS(PI()*(($A43-Simulador!$E$9)/Simulador!$G$9)/Simulador!$B$11))/2,IF((($A43-Simulador!$E$9)/Simulador!$G$9)&gt;1-Simulador!$B$11,Simulador!$B$10*(1-COS(PI()*(1-(($A43-Simulador!$E$9)/Simulador!$G$9))/Simulador!$B$11))/2,Simulador!$B$10)))</f>
        <v>0</v>
      </c>
      <c r="G43" s="18">
        <f>IF(OR((($A43-Simulador!$E$10)/Simulador!$G$10)&lt;=0,(($A43-Simulador!$E$10)/Simulador!$G$10)&gt;=1),0,IF((($A43-Simulador!$E$10)/Simulador!$G$10)&lt;Simulador!$B$11,Simulador!$B$10*(1-COS(PI()*(($A43-Simulador!$E$10)/Simulador!$G$10)/Simulador!$B$11))/2,IF((($A43-Simulador!$E$10)/Simulador!$G$10)&gt;1-Simulador!$B$11,Simulador!$B$10*(1-COS(PI()*(1-(($A43-Simulador!$E$10)/Simulador!$G$10))/Simulador!$B$11))/2,Simulador!$B$10)))</f>
        <v>0</v>
      </c>
    </row>
    <row r="44" spans="1:7" x14ac:dyDescent="0.25">
      <c r="A44" s="17">
        <f>A43+Simulador!$B$14</f>
        <v>84</v>
      </c>
      <c r="B44" s="18">
        <f>IF(OR((($A44-Simulador!$E$5)/Simulador!$G$5)&lt;=0,(($A44-Simulador!$E$5)/Simulador!$G$5)&gt;=1),0,IF((($A44-Simulador!$E$5)/Simulador!$G$5)&lt;Simulador!$B$11,Simulador!$B$9*(1-COS(PI()*(($A44-Simulador!$E$5)/Simulador!$G$5)/Simulador!$B$11))/2,IF((($A44-Simulador!$E$5)/Simulador!$G$5)&gt;1-Simulador!$B$11,Simulador!$B$9*(1-COS(PI()*(1-(($A44-Simulador!$E$5)/Simulador!$G$5))/Simulador!$B$11))/2,Simulador!$B$9)))</f>
        <v>0</v>
      </c>
      <c r="C44" s="18">
        <f>IF(OR((($A44-Simulador!$E$6)/Simulador!$G$6)&lt;=0,(($A44-Simulador!$E$6)/Simulador!$G$6)&gt;=1),0,IF((($A44-Simulador!$E$6)/Simulador!$G$6)&lt;Simulador!$B$11,Simulador!$B$9*(1-COS(PI()*(($A44-Simulador!$E$6)/Simulador!$G$6)/Simulador!$B$11))/2,IF((($A44-Simulador!$E$6)/Simulador!$G$6)&gt;1-Simulador!$B$11,Simulador!$B$9*(1-COS(PI()*(1-(($A44-Simulador!$E$6)/Simulador!$G$6))/Simulador!$B$11))/2,Simulador!$B$9)))</f>
        <v>0</v>
      </c>
      <c r="D44" s="18">
        <f>IF(OR((($A44-Simulador!$E$7)/Simulador!$G$7)&lt;=0,(($A44-Simulador!$E$7)/Simulador!$G$7)&gt;=1),0,IF((($A44-Simulador!$E$7)/Simulador!$G$7)&lt;Simulador!$B$11,Simulador!$B$9*(1-COS(PI()*(($A44-Simulador!$E$7)/Simulador!$G$7)/Simulador!$B$11))/2,IF((($A44-Simulador!$E$7)/Simulador!$G$7)&gt;1-Simulador!$B$11,Simulador!$B$9*(1-COS(PI()*(1-(($A44-Simulador!$E$7)/Simulador!$G$7))/Simulador!$B$11))/2,Simulador!$B$9)))</f>
        <v>0</v>
      </c>
      <c r="E44" s="18">
        <f>IF(OR((($A44-Simulador!$E$8)/Simulador!$G$8)&lt;=0,(($A44-Simulador!$E$8)/Simulador!$G$8)&gt;=1),0,IF((($A44-Simulador!$E$8)/Simulador!$G$8)&lt;Simulador!$B$11,Simulador!$B$10*(1-COS(PI()*(($A44-Simulador!$E$8)/Simulador!$G$8)/Simulador!$B$11))/2,IF((($A44-Simulador!$E$8)/Simulador!$G$8)&gt;1-Simulador!$B$11,Simulador!$B$10*(1-COS(PI()*(1-(($A44-Simulador!$E$8)/Simulador!$G$8))/Simulador!$B$11))/2,Simulador!$B$10)))</f>
        <v>0</v>
      </c>
      <c r="F44" s="18">
        <f>IF(OR((($A44-Simulador!$E$9)/Simulador!$G$9)&lt;=0,(($A44-Simulador!$E$9)/Simulador!$G$9)&gt;=1),0,IF((($A44-Simulador!$E$9)/Simulador!$G$9)&lt;Simulador!$B$11,Simulador!$B$10*(1-COS(PI()*(($A44-Simulador!$E$9)/Simulador!$G$9)/Simulador!$B$11))/2,IF((($A44-Simulador!$E$9)/Simulador!$G$9)&gt;1-Simulador!$B$11,Simulador!$B$10*(1-COS(PI()*(1-(($A44-Simulador!$E$9)/Simulador!$G$9))/Simulador!$B$11))/2,Simulador!$B$10)))</f>
        <v>0</v>
      </c>
      <c r="G44" s="18">
        <f>IF(OR((($A44-Simulador!$E$10)/Simulador!$G$10)&lt;=0,(($A44-Simulador!$E$10)/Simulador!$G$10)&gt;=1),0,IF((($A44-Simulador!$E$10)/Simulador!$G$10)&lt;Simulador!$B$11,Simulador!$B$10*(1-COS(PI()*(($A44-Simulador!$E$10)/Simulador!$G$10)/Simulador!$B$11))/2,IF((($A44-Simulador!$E$10)/Simulador!$G$10)&gt;1-Simulador!$B$11,Simulador!$B$10*(1-COS(PI()*(1-(($A44-Simulador!$E$10)/Simulador!$G$10))/Simulador!$B$11))/2,Simulador!$B$10)))</f>
        <v>0</v>
      </c>
    </row>
    <row r="45" spans="1:7" x14ac:dyDescent="0.25">
      <c r="A45" s="17">
        <f>A44+Simulador!$B$14</f>
        <v>86</v>
      </c>
      <c r="B45" s="18">
        <f>IF(OR((($A45-Simulador!$E$5)/Simulador!$G$5)&lt;=0,(($A45-Simulador!$E$5)/Simulador!$G$5)&gt;=1),0,IF((($A45-Simulador!$E$5)/Simulador!$G$5)&lt;Simulador!$B$11,Simulador!$B$9*(1-COS(PI()*(($A45-Simulador!$E$5)/Simulador!$G$5)/Simulador!$B$11))/2,IF((($A45-Simulador!$E$5)/Simulador!$G$5)&gt;1-Simulador!$B$11,Simulador!$B$9*(1-COS(PI()*(1-(($A45-Simulador!$E$5)/Simulador!$G$5))/Simulador!$B$11))/2,Simulador!$B$9)))</f>
        <v>0</v>
      </c>
      <c r="C45" s="18">
        <f>IF(OR((($A45-Simulador!$E$6)/Simulador!$G$6)&lt;=0,(($A45-Simulador!$E$6)/Simulador!$G$6)&gt;=1),0,IF((($A45-Simulador!$E$6)/Simulador!$G$6)&lt;Simulador!$B$11,Simulador!$B$9*(1-COS(PI()*(($A45-Simulador!$E$6)/Simulador!$G$6)/Simulador!$B$11))/2,IF((($A45-Simulador!$E$6)/Simulador!$G$6)&gt;1-Simulador!$B$11,Simulador!$B$9*(1-COS(PI()*(1-(($A45-Simulador!$E$6)/Simulador!$G$6))/Simulador!$B$11))/2,Simulador!$B$9)))</f>
        <v>0</v>
      </c>
      <c r="D45" s="18">
        <f>IF(OR((($A45-Simulador!$E$7)/Simulador!$G$7)&lt;=0,(($A45-Simulador!$E$7)/Simulador!$G$7)&gt;=1),0,IF((($A45-Simulador!$E$7)/Simulador!$G$7)&lt;Simulador!$B$11,Simulador!$B$9*(1-COS(PI()*(($A45-Simulador!$E$7)/Simulador!$G$7)/Simulador!$B$11))/2,IF((($A45-Simulador!$E$7)/Simulador!$G$7)&gt;1-Simulador!$B$11,Simulador!$B$9*(1-COS(PI()*(1-(($A45-Simulador!$E$7)/Simulador!$G$7))/Simulador!$B$11))/2,Simulador!$B$9)))</f>
        <v>0</v>
      </c>
      <c r="E45" s="18">
        <f>IF(OR((($A45-Simulador!$E$8)/Simulador!$G$8)&lt;=0,(($A45-Simulador!$E$8)/Simulador!$G$8)&gt;=1),0,IF((($A45-Simulador!$E$8)/Simulador!$G$8)&lt;Simulador!$B$11,Simulador!$B$10*(1-COS(PI()*(($A45-Simulador!$E$8)/Simulador!$G$8)/Simulador!$B$11))/2,IF((($A45-Simulador!$E$8)/Simulador!$G$8)&gt;1-Simulador!$B$11,Simulador!$B$10*(1-COS(PI()*(1-(($A45-Simulador!$E$8)/Simulador!$G$8))/Simulador!$B$11))/2,Simulador!$B$10)))</f>
        <v>0</v>
      </c>
      <c r="F45" s="18">
        <f>IF(OR((($A45-Simulador!$E$9)/Simulador!$G$9)&lt;=0,(($A45-Simulador!$E$9)/Simulador!$G$9)&gt;=1),0,IF((($A45-Simulador!$E$9)/Simulador!$G$9)&lt;Simulador!$B$11,Simulador!$B$10*(1-COS(PI()*(($A45-Simulador!$E$9)/Simulador!$G$9)/Simulador!$B$11))/2,IF((($A45-Simulador!$E$9)/Simulador!$G$9)&gt;1-Simulador!$B$11,Simulador!$B$10*(1-COS(PI()*(1-(($A45-Simulador!$E$9)/Simulador!$G$9))/Simulador!$B$11))/2,Simulador!$B$10)))</f>
        <v>0</v>
      </c>
      <c r="G45" s="18">
        <f>IF(OR((($A45-Simulador!$E$10)/Simulador!$G$10)&lt;=0,(($A45-Simulador!$E$10)/Simulador!$G$10)&gt;=1),0,IF((($A45-Simulador!$E$10)/Simulador!$G$10)&lt;Simulador!$B$11,Simulador!$B$10*(1-COS(PI()*(($A45-Simulador!$E$10)/Simulador!$G$10)/Simulador!$B$11))/2,IF((($A45-Simulador!$E$10)/Simulador!$G$10)&gt;1-Simulador!$B$11,Simulador!$B$10*(1-COS(PI()*(1-(($A45-Simulador!$E$10)/Simulador!$G$10))/Simulador!$B$11))/2,Simulador!$B$10)))</f>
        <v>0</v>
      </c>
    </row>
    <row r="46" spans="1:7" x14ac:dyDescent="0.25">
      <c r="A46" s="17">
        <f>A45+Simulador!$B$14</f>
        <v>88</v>
      </c>
      <c r="B46" s="18">
        <f>IF(OR((($A46-Simulador!$E$5)/Simulador!$G$5)&lt;=0,(($A46-Simulador!$E$5)/Simulador!$G$5)&gt;=1),0,IF((($A46-Simulador!$E$5)/Simulador!$G$5)&lt;Simulador!$B$11,Simulador!$B$9*(1-COS(PI()*(($A46-Simulador!$E$5)/Simulador!$G$5)/Simulador!$B$11))/2,IF((($A46-Simulador!$E$5)/Simulador!$G$5)&gt;1-Simulador!$B$11,Simulador!$B$9*(1-COS(PI()*(1-(($A46-Simulador!$E$5)/Simulador!$G$5))/Simulador!$B$11))/2,Simulador!$B$9)))</f>
        <v>0</v>
      </c>
      <c r="C46" s="18">
        <f>IF(OR((($A46-Simulador!$E$6)/Simulador!$G$6)&lt;=0,(($A46-Simulador!$E$6)/Simulador!$G$6)&gt;=1),0,IF((($A46-Simulador!$E$6)/Simulador!$G$6)&lt;Simulador!$B$11,Simulador!$B$9*(1-COS(PI()*(($A46-Simulador!$E$6)/Simulador!$G$6)/Simulador!$B$11))/2,IF((($A46-Simulador!$E$6)/Simulador!$G$6)&gt;1-Simulador!$B$11,Simulador!$B$9*(1-COS(PI()*(1-(($A46-Simulador!$E$6)/Simulador!$G$6))/Simulador!$B$11))/2,Simulador!$B$9)))</f>
        <v>0</v>
      </c>
      <c r="D46" s="18">
        <f>IF(OR((($A46-Simulador!$E$7)/Simulador!$G$7)&lt;=0,(($A46-Simulador!$E$7)/Simulador!$G$7)&gt;=1),0,IF((($A46-Simulador!$E$7)/Simulador!$G$7)&lt;Simulador!$B$11,Simulador!$B$9*(1-COS(PI()*(($A46-Simulador!$E$7)/Simulador!$G$7)/Simulador!$B$11))/2,IF((($A46-Simulador!$E$7)/Simulador!$G$7)&gt;1-Simulador!$B$11,Simulador!$B$9*(1-COS(PI()*(1-(($A46-Simulador!$E$7)/Simulador!$G$7))/Simulador!$B$11))/2,Simulador!$B$9)))</f>
        <v>0</v>
      </c>
      <c r="E46" s="18">
        <f>IF(OR((($A46-Simulador!$E$8)/Simulador!$G$8)&lt;=0,(($A46-Simulador!$E$8)/Simulador!$G$8)&gt;=1),0,IF((($A46-Simulador!$E$8)/Simulador!$G$8)&lt;Simulador!$B$11,Simulador!$B$10*(1-COS(PI()*(($A46-Simulador!$E$8)/Simulador!$G$8)/Simulador!$B$11))/2,IF((($A46-Simulador!$E$8)/Simulador!$G$8)&gt;1-Simulador!$B$11,Simulador!$B$10*(1-COS(PI()*(1-(($A46-Simulador!$E$8)/Simulador!$G$8))/Simulador!$B$11))/2,Simulador!$B$10)))</f>
        <v>0</v>
      </c>
      <c r="F46" s="18">
        <f>IF(OR((($A46-Simulador!$E$9)/Simulador!$G$9)&lt;=0,(($A46-Simulador!$E$9)/Simulador!$G$9)&gt;=1),0,IF((($A46-Simulador!$E$9)/Simulador!$G$9)&lt;Simulador!$B$11,Simulador!$B$10*(1-COS(PI()*(($A46-Simulador!$E$9)/Simulador!$G$9)/Simulador!$B$11))/2,IF((($A46-Simulador!$E$9)/Simulador!$G$9)&gt;1-Simulador!$B$11,Simulador!$B$10*(1-COS(PI()*(1-(($A46-Simulador!$E$9)/Simulador!$G$9))/Simulador!$B$11))/2,Simulador!$B$10)))</f>
        <v>0</v>
      </c>
      <c r="G46" s="18">
        <f>IF(OR((($A46-Simulador!$E$10)/Simulador!$G$10)&lt;=0,(($A46-Simulador!$E$10)/Simulador!$G$10)&gt;=1),0,IF((($A46-Simulador!$E$10)/Simulador!$G$10)&lt;Simulador!$B$11,Simulador!$B$10*(1-COS(PI()*(($A46-Simulador!$E$10)/Simulador!$G$10)/Simulador!$B$11))/2,IF((($A46-Simulador!$E$10)/Simulador!$G$10)&gt;1-Simulador!$B$11,Simulador!$B$10*(1-COS(PI()*(1-(($A46-Simulador!$E$10)/Simulador!$G$10))/Simulador!$B$11))/2,Simulador!$B$10)))</f>
        <v>0</v>
      </c>
    </row>
    <row r="47" spans="1:7" x14ac:dyDescent="0.25">
      <c r="A47" s="17">
        <f>A46+Simulador!$B$14</f>
        <v>90</v>
      </c>
      <c r="B47" s="18">
        <f>IF(OR((($A47-Simulador!$E$5)/Simulador!$G$5)&lt;=0,(($A47-Simulador!$E$5)/Simulador!$G$5)&gt;=1),0,IF((($A47-Simulador!$E$5)/Simulador!$G$5)&lt;Simulador!$B$11,Simulador!$B$9*(1-COS(PI()*(($A47-Simulador!$E$5)/Simulador!$G$5)/Simulador!$B$11))/2,IF((($A47-Simulador!$E$5)/Simulador!$G$5)&gt;1-Simulador!$B$11,Simulador!$B$9*(1-COS(PI()*(1-(($A47-Simulador!$E$5)/Simulador!$G$5))/Simulador!$B$11))/2,Simulador!$B$9)))</f>
        <v>0</v>
      </c>
      <c r="C47" s="18">
        <f>IF(OR((($A47-Simulador!$E$6)/Simulador!$G$6)&lt;=0,(($A47-Simulador!$E$6)/Simulador!$G$6)&gt;=1),0,IF((($A47-Simulador!$E$6)/Simulador!$G$6)&lt;Simulador!$B$11,Simulador!$B$9*(1-COS(PI()*(($A47-Simulador!$E$6)/Simulador!$G$6)/Simulador!$B$11))/2,IF((($A47-Simulador!$E$6)/Simulador!$G$6)&gt;1-Simulador!$B$11,Simulador!$B$9*(1-COS(PI()*(1-(($A47-Simulador!$E$6)/Simulador!$G$6))/Simulador!$B$11))/2,Simulador!$B$9)))</f>
        <v>0</v>
      </c>
      <c r="D47" s="18">
        <f>IF(OR((($A47-Simulador!$E$7)/Simulador!$G$7)&lt;=0,(($A47-Simulador!$E$7)/Simulador!$G$7)&gt;=1),0,IF((($A47-Simulador!$E$7)/Simulador!$G$7)&lt;Simulador!$B$11,Simulador!$B$9*(1-COS(PI()*(($A47-Simulador!$E$7)/Simulador!$G$7)/Simulador!$B$11))/2,IF((($A47-Simulador!$E$7)/Simulador!$G$7)&gt;1-Simulador!$B$11,Simulador!$B$9*(1-COS(PI()*(1-(($A47-Simulador!$E$7)/Simulador!$G$7))/Simulador!$B$11))/2,Simulador!$B$9)))</f>
        <v>0</v>
      </c>
      <c r="E47" s="18">
        <f>IF(OR((($A47-Simulador!$E$8)/Simulador!$G$8)&lt;=0,(($A47-Simulador!$E$8)/Simulador!$G$8)&gt;=1),0,IF((($A47-Simulador!$E$8)/Simulador!$G$8)&lt;Simulador!$B$11,Simulador!$B$10*(1-COS(PI()*(($A47-Simulador!$E$8)/Simulador!$G$8)/Simulador!$B$11))/2,IF((($A47-Simulador!$E$8)/Simulador!$G$8)&gt;1-Simulador!$B$11,Simulador!$B$10*(1-COS(PI()*(1-(($A47-Simulador!$E$8)/Simulador!$G$8))/Simulador!$B$11))/2,Simulador!$B$10)))</f>
        <v>0</v>
      </c>
      <c r="F47" s="18">
        <f>IF(OR((($A47-Simulador!$E$9)/Simulador!$G$9)&lt;=0,(($A47-Simulador!$E$9)/Simulador!$G$9)&gt;=1),0,IF((($A47-Simulador!$E$9)/Simulador!$G$9)&lt;Simulador!$B$11,Simulador!$B$10*(1-COS(PI()*(($A47-Simulador!$E$9)/Simulador!$G$9)/Simulador!$B$11))/2,IF((($A47-Simulador!$E$9)/Simulador!$G$9)&gt;1-Simulador!$B$11,Simulador!$B$10*(1-COS(PI()*(1-(($A47-Simulador!$E$9)/Simulador!$G$9))/Simulador!$B$11))/2,Simulador!$B$10)))</f>
        <v>0</v>
      </c>
      <c r="G47" s="18">
        <f>IF(OR((($A47-Simulador!$E$10)/Simulador!$G$10)&lt;=0,(($A47-Simulador!$E$10)/Simulador!$G$10)&gt;=1),0,IF((($A47-Simulador!$E$10)/Simulador!$G$10)&lt;Simulador!$B$11,Simulador!$B$10*(1-COS(PI()*(($A47-Simulador!$E$10)/Simulador!$G$10)/Simulador!$B$11))/2,IF((($A47-Simulador!$E$10)/Simulador!$G$10)&gt;1-Simulador!$B$11,Simulador!$B$10*(1-COS(PI()*(1-(($A47-Simulador!$E$10)/Simulador!$G$10))/Simulador!$B$11))/2,Simulador!$B$10)))</f>
        <v>0</v>
      </c>
    </row>
    <row r="48" spans="1:7" x14ac:dyDescent="0.25">
      <c r="A48" s="17">
        <f>A47+Simulador!$B$14</f>
        <v>92</v>
      </c>
      <c r="B48" s="18">
        <f>IF(OR((($A48-Simulador!$E$5)/Simulador!$G$5)&lt;=0,(($A48-Simulador!$E$5)/Simulador!$G$5)&gt;=1),0,IF((($A48-Simulador!$E$5)/Simulador!$G$5)&lt;Simulador!$B$11,Simulador!$B$9*(1-COS(PI()*(($A48-Simulador!$E$5)/Simulador!$G$5)/Simulador!$B$11))/2,IF((($A48-Simulador!$E$5)/Simulador!$G$5)&gt;1-Simulador!$B$11,Simulador!$B$9*(1-COS(PI()*(1-(($A48-Simulador!$E$5)/Simulador!$G$5))/Simulador!$B$11))/2,Simulador!$B$9)))</f>
        <v>0</v>
      </c>
      <c r="C48" s="18">
        <f>IF(OR((($A48-Simulador!$E$6)/Simulador!$G$6)&lt;=0,(($A48-Simulador!$E$6)/Simulador!$G$6)&gt;=1),0,IF((($A48-Simulador!$E$6)/Simulador!$G$6)&lt;Simulador!$B$11,Simulador!$B$9*(1-COS(PI()*(($A48-Simulador!$E$6)/Simulador!$G$6)/Simulador!$B$11))/2,IF((($A48-Simulador!$E$6)/Simulador!$G$6)&gt;1-Simulador!$B$11,Simulador!$B$9*(1-COS(PI()*(1-(($A48-Simulador!$E$6)/Simulador!$G$6))/Simulador!$B$11))/2,Simulador!$B$9)))</f>
        <v>0</v>
      </c>
      <c r="D48" s="18">
        <f>IF(OR((($A48-Simulador!$E$7)/Simulador!$G$7)&lt;=0,(($A48-Simulador!$E$7)/Simulador!$G$7)&gt;=1),0,IF((($A48-Simulador!$E$7)/Simulador!$G$7)&lt;Simulador!$B$11,Simulador!$B$9*(1-COS(PI()*(($A48-Simulador!$E$7)/Simulador!$G$7)/Simulador!$B$11))/2,IF((($A48-Simulador!$E$7)/Simulador!$G$7)&gt;1-Simulador!$B$11,Simulador!$B$9*(1-COS(PI()*(1-(($A48-Simulador!$E$7)/Simulador!$G$7))/Simulador!$B$11))/2,Simulador!$B$9)))</f>
        <v>0</v>
      </c>
      <c r="E48" s="18">
        <f>IF(OR((($A48-Simulador!$E$8)/Simulador!$G$8)&lt;=0,(($A48-Simulador!$E$8)/Simulador!$G$8)&gt;=1),0,IF((($A48-Simulador!$E$8)/Simulador!$G$8)&lt;Simulador!$B$11,Simulador!$B$10*(1-COS(PI()*(($A48-Simulador!$E$8)/Simulador!$G$8)/Simulador!$B$11))/2,IF((($A48-Simulador!$E$8)/Simulador!$G$8)&gt;1-Simulador!$B$11,Simulador!$B$10*(1-COS(PI()*(1-(($A48-Simulador!$E$8)/Simulador!$G$8))/Simulador!$B$11))/2,Simulador!$B$10)))</f>
        <v>0</v>
      </c>
      <c r="F48" s="18">
        <f>IF(OR((($A48-Simulador!$E$9)/Simulador!$G$9)&lt;=0,(($A48-Simulador!$E$9)/Simulador!$G$9)&gt;=1),0,IF((($A48-Simulador!$E$9)/Simulador!$G$9)&lt;Simulador!$B$11,Simulador!$B$10*(1-COS(PI()*(($A48-Simulador!$E$9)/Simulador!$G$9)/Simulador!$B$11))/2,IF((($A48-Simulador!$E$9)/Simulador!$G$9)&gt;1-Simulador!$B$11,Simulador!$B$10*(1-COS(PI()*(1-(($A48-Simulador!$E$9)/Simulador!$G$9))/Simulador!$B$11))/2,Simulador!$B$10)))</f>
        <v>0</v>
      </c>
      <c r="G48" s="18">
        <f>IF(OR((($A48-Simulador!$E$10)/Simulador!$G$10)&lt;=0,(($A48-Simulador!$E$10)/Simulador!$G$10)&gt;=1),0,IF((($A48-Simulador!$E$10)/Simulador!$G$10)&lt;Simulador!$B$11,Simulador!$B$10*(1-COS(PI()*(($A48-Simulador!$E$10)/Simulador!$G$10)/Simulador!$B$11))/2,IF((($A48-Simulador!$E$10)/Simulador!$G$10)&gt;1-Simulador!$B$11,Simulador!$B$10*(1-COS(PI()*(1-(($A48-Simulador!$E$10)/Simulador!$G$10))/Simulador!$B$11))/2,Simulador!$B$10)))</f>
        <v>0</v>
      </c>
    </row>
    <row r="49" spans="1:7" x14ac:dyDescent="0.25">
      <c r="A49" s="17">
        <f>A48+Simulador!$B$14</f>
        <v>94</v>
      </c>
      <c r="B49" s="18">
        <f>IF(OR((($A49-Simulador!$E$5)/Simulador!$G$5)&lt;=0,(($A49-Simulador!$E$5)/Simulador!$G$5)&gt;=1),0,IF((($A49-Simulador!$E$5)/Simulador!$G$5)&lt;Simulador!$B$11,Simulador!$B$9*(1-COS(PI()*(($A49-Simulador!$E$5)/Simulador!$G$5)/Simulador!$B$11))/2,IF((($A49-Simulador!$E$5)/Simulador!$G$5)&gt;1-Simulador!$B$11,Simulador!$B$9*(1-COS(PI()*(1-(($A49-Simulador!$E$5)/Simulador!$G$5))/Simulador!$B$11))/2,Simulador!$B$9)))</f>
        <v>0</v>
      </c>
      <c r="C49" s="18">
        <f>IF(OR((($A49-Simulador!$E$6)/Simulador!$G$6)&lt;=0,(($A49-Simulador!$E$6)/Simulador!$G$6)&gt;=1),0,IF((($A49-Simulador!$E$6)/Simulador!$G$6)&lt;Simulador!$B$11,Simulador!$B$9*(1-COS(PI()*(($A49-Simulador!$E$6)/Simulador!$G$6)/Simulador!$B$11))/2,IF((($A49-Simulador!$E$6)/Simulador!$G$6)&gt;1-Simulador!$B$11,Simulador!$B$9*(1-COS(PI()*(1-(($A49-Simulador!$E$6)/Simulador!$G$6))/Simulador!$B$11))/2,Simulador!$B$9)))</f>
        <v>0</v>
      </c>
      <c r="D49" s="18">
        <f>IF(OR((($A49-Simulador!$E$7)/Simulador!$G$7)&lt;=0,(($A49-Simulador!$E$7)/Simulador!$G$7)&gt;=1),0,IF((($A49-Simulador!$E$7)/Simulador!$G$7)&lt;Simulador!$B$11,Simulador!$B$9*(1-COS(PI()*(($A49-Simulador!$E$7)/Simulador!$G$7)/Simulador!$B$11))/2,IF((($A49-Simulador!$E$7)/Simulador!$G$7)&gt;1-Simulador!$B$11,Simulador!$B$9*(1-COS(PI()*(1-(($A49-Simulador!$E$7)/Simulador!$G$7))/Simulador!$B$11))/2,Simulador!$B$9)))</f>
        <v>0</v>
      </c>
      <c r="E49" s="18">
        <f>IF(OR((($A49-Simulador!$E$8)/Simulador!$G$8)&lt;=0,(($A49-Simulador!$E$8)/Simulador!$G$8)&gt;=1),0,IF((($A49-Simulador!$E$8)/Simulador!$G$8)&lt;Simulador!$B$11,Simulador!$B$10*(1-COS(PI()*(($A49-Simulador!$E$8)/Simulador!$G$8)/Simulador!$B$11))/2,IF((($A49-Simulador!$E$8)/Simulador!$G$8)&gt;1-Simulador!$B$11,Simulador!$B$10*(1-COS(PI()*(1-(($A49-Simulador!$E$8)/Simulador!$G$8))/Simulador!$B$11))/2,Simulador!$B$10)))</f>
        <v>0</v>
      </c>
      <c r="F49" s="18">
        <f>IF(OR((($A49-Simulador!$E$9)/Simulador!$G$9)&lt;=0,(($A49-Simulador!$E$9)/Simulador!$G$9)&gt;=1),0,IF((($A49-Simulador!$E$9)/Simulador!$G$9)&lt;Simulador!$B$11,Simulador!$B$10*(1-COS(PI()*(($A49-Simulador!$E$9)/Simulador!$G$9)/Simulador!$B$11))/2,IF((($A49-Simulador!$E$9)/Simulador!$G$9)&gt;1-Simulador!$B$11,Simulador!$B$10*(1-COS(PI()*(1-(($A49-Simulador!$E$9)/Simulador!$G$9))/Simulador!$B$11))/2,Simulador!$B$10)))</f>
        <v>0</v>
      </c>
      <c r="G49" s="18">
        <f>IF(OR((($A49-Simulador!$E$10)/Simulador!$G$10)&lt;=0,(($A49-Simulador!$E$10)/Simulador!$G$10)&gt;=1),0,IF((($A49-Simulador!$E$10)/Simulador!$G$10)&lt;Simulador!$B$11,Simulador!$B$10*(1-COS(PI()*(($A49-Simulador!$E$10)/Simulador!$G$10)/Simulador!$B$11))/2,IF((($A49-Simulador!$E$10)/Simulador!$G$10)&gt;1-Simulador!$B$11,Simulador!$B$10*(1-COS(PI()*(1-(($A49-Simulador!$E$10)/Simulador!$G$10))/Simulador!$B$11))/2,Simulador!$B$10)))</f>
        <v>0</v>
      </c>
    </row>
    <row r="50" spans="1:7" x14ac:dyDescent="0.25">
      <c r="A50" s="17">
        <f>A49+Simulador!$B$14</f>
        <v>96</v>
      </c>
      <c r="B50" s="18">
        <f>IF(OR((($A50-Simulador!$E$5)/Simulador!$G$5)&lt;=0,(($A50-Simulador!$E$5)/Simulador!$G$5)&gt;=1),0,IF((($A50-Simulador!$E$5)/Simulador!$G$5)&lt;Simulador!$B$11,Simulador!$B$9*(1-COS(PI()*(($A50-Simulador!$E$5)/Simulador!$G$5)/Simulador!$B$11))/2,IF((($A50-Simulador!$E$5)/Simulador!$G$5)&gt;1-Simulador!$B$11,Simulador!$B$9*(1-COS(PI()*(1-(($A50-Simulador!$E$5)/Simulador!$G$5))/Simulador!$B$11))/2,Simulador!$B$9)))</f>
        <v>0</v>
      </c>
      <c r="C50" s="18">
        <f>IF(OR((($A50-Simulador!$E$6)/Simulador!$G$6)&lt;=0,(($A50-Simulador!$E$6)/Simulador!$G$6)&gt;=1),0,IF((($A50-Simulador!$E$6)/Simulador!$G$6)&lt;Simulador!$B$11,Simulador!$B$9*(1-COS(PI()*(($A50-Simulador!$E$6)/Simulador!$G$6)/Simulador!$B$11))/2,IF((($A50-Simulador!$E$6)/Simulador!$G$6)&gt;1-Simulador!$B$11,Simulador!$B$9*(1-COS(PI()*(1-(($A50-Simulador!$E$6)/Simulador!$G$6))/Simulador!$B$11))/2,Simulador!$B$9)))</f>
        <v>0</v>
      </c>
      <c r="D50" s="18">
        <f>IF(OR((($A50-Simulador!$E$7)/Simulador!$G$7)&lt;=0,(($A50-Simulador!$E$7)/Simulador!$G$7)&gt;=1),0,IF((($A50-Simulador!$E$7)/Simulador!$G$7)&lt;Simulador!$B$11,Simulador!$B$9*(1-COS(PI()*(($A50-Simulador!$E$7)/Simulador!$G$7)/Simulador!$B$11))/2,IF((($A50-Simulador!$E$7)/Simulador!$G$7)&gt;1-Simulador!$B$11,Simulador!$B$9*(1-COS(PI()*(1-(($A50-Simulador!$E$7)/Simulador!$G$7))/Simulador!$B$11))/2,Simulador!$B$9)))</f>
        <v>0</v>
      </c>
      <c r="E50" s="18">
        <f>IF(OR((($A50-Simulador!$E$8)/Simulador!$G$8)&lt;=0,(($A50-Simulador!$E$8)/Simulador!$G$8)&gt;=1),0,IF((($A50-Simulador!$E$8)/Simulador!$G$8)&lt;Simulador!$B$11,Simulador!$B$10*(1-COS(PI()*(($A50-Simulador!$E$8)/Simulador!$G$8)/Simulador!$B$11))/2,IF((($A50-Simulador!$E$8)/Simulador!$G$8)&gt;1-Simulador!$B$11,Simulador!$B$10*(1-COS(PI()*(1-(($A50-Simulador!$E$8)/Simulador!$G$8))/Simulador!$B$11))/2,Simulador!$B$10)))</f>
        <v>0</v>
      </c>
      <c r="F50" s="18">
        <f>IF(OR((($A50-Simulador!$E$9)/Simulador!$G$9)&lt;=0,(($A50-Simulador!$E$9)/Simulador!$G$9)&gt;=1),0,IF((($A50-Simulador!$E$9)/Simulador!$G$9)&lt;Simulador!$B$11,Simulador!$B$10*(1-COS(PI()*(($A50-Simulador!$E$9)/Simulador!$G$9)/Simulador!$B$11))/2,IF((($A50-Simulador!$E$9)/Simulador!$G$9)&gt;1-Simulador!$B$11,Simulador!$B$10*(1-COS(PI()*(1-(($A50-Simulador!$E$9)/Simulador!$G$9))/Simulador!$B$11))/2,Simulador!$B$10)))</f>
        <v>0</v>
      </c>
      <c r="G50" s="18">
        <f>IF(OR((($A50-Simulador!$E$10)/Simulador!$G$10)&lt;=0,(($A50-Simulador!$E$10)/Simulador!$G$10)&gt;=1),0,IF((($A50-Simulador!$E$10)/Simulador!$G$10)&lt;Simulador!$B$11,Simulador!$B$10*(1-COS(PI()*(($A50-Simulador!$E$10)/Simulador!$G$10)/Simulador!$B$11))/2,IF((($A50-Simulador!$E$10)/Simulador!$G$10)&gt;1-Simulador!$B$11,Simulador!$B$10*(1-COS(PI()*(1-(($A50-Simulador!$E$10)/Simulador!$G$10))/Simulador!$B$11))/2,Simulador!$B$10)))</f>
        <v>0</v>
      </c>
    </row>
    <row r="51" spans="1:7" x14ac:dyDescent="0.25">
      <c r="A51" s="17">
        <f>A50+Simulador!$B$14</f>
        <v>98</v>
      </c>
      <c r="B51" s="18">
        <f>IF(OR((($A51-Simulador!$E$5)/Simulador!$G$5)&lt;=0,(($A51-Simulador!$E$5)/Simulador!$G$5)&gt;=1),0,IF((($A51-Simulador!$E$5)/Simulador!$G$5)&lt;Simulador!$B$11,Simulador!$B$9*(1-COS(PI()*(($A51-Simulador!$E$5)/Simulador!$G$5)/Simulador!$B$11))/2,IF((($A51-Simulador!$E$5)/Simulador!$G$5)&gt;1-Simulador!$B$11,Simulador!$B$9*(1-COS(PI()*(1-(($A51-Simulador!$E$5)/Simulador!$G$5))/Simulador!$B$11))/2,Simulador!$B$9)))</f>
        <v>0</v>
      </c>
      <c r="C51" s="18">
        <f>IF(OR((($A51-Simulador!$E$6)/Simulador!$G$6)&lt;=0,(($A51-Simulador!$E$6)/Simulador!$G$6)&gt;=1),0,IF((($A51-Simulador!$E$6)/Simulador!$G$6)&lt;Simulador!$B$11,Simulador!$B$9*(1-COS(PI()*(($A51-Simulador!$E$6)/Simulador!$G$6)/Simulador!$B$11))/2,IF((($A51-Simulador!$E$6)/Simulador!$G$6)&gt;1-Simulador!$B$11,Simulador!$B$9*(1-COS(PI()*(1-(($A51-Simulador!$E$6)/Simulador!$G$6))/Simulador!$B$11))/2,Simulador!$B$9)))</f>
        <v>0</v>
      </c>
      <c r="D51" s="18">
        <f>IF(OR((($A51-Simulador!$E$7)/Simulador!$G$7)&lt;=0,(($A51-Simulador!$E$7)/Simulador!$G$7)&gt;=1),0,IF((($A51-Simulador!$E$7)/Simulador!$G$7)&lt;Simulador!$B$11,Simulador!$B$9*(1-COS(PI()*(($A51-Simulador!$E$7)/Simulador!$G$7)/Simulador!$B$11))/2,IF((($A51-Simulador!$E$7)/Simulador!$G$7)&gt;1-Simulador!$B$11,Simulador!$B$9*(1-COS(PI()*(1-(($A51-Simulador!$E$7)/Simulador!$G$7))/Simulador!$B$11))/2,Simulador!$B$9)))</f>
        <v>0</v>
      </c>
      <c r="E51" s="18">
        <f>IF(OR((($A51-Simulador!$E$8)/Simulador!$G$8)&lt;=0,(($A51-Simulador!$E$8)/Simulador!$G$8)&gt;=1),0,IF((($A51-Simulador!$E$8)/Simulador!$G$8)&lt;Simulador!$B$11,Simulador!$B$10*(1-COS(PI()*(($A51-Simulador!$E$8)/Simulador!$G$8)/Simulador!$B$11))/2,IF((($A51-Simulador!$E$8)/Simulador!$G$8)&gt;1-Simulador!$B$11,Simulador!$B$10*(1-COS(PI()*(1-(($A51-Simulador!$E$8)/Simulador!$G$8))/Simulador!$B$11))/2,Simulador!$B$10)))</f>
        <v>0</v>
      </c>
      <c r="F51" s="18">
        <f>IF(OR((($A51-Simulador!$E$9)/Simulador!$G$9)&lt;=0,(($A51-Simulador!$E$9)/Simulador!$G$9)&gt;=1),0,IF((($A51-Simulador!$E$9)/Simulador!$G$9)&lt;Simulador!$B$11,Simulador!$B$10*(1-COS(PI()*(($A51-Simulador!$E$9)/Simulador!$G$9)/Simulador!$B$11))/2,IF((($A51-Simulador!$E$9)/Simulador!$G$9)&gt;1-Simulador!$B$11,Simulador!$B$10*(1-COS(PI()*(1-(($A51-Simulador!$E$9)/Simulador!$G$9))/Simulador!$B$11))/2,Simulador!$B$10)))</f>
        <v>0</v>
      </c>
      <c r="G51" s="18">
        <f>IF(OR((($A51-Simulador!$E$10)/Simulador!$G$10)&lt;=0,(($A51-Simulador!$E$10)/Simulador!$G$10)&gt;=1),0,IF((($A51-Simulador!$E$10)/Simulador!$G$10)&lt;Simulador!$B$11,Simulador!$B$10*(1-COS(PI()*(($A51-Simulador!$E$10)/Simulador!$G$10)/Simulador!$B$11))/2,IF((($A51-Simulador!$E$10)/Simulador!$G$10)&gt;1-Simulador!$B$11,Simulador!$B$10*(1-COS(PI()*(1-(($A51-Simulador!$E$10)/Simulador!$G$10))/Simulador!$B$11))/2,Simulador!$B$10)))</f>
        <v>0</v>
      </c>
    </row>
    <row r="52" spans="1:7" x14ac:dyDescent="0.25">
      <c r="A52" s="17">
        <f>A51+Simulador!$B$14</f>
        <v>100</v>
      </c>
      <c r="B52" s="18">
        <f>IF(OR((($A52-Simulador!$E$5)/Simulador!$G$5)&lt;=0,(($A52-Simulador!$E$5)/Simulador!$G$5)&gt;=1),0,IF((($A52-Simulador!$E$5)/Simulador!$G$5)&lt;Simulador!$B$11,Simulador!$B$9*(1-COS(PI()*(($A52-Simulador!$E$5)/Simulador!$G$5)/Simulador!$B$11))/2,IF((($A52-Simulador!$E$5)/Simulador!$G$5)&gt;1-Simulador!$B$11,Simulador!$B$9*(1-COS(PI()*(1-(($A52-Simulador!$E$5)/Simulador!$G$5))/Simulador!$B$11))/2,Simulador!$B$9)))</f>
        <v>0</v>
      </c>
      <c r="C52" s="18">
        <f>IF(OR((($A52-Simulador!$E$6)/Simulador!$G$6)&lt;=0,(($A52-Simulador!$E$6)/Simulador!$G$6)&gt;=1),0,IF((($A52-Simulador!$E$6)/Simulador!$G$6)&lt;Simulador!$B$11,Simulador!$B$9*(1-COS(PI()*(($A52-Simulador!$E$6)/Simulador!$G$6)/Simulador!$B$11))/2,IF((($A52-Simulador!$E$6)/Simulador!$G$6)&gt;1-Simulador!$B$11,Simulador!$B$9*(1-COS(PI()*(1-(($A52-Simulador!$E$6)/Simulador!$G$6))/Simulador!$B$11))/2,Simulador!$B$9)))</f>
        <v>0</v>
      </c>
      <c r="D52" s="18">
        <f>IF(OR((($A52-Simulador!$E$7)/Simulador!$G$7)&lt;=0,(($A52-Simulador!$E$7)/Simulador!$G$7)&gt;=1),0,IF((($A52-Simulador!$E$7)/Simulador!$G$7)&lt;Simulador!$B$11,Simulador!$B$9*(1-COS(PI()*(($A52-Simulador!$E$7)/Simulador!$G$7)/Simulador!$B$11))/2,IF((($A52-Simulador!$E$7)/Simulador!$G$7)&gt;1-Simulador!$B$11,Simulador!$B$9*(1-COS(PI()*(1-(($A52-Simulador!$E$7)/Simulador!$G$7))/Simulador!$B$11))/2,Simulador!$B$9)))</f>
        <v>0</v>
      </c>
      <c r="E52" s="18">
        <f>IF(OR((($A52-Simulador!$E$8)/Simulador!$G$8)&lt;=0,(($A52-Simulador!$E$8)/Simulador!$G$8)&gt;=1),0,IF((($A52-Simulador!$E$8)/Simulador!$G$8)&lt;Simulador!$B$11,Simulador!$B$10*(1-COS(PI()*(($A52-Simulador!$E$8)/Simulador!$G$8)/Simulador!$B$11))/2,IF((($A52-Simulador!$E$8)/Simulador!$G$8)&gt;1-Simulador!$B$11,Simulador!$B$10*(1-COS(PI()*(1-(($A52-Simulador!$E$8)/Simulador!$G$8))/Simulador!$B$11))/2,Simulador!$B$10)))</f>
        <v>0</v>
      </c>
      <c r="F52" s="18">
        <f>IF(OR((($A52-Simulador!$E$9)/Simulador!$G$9)&lt;=0,(($A52-Simulador!$E$9)/Simulador!$G$9)&gt;=1),0,IF((($A52-Simulador!$E$9)/Simulador!$G$9)&lt;Simulador!$B$11,Simulador!$B$10*(1-COS(PI()*(($A52-Simulador!$E$9)/Simulador!$G$9)/Simulador!$B$11))/2,IF((($A52-Simulador!$E$9)/Simulador!$G$9)&gt;1-Simulador!$B$11,Simulador!$B$10*(1-COS(PI()*(1-(($A52-Simulador!$E$9)/Simulador!$G$9))/Simulador!$B$11))/2,Simulador!$B$10)))</f>
        <v>0</v>
      </c>
      <c r="G52" s="18">
        <f>IF(OR((($A52-Simulador!$E$10)/Simulador!$G$10)&lt;=0,(($A52-Simulador!$E$10)/Simulador!$G$10)&gt;=1),0,IF((($A52-Simulador!$E$10)/Simulador!$G$10)&lt;Simulador!$B$11,Simulador!$B$10*(1-COS(PI()*(($A52-Simulador!$E$10)/Simulador!$G$10)/Simulador!$B$11))/2,IF((($A52-Simulador!$E$10)/Simulador!$G$10)&gt;1-Simulador!$B$11,Simulador!$B$10*(1-COS(PI()*(1-(($A52-Simulador!$E$10)/Simulador!$G$10))/Simulador!$B$11))/2,Simulador!$B$10)))</f>
        <v>0</v>
      </c>
    </row>
    <row r="53" spans="1:7" x14ac:dyDescent="0.25">
      <c r="A53" s="17">
        <f>A52+Simulador!$B$14</f>
        <v>102</v>
      </c>
      <c r="B53" s="18">
        <f>IF(OR((($A53-Simulador!$E$5)/Simulador!$G$5)&lt;=0,(($A53-Simulador!$E$5)/Simulador!$G$5)&gt;=1),0,IF((($A53-Simulador!$E$5)/Simulador!$G$5)&lt;Simulador!$B$11,Simulador!$B$9*(1-COS(PI()*(($A53-Simulador!$E$5)/Simulador!$G$5)/Simulador!$B$11))/2,IF((($A53-Simulador!$E$5)/Simulador!$G$5)&gt;1-Simulador!$B$11,Simulador!$B$9*(1-COS(PI()*(1-(($A53-Simulador!$E$5)/Simulador!$G$5))/Simulador!$B$11))/2,Simulador!$B$9)))</f>
        <v>0</v>
      </c>
      <c r="C53" s="18">
        <f>IF(OR((($A53-Simulador!$E$6)/Simulador!$G$6)&lt;=0,(($A53-Simulador!$E$6)/Simulador!$G$6)&gt;=1),0,IF((($A53-Simulador!$E$6)/Simulador!$G$6)&lt;Simulador!$B$11,Simulador!$B$9*(1-COS(PI()*(($A53-Simulador!$E$6)/Simulador!$G$6)/Simulador!$B$11))/2,IF((($A53-Simulador!$E$6)/Simulador!$G$6)&gt;1-Simulador!$B$11,Simulador!$B$9*(1-COS(PI()*(1-(($A53-Simulador!$E$6)/Simulador!$G$6))/Simulador!$B$11))/2,Simulador!$B$9)))</f>
        <v>0</v>
      </c>
      <c r="D53" s="18">
        <f>IF(OR((($A53-Simulador!$E$7)/Simulador!$G$7)&lt;=0,(($A53-Simulador!$E$7)/Simulador!$G$7)&gt;=1),0,IF((($A53-Simulador!$E$7)/Simulador!$G$7)&lt;Simulador!$B$11,Simulador!$B$9*(1-COS(PI()*(($A53-Simulador!$E$7)/Simulador!$G$7)/Simulador!$B$11))/2,IF((($A53-Simulador!$E$7)/Simulador!$G$7)&gt;1-Simulador!$B$11,Simulador!$B$9*(1-COS(PI()*(1-(($A53-Simulador!$E$7)/Simulador!$G$7))/Simulador!$B$11))/2,Simulador!$B$9)))</f>
        <v>0</v>
      </c>
      <c r="E53" s="18">
        <f>IF(OR((($A53-Simulador!$E$8)/Simulador!$G$8)&lt;=0,(($A53-Simulador!$E$8)/Simulador!$G$8)&gt;=1),0,IF((($A53-Simulador!$E$8)/Simulador!$G$8)&lt;Simulador!$B$11,Simulador!$B$10*(1-COS(PI()*(($A53-Simulador!$E$8)/Simulador!$G$8)/Simulador!$B$11))/2,IF((($A53-Simulador!$E$8)/Simulador!$G$8)&gt;1-Simulador!$B$11,Simulador!$B$10*(1-COS(PI()*(1-(($A53-Simulador!$E$8)/Simulador!$G$8))/Simulador!$B$11))/2,Simulador!$B$10)))</f>
        <v>0</v>
      </c>
      <c r="F53" s="18">
        <f>IF(OR((($A53-Simulador!$E$9)/Simulador!$G$9)&lt;=0,(($A53-Simulador!$E$9)/Simulador!$G$9)&gt;=1),0,IF((($A53-Simulador!$E$9)/Simulador!$G$9)&lt;Simulador!$B$11,Simulador!$B$10*(1-COS(PI()*(($A53-Simulador!$E$9)/Simulador!$G$9)/Simulador!$B$11))/2,IF((($A53-Simulador!$E$9)/Simulador!$G$9)&gt;1-Simulador!$B$11,Simulador!$B$10*(1-COS(PI()*(1-(($A53-Simulador!$E$9)/Simulador!$G$9))/Simulador!$B$11))/2,Simulador!$B$10)))</f>
        <v>0</v>
      </c>
      <c r="G53" s="18">
        <f>IF(OR((($A53-Simulador!$E$10)/Simulador!$G$10)&lt;=0,(($A53-Simulador!$E$10)/Simulador!$G$10)&gt;=1),0,IF((($A53-Simulador!$E$10)/Simulador!$G$10)&lt;Simulador!$B$11,Simulador!$B$10*(1-COS(PI()*(($A53-Simulador!$E$10)/Simulador!$G$10)/Simulador!$B$11))/2,IF((($A53-Simulador!$E$10)/Simulador!$G$10)&gt;1-Simulador!$B$11,Simulador!$B$10*(1-COS(PI()*(1-(($A53-Simulador!$E$10)/Simulador!$G$10))/Simulador!$B$11))/2,Simulador!$B$10)))</f>
        <v>0</v>
      </c>
    </row>
    <row r="54" spans="1:7" x14ac:dyDescent="0.25">
      <c r="A54" s="17">
        <f>A53+Simulador!$B$14</f>
        <v>104</v>
      </c>
      <c r="B54" s="18">
        <f>IF(OR((($A54-Simulador!$E$5)/Simulador!$G$5)&lt;=0,(($A54-Simulador!$E$5)/Simulador!$G$5)&gt;=1),0,IF((($A54-Simulador!$E$5)/Simulador!$G$5)&lt;Simulador!$B$11,Simulador!$B$9*(1-COS(PI()*(($A54-Simulador!$E$5)/Simulador!$G$5)/Simulador!$B$11))/2,IF((($A54-Simulador!$E$5)/Simulador!$G$5)&gt;1-Simulador!$B$11,Simulador!$B$9*(1-COS(PI()*(1-(($A54-Simulador!$E$5)/Simulador!$G$5))/Simulador!$B$11))/2,Simulador!$B$9)))</f>
        <v>0</v>
      </c>
      <c r="C54" s="18">
        <f>IF(OR((($A54-Simulador!$E$6)/Simulador!$G$6)&lt;=0,(($A54-Simulador!$E$6)/Simulador!$G$6)&gt;=1),0,IF((($A54-Simulador!$E$6)/Simulador!$G$6)&lt;Simulador!$B$11,Simulador!$B$9*(1-COS(PI()*(($A54-Simulador!$E$6)/Simulador!$G$6)/Simulador!$B$11))/2,IF((($A54-Simulador!$E$6)/Simulador!$G$6)&gt;1-Simulador!$B$11,Simulador!$B$9*(1-COS(PI()*(1-(($A54-Simulador!$E$6)/Simulador!$G$6))/Simulador!$B$11))/2,Simulador!$B$9)))</f>
        <v>0</v>
      </c>
      <c r="D54" s="18">
        <f>IF(OR((($A54-Simulador!$E$7)/Simulador!$G$7)&lt;=0,(($A54-Simulador!$E$7)/Simulador!$G$7)&gt;=1),0,IF((($A54-Simulador!$E$7)/Simulador!$G$7)&lt;Simulador!$B$11,Simulador!$B$9*(1-COS(PI()*(($A54-Simulador!$E$7)/Simulador!$G$7)/Simulador!$B$11))/2,IF((($A54-Simulador!$E$7)/Simulador!$G$7)&gt;1-Simulador!$B$11,Simulador!$B$9*(1-COS(PI()*(1-(($A54-Simulador!$E$7)/Simulador!$G$7))/Simulador!$B$11))/2,Simulador!$B$9)))</f>
        <v>0</v>
      </c>
      <c r="E54" s="18">
        <f>IF(OR((($A54-Simulador!$E$8)/Simulador!$G$8)&lt;=0,(($A54-Simulador!$E$8)/Simulador!$G$8)&gt;=1),0,IF((($A54-Simulador!$E$8)/Simulador!$G$8)&lt;Simulador!$B$11,Simulador!$B$10*(1-COS(PI()*(($A54-Simulador!$E$8)/Simulador!$G$8)/Simulador!$B$11))/2,IF((($A54-Simulador!$E$8)/Simulador!$G$8)&gt;1-Simulador!$B$11,Simulador!$B$10*(1-COS(PI()*(1-(($A54-Simulador!$E$8)/Simulador!$G$8))/Simulador!$B$11))/2,Simulador!$B$10)))</f>
        <v>0</v>
      </c>
      <c r="F54" s="18">
        <f>IF(OR((($A54-Simulador!$E$9)/Simulador!$G$9)&lt;=0,(($A54-Simulador!$E$9)/Simulador!$G$9)&gt;=1),0,IF((($A54-Simulador!$E$9)/Simulador!$G$9)&lt;Simulador!$B$11,Simulador!$B$10*(1-COS(PI()*(($A54-Simulador!$E$9)/Simulador!$G$9)/Simulador!$B$11))/2,IF((($A54-Simulador!$E$9)/Simulador!$G$9)&gt;1-Simulador!$B$11,Simulador!$B$10*(1-COS(PI()*(1-(($A54-Simulador!$E$9)/Simulador!$G$9))/Simulador!$B$11))/2,Simulador!$B$10)))</f>
        <v>0</v>
      </c>
      <c r="G54" s="18">
        <f>IF(OR((($A54-Simulador!$E$10)/Simulador!$G$10)&lt;=0,(($A54-Simulador!$E$10)/Simulador!$G$10)&gt;=1),0,IF((($A54-Simulador!$E$10)/Simulador!$G$10)&lt;Simulador!$B$11,Simulador!$B$10*(1-COS(PI()*(($A54-Simulador!$E$10)/Simulador!$G$10)/Simulador!$B$11))/2,IF((($A54-Simulador!$E$10)/Simulador!$G$10)&gt;1-Simulador!$B$11,Simulador!$B$10*(1-COS(PI()*(1-(($A54-Simulador!$E$10)/Simulador!$G$10))/Simulador!$B$11))/2,Simulador!$B$10)))</f>
        <v>0</v>
      </c>
    </row>
    <row r="55" spans="1:7" x14ac:dyDescent="0.25">
      <c r="A55" s="17">
        <f>A54+Simulador!$B$14</f>
        <v>106</v>
      </c>
      <c r="B55" s="18">
        <f>IF(OR((($A55-Simulador!$E$5)/Simulador!$G$5)&lt;=0,(($A55-Simulador!$E$5)/Simulador!$G$5)&gt;=1),0,IF((($A55-Simulador!$E$5)/Simulador!$G$5)&lt;Simulador!$B$11,Simulador!$B$9*(1-COS(PI()*(($A55-Simulador!$E$5)/Simulador!$G$5)/Simulador!$B$11))/2,IF((($A55-Simulador!$E$5)/Simulador!$G$5)&gt;1-Simulador!$B$11,Simulador!$B$9*(1-COS(PI()*(1-(($A55-Simulador!$E$5)/Simulador!$G$5))/Simulador!$B$11))/2,Simulador!$B$9)))</f>
        <v>0</v>
      </c>
      <c r="C55" s="18">
        <f>IF(OR((($A55-Simulador!$E$6)/Simulador!$G$6)&lt;=0,(($A55-Simulador!$E$6)/Simulador!$G$6)&gt;=1),0,IF((($A55-Simulador!$E$6)/Simulador!$G$6)&lt;Simulador!$B$11,Simulador!$B$9*(1-COS(PI()*(($A55-Simulador!$E$6)/Simulador!$G$6)/Simulador!$B$11))/2,IF((($A55-Simulador!$E$6)/Simulador!$G$6)&gt;1-Simulador!$B$11,Simulador!$B$9*(1-COS(PI()*(1-(($A55-Simulador!$E$6)/Simulador!$G$6))/Simulador!$B$11))/2,Simulador!$B$9)))</f>
        <v>0</v>
      </c>
      <c r="D55" s="18">
        <f>IF(OR((($A55-Simulador!$E$7)/Simulador!$G$7)&lt;=0,(($A55-Simulador!$E$7)/Simulador!$G$7)&gt;=1),0,IF((($A55-Simulador!$E$7)/Simulador!$G$7)&lt;Simulador!$B$11,Simulador!$B$9*(1-COS(PI()*(($A55-Simulador!$E$7)/Simulador!$G$7)/Simulador!$B$11))/2,IF((($A55-Simulador!$E$7)/Simulador!$G$7)&gt;1-Simulador!$B$11,Simulador!$B$9*(1-COS(PI()*(1-(($A55-Simulador!$E$7)/Simulador!$G$7))/Simulador!$B$11))/2,Simulador!$B$9)))</f>
        <v>0</v>
      </c>
      <c r="E55" s="18">
        <f>IF(OR((($A55-Simulador!$E$8)/Simulador!$G$8)&lt;=0,(($A55-Simulador!$E$8)/Simulador!$G$8)&gt;=1),0,IF((($A55-Simulador!$E$8)/Simulador!$G$8)&lt;Simulador!$B$11,Simulador!$B$10*(1-COS(PI()*(($A55-Simulador!$E$8)/Simulador!$G$8)/Simulador!$B$11))/2,IF((($A55-Simulador!$E$8)/Simulador!$G$8)&gt;1-Simulador!$B$11,Simulador!$B$10*(1-COS(PI()*(1-(($A55-Simulador!$E$8)/Simulador!$G$8))/Simulador!$B$11))/2,Simulador!$B$10)))</f>
        <v>0</v>
      </c>
      <c r="F55" s="18">
        <f>IF(OR((($A55-Simulador!$E$9)/Simulador!$G$9)&lt;=0,(($A55-Simulador!$E$9)/Simulador!$G$9)&gt;=1),0,IF((($A55-Simulador!$E$9)/Simulador!$G$9)&lt;Simulador!$B$11,Simulador!$B$10*(1-COS(PI()*(($A55-Simulador!$E$9)/Simulador!$G$9)/Simulador!$B$11))/2,IF((($A55-Simulador!$E$9)/Simulador!$G$9)&gt;1-Simulador!$B$11,Simulador!$B$10*(1-COS(PI()*(1-(($A55-Simulador!$E$9)/Simulador!$G$9))/Simulador!$B$11))/2,Simulador!$B$10)))</f>
        <v>0</v>
      </c>
      <c r="G55" s="18">
        <f>IF(OR((($A55-Simulador!$E$10)/Simulador!$G$10)&lt;=0,(($A55-Simulador!$E$10)/Simulador!$G$10)&gt;=1),0,IF((($A55-Simulador!$E$10)/Simulador!$G$10)&lt;Simulador!$B$11,Simulador!$B$10*(1-COS(PI()*(($A55-Simulador!$E$10)/Simulador!$G$10)/Simulador!$B$11))/2,IF((($A55-Simulador!$E$10)/Simulador!$G$10)&gt;1-Simulador!$B$11,Simulador!$B$10*(1-COS(PI()*(1-(($A55-Simulador!$E$10)/Simulador!$G$10))/Simulador!$B$11))/2,Simulador!$B$10)))</f>
        <v>0</v>
      </c>
    </row>
    <row r="56" spans="1:7" x14ac:dyDescent="0.25">
      <c r="A56" s="17">
        <f>A55+Simulador!$B$14</f>
        <v>108</v>
      </c>
      <c r="B56" s="18">
        <f>IF(OR((($A56-Simulador!$E$5)/Simulador!$G$5)&lt;=0,(($A56-Simulador!$E$5)/Simulador!$G$5)&gt;=1),0,IF((($A56-Simulador!$E$5)/Simulador!$G$5)&lt;Simulador!$B$11,Simulador!$B$9*(1-COS(PI()*(($A56-Simulador!$E$5)/Simulador!$G$5)/Simulador!$B$11))/2,IF((($A56-Simulador!$E$5)/Simulador!$G$5)&gt;1-Simulador!$B$11,Simulador!$B$9*(1-COS(PI()*(1-(($A56-Simulador!$E$5)/Simulador!$G$5))/Simulador!$B$11))/2,Simulador!$B$9)))</f>
        <v>0</v>
      </c>
      <c r="C56" s="18">
        <f>IF(OR((($A56-Simulador!$E$6)/Simulador!$G$6)&lt;=0,(($A56-Simulador!$E$6)/Simulador!$G$6)&gt;=1),0,IF((($A56-Simulador!$E$6)/Simulador!$G$6)&lt;Simulador!$B$11,Simulador!$B$9*(1-COS(PI()*(($A56-Simulador!$E$6)/Simulador!$G$6)/Simulador!$B$11))/2,IF((($A56-Simulador!$E$6)/Simulador!$G$6)&gt;1-Simulador!$B$11,Simulador!$B$9*(1-COS(PI()*(1-(($A56-Simulador!$E$6)/Simulador!$G$6))/Simulador!$B$11))/2,Simulador!$B$9)))</f>
        <v>0</v>
      </c>
      <c r="D56" s="18">
        <f>IF(OR((($A56-Simulador!$E$7)/Simulador!$G$7)&lt;=0,(($A56-Simulador!$E$7)/Simulador!$G$7)&gt;=1),0,IF((($A56-Simulador!$E$7)/Simulador!$G$7)&lt;Simulador!$B$11,Simulador!$B$9*(1-COS(PI()*(($A56-Simulador!$E$7)/Simulador!$G$7)/Simulador!$B$11))/2,IF((($A56-Simulador!$E$7)/Simulador!$G$7)&gt;1-Simulador!$B$11,Simulador!$B$9*(1-COS(PI()*(1-(($A56-Simulador!$E$7)/Simulador!$G$7))/Simulador!$B$11))/2,Simulador!$B$9)))</f>
        <v>0</v>
      </c>
      <c r="E56" s="18">
        <f>IF(OR((($A56-Simulador!$E$8)/Simulador!$G$8)&lt;=0,(($A56-Simulador!$E$8)/Simulador!$G$8)&gt;=1),0,IF((($A56-Simulador!$E$8)/Simulador!$G$8)&lt;Simulador!$B$11,Simulador!$B$10*(1-COS(PI()*(($A56-Simulador!$E$8)/Simulador!$G$8)/Simulador!$B$11))/2,IF((($A56-Simulador!$E$8)/Simulador!$G$8)&gt;1-Simulador!$B$11,Simulador!$B$10*(1-COS(PI()*(1-(($A56-Simulador!$E$8)/Simulador!$G$8))/Simulador!$B$11))/2,Simulador!$B$10)))</f>
        <v>0</v>
      </c>
      <c r="F56" s="18">
        <f>IF(OR((($A56-Simulador!$E$9)/Simulador!$G$9)&lt;=0,(($A56-Simulador!$E$9)/Simulador!$G$9)&gt;=1),0,IF((($A56-Simulador!$E$9)/Simulador!$G$9)&lt;Simulador!$B$11,Simulador!$B$10*(1-COS(PI()*(($A56-Simulador!$E$9)/Simulador!$G$9)/Simulador!$B$11))/2,IF((($A56-Simulador!$E$9)/Simulador!$G$9)&gt;1-Simulador!$B$11,Simulador!$B$10*(1-COS(PI()*(1-(($A56-Simulador!$E$9)/Simulador!$G$9))/Simulador!$B$11))/2,Simulador!$B$10)))</f>
        <v>0</v>
      </c>
      <c r="G56" s="18">
        <f>IF(OR((($A56-Simulador!$E$10)/Simulador!$G$10)&lt;=0,(($A56-Simulador!$E$10)/Simulador!$G$10)&gt;=1),0,IF((($A56-Simulador!$E$10)/Simulador!$G$10)&lt;Simulador!$B$11,Simulador!$B$10*(1-COS(PI()*(($A56-Simulador!$E$10)/Simulador!$G$10)/Simulador!$B$11))/2,IF((($A56-Simulador!$E$10)/Simulador!$G$10)&gt;1-Simulador!$B$11,Simulador!$B$10*(1-COS(PI()*(1-(($A56-Simulador!$E$10)/Simulador!$G$10))/Simulador!$B$11))/2,Simulador!$B$10)))</f>
        <v>0</v>
      </c>
    </row>
    <row r="57" spans="1:7" x14ac:dyDescent="0.25">
      <c r="A57" s="17">
        <f>A56+Simulador!$B$14</f>
        <v>110</v>
      </c>
      <c r="B57" s="18">
        <f>IF(OR((($A57-Simulador!$E$5)/Simulador!$G$5)&lt;=0,(($A57-Simulador!$E$5)/Simulador!$G$5)&gt;=1),0,IF((($A57-Simulador!$E$5)/Simulador!$G$5)&lt;Simulador!$B$11,Simulador!$B$9*(1-COS(PI()*(($A57-Simulador!$E$5)/Simulador!$G$5)/Simulador!$B$11))/2,IF((($A57-Simulador!$E$5)/Simulador!$G$5)&gt;1-Simulador!$B$11,Simulador!$B$9*(1-COS(PI()*(1-(($A57-Simulador!$E$5)/Simulador!$G$5))/Simulador!$B$11))/2,Simulador!$B$9)))</f>
        <v>0</v>
      </c>
      <c r="C57" s="18">
        <f>IF(OR((($A57-Simulador!$E$6)/Simulador!$G$6)&lt;=0,(($A57-Simulador!$E$6)/Simulador!$G$6)&gt;=1),0,IF((($A57-Simulador!$E$6)/Simulador!$G$6)&lt;Simulador!$B$11,Simulador!$B$9*(1-COS(PI()*(($A57-Simulador!$E$6)/Simulador!$G$6)/Simulador!$B$11))/2,IF((($A57-Simulador!$E$6)/Simulador!$G$6)&gt;1-Simulador!$B$11,Simulador!$B$9*(1-COS(PI()*(1-(($A57-Simulador!$E$6)/Simulador!$G$6))/Simulador!$B$11))/2,Simulador!$B$9)))</f>
        <v>0</v>
      </c>
      <c r="D57" s="18">
        <f>IF(OR((($A57-Simulador!$E$7)/Simulador!$G$7)&lt;=0,(($A57-Simulador!$E$7)/Simulador!$G$7)&gt;=1),0,IF((($A57-Simulador!$E$7)/Simulador!$G$7)&lt;Simulador!$B$11,Simulador!$B$9*(1-COS(PI()*(($A57-Simulador!$E$7)/Simulador!$G$7)/Simulador!$B$11))/2,IF((($A57-Simulador!$E$7)/Simulador!$G$7)&gt;1-Simulador!$B$11,Simulador!$B$9*(1-COS(PI()*(1-(($A57-Simulador!$E$7)/Simulador!$G$7))/Simulador!$B$11))/2,Simulador!$B$9)))</f>
        <v>0</v>
      </c>
      <c r="E57" s="18">
        <f>IF(OR((($A57-Simulador!$E$8)/Simulador!$G$8)&lt;=0,(($A57-Simulador!$E$8)/Simulador!$G$8)&gt;=1),0,IF((($A57-Simulador!$E$8)/Simulador!$G$8)&lt;Simulador!$B$11,Simulador!$B$10*(1-COS(PI()*(($A57-Simulador!$E$8)/Simulador!$G$8)/Simulador!$B$11))/2,IF((($A57-Simulador!$E$8)/Simulador!$G$8)&gt;1-Simulador!$B$11,Simulador!$B$10*(1-COS(PI()*(1-(($A57-Simulador!$E$8)/Simulador!$G$8))/Simulador!$B$11))/2,Simulador!$B$10)))</f>
        <v>0</v>
      </c>
      <c r="F57" s="18">
        <f>IF(OR((($A57-Simulador!$E$9)/Simulador!$G$9)&lt;=0,(($A57-Simulador!$E$9)/Simulador!$G$9)&gt;=1),0,IF((($A57-Simulador!$E$9)/Simulador!$G$9)&lt;Simulador!$B$11,Simulador!$B$10*(1-COS(PI()*(($A57-Simulador!$E$9)/Simulador!$G$9)/Simulador!$B$11))/2,IF((($A57-Simulador!$E$9)/Simulador!$G$9)&gt;1-Simulador!$B$11,Simulador!$B$10*(1-COS(PI()*(1-(($A57-Simulador!$E$9)/Simulador!$G$9))/Simulador!$B$11))/2,Simulador!$B$10)))</f>
        <v>0</v>
      </c>
      <c r="G57" s="18">
        <f>IF(OR((($A57-Simulador!$E$10)/Simulador!$G$10)&lt;=0,(($A57-Simulador!$E$10)/Simulador!$G$10)&gt;=1),0,IF((($A57-Simulador!$E$10)/Simulador!$G$10)&lt;Simulador!$B$11,Simulador!$B$10*(1-COS(PI()*(($A57-Simulador!$E$10)/Simulador!$G$10)/Simulador!$B$11))/2,IF((($A57-Simulador!$E$10)/Simulador!$G$10)&gt;1-Simulador!$B$11,Simulador!$B$10*(1-COS(PI()*(1-(($A57-Simulador!$E$10)/Simulador!$G$10))/Simulador!$B$11))/2,Simulador!$B$10)))</f>
        <v>0</v>
      </c>
    </row>
    <row r="58" spans="1:7" x14ac:dyDescent="0.25">
      <c r="A58" s="17">
        <f>A57+Simulador!$B$14</f>
        <v>112</v>
      </c>
      <c r="B58" s="18">
        <f>IF(OR((($A58-Simulador!$E$5)/Simulador!$G$5)&lt;=0,(($A58-Simulador!$E$5)/Simulador!$G$5)&gt;=1),0,IF((($A58-Simulador!$E$5)/Simulador!$G$5)&lt;Simulador!$B$11,Simulador!$B$9*(1-COS(PI()*(($A58-Simulador!$E$5)/Simulador!$G$5)/Simulador!$B$11))/2,IF((($A58-Simulador!$E$5)/Simulador!$G$5)&gt;1-Simulador!$B$11,Simulador!$B$9*(1-COS(PI()*(1-(($A58-Simulador!$E$5)/Simulador!$G$5))/Simulador!$B$11))/2,Simulador!$B$9)))</f>
        <v>0</v>
      </c>
      <c r="C58" s="18">
        <f>IF(OR((($A58-Simulador!$E$6)/Simulador!$G$6)&lt;=0,(($A58-Simulador!$E$6)/Simulador!$G$6)&gt;=1),0,IF((($A58-Simulador!$E$6)/Simulador!$G$6)&lt;Simulador!$B$11,Simulador!$B$9*(1-COS(PI()*(($A58-Simulador!$E$6)/Simulador!$G$6)/Simulador!$B$11))/2,IF((($A58-Simulador!$E$6)/Simulador!$G$6)&gt;1-Simulador!$B$11,Simulador!$B$9*(1-COS(PI()*(1-(($A58-Simulador!$E$6)/Simulador!$G$6))/Simulador!$B$11))/2,Simulador!$B$9)))</f>
        <v>0</v>
      </c>
      <c r="D58" s="18">
        <f>IF(OR((($A58-Simulador!$E$7)/Simulador!$G$7)&lt;=0,(($A58-Simulador!$E$7)/Simulador!$G$7)&gt;=1),0,IF((($A58-Simulador!$E$7)/Simulador!$G$7)&lt;Simulador!$B$11,Simulador!$B$9*(1-COS(PI()*(($A58-Simulador!$E$7)/Simulador!$G$7)/Simulador!$B$11))/2,IF((($A58-Simulador!$E$7)/Simulador!$G$7)&gt;1-Simulador!$B$11,Simulador!$B$9*(1-COS(PI()*(1-(($A58-Simulador!$E$7)/Simulador!$G$7))/Simulador!$B$11))/2,Simulador!$B$9)))</f>
        <v>0</v>
      </c>
      <c r="E58" s="18">
        <f>IF(OR((($A58-Simulador!$E$8)/Simulador!$G$8)&lt;=0,(($A58-Simulador!$E$8)/Simulador!$G$8)&gt;=1),0,IF((($A58-Simulador!$E$8)/Simulador!$G$8)&lt;Simulador!$B$11,Simulador!$B$10*(1-COS(PI()*(($A58-Simulador!$E$8)/Simulador!$G$8)/Simulador!$B$11))/2,IF((($A58-Simulador!$E$8)/Simulador!$G$8)&gt;1-Simulador!$B$11,Simulador!$B$10*(1-COS(PI()*(1-(($A58-Simulador!$E$8)/Simulador!$G$8))/Simulador!$B$11))/2,Simulador!$B$10)))</f>
        <v>0</v>
      </c>
      <c r="F58" s="18">
        <f>IF(OR((($A58-Simulador!$E$9)/Simulador!$G$9)&lt;=0,(($A58-Simulador!$E$9)/Simulador!$G$9)&gt;=1),0,IF((($A58-Simulador!$E$9)/Simulador!$G$9)&lt;Simulador!$B$11,Simulador!$B$10*(1-COS(PI()*(($A58-Simulador!$E$9)/Simulador!$G$9)/Simulador!$B$11))/2,IF((($A58-Simulador!$E$9)/Simulador!$G$9)&gt;1-Simulador!$B$11,Simulador!$B$10*(1-COS(PI()*(1-(($A58-Simulador!$E$9)/Simulador!$G$9))/Simulador!$B$11))/2,Simulador!$B$10)))</f>
        <v>0</v>
      </c>
      <c r="G58" s="18">
        <f>IF(OR((($A58-Simulador!$E$10)/Simulador!$G$10)&lt;=0,(($A58-Simulador!$E$10)/Simulador!$G$10)&gt;=1),0,IF((($A58-Simulador!$E$10)/Simulador!$G$10)&lt;Simulador!$B$11,Simulador!$B$10*(1-COS(PI()*(($A58-Simulador!$E$10)/Simulador!$G$10)/Simulador!$B$11))/2,IF((($A58-Simulador!$E$10)/Simulador!$G$10)&gt;1-Simulador!$B$11,Simulador!$B$10*(1-COS(PI()*(1-(($A58-Simulador!$E$10)/Simulador!$G$10))/Simulador!$B$11))/2,Simulador!$B$10)))</f>
        <v>0</v>
      </c>
    </row>
    <row r="59" spans="1:7" x14ac:dyDescent="0.25">
      <c r="A59" s="17">
        <f>A58+Simulador!$B$14</f>
        <v>114</v>
      </c>
      <c r="B59" s="18">
        <f>IF(OR((($A59-Simulador!$E$5)/Simulador!$G$5)&lt;=0,(($A59-Simulador!$E$5)/Simulador!$G$5)&gt;=1),0,IF((($A59-Simulador!$E$5)/Simulador!$G$5)&lt;Simulador!$B$11,Simulador!$B$9*(1-COS(PI()*(($A59-Simulador!$E$5)/Simulador!$G$5)/Simulador!$B$11))/2,IF((($A59-Simulador!$E$5)/Simulador!$G$5)&gt;1-Simulador!$B$11,Simulador!$B$9*(1-COS(PI()*(1-(($A59-Simulador!$E$5)/Simulador!$G$5))/Simulador!$B$11))/2,Simulador!$B$9)))</f>
        <v>0</v>
      </c>
      <c r="C59" s="18">
        <f>IF(OR((($A59-Simulador!$E$6)/Simulador!$G$6)&lt;=0,(($A59-Simulador!$E$6)/Simulador!$G$6)&gt;=1),0,IF((($A59-Simulador!$E$6)/Simulador!$G$6)&lt;Simulador!$B$11,Simulador!$B$9*(1-COS(PI()*(($A59-Simulador!$E$6)/Simulador!$G$6)/Simulador!$B$11))/2,IF((($A59-Simulador!$E$6)/Simulador!$G$6)&gt;1-Simulador!$B$11,Simulador!$B$9*(1-COS(PI()*(1-(($A59-Simulador!$E$6)/Simulador!$G$6))/Simulador!$B$11))/2,Simulador!$B$9)))</f>
        <v>0</v>
      </c>
      <c r="D59" s="18">
        <f>IF(OR((($A59-Simulador!$E$7)/Simulador!$G$7)&lt;=0,(($A59-Simulador!$E$7)/Simulador!$G$7)&gt;=1),0,IF((($A59-Simulador!$E$7)/Simulador!$G$7)&lt;Simulador!$B$11,Simulador!$B$9*(1-COS(PI()*(($A59-Simulador!$E$7)/Simulador!$G$7)/Simulador!$B$11))/2,IF((($A59-Simulador!$E$7)/Simulador!$G$7)&gt;1-Simulador!$B$11,Simulador!$B$9*(1-COS(PI()*(1-(($A59-Simulador!$E$7)/Simulador!$G$7))/Simulador!$B$11))/2,Simulador!$B$9)))</f>
        <v>0</v>
      </c>
      <c r="E59" s="18">
        <f>IF(OR((($A59-Simulador!$E$8)/Simulador!$G$8)&lt;=0,(($A59-Simulador!$E$8)/Simulador!$G$8)&gt;=1),0,IF((($A59-Simulador!$E$8)/Simulador!$G$8)&lt;Simulador!$B$11,Simulador!$B$10*(1-COS(PI()*(($A59-Simulador!$E$8)/Simulador!$G$8)/Simulador!$B$11))/2,IF((($A59-Simulador!$E$8)/Simulador!$G$8)&gt;1-Simulador!$B$11,Simulador!$B$10*(1-COS(PI()*(1-(($A59-Simulador!$E$8)/Simulador!$G$8))/Simulador!$B$11))/2,Simulador!$B$10)))</f>
        <v>0</v>
      </c>
      <c r="F59" s="18">
        <f>IF(OR((($A59-Simulador!$E$9)/Simulador!$G$9)&lt;=0,(($A59-Simulador!$E$9)/Simulador!$G$9)&gt;=1),0,IF((($A59-Simulador!$E$9)/Simulador!$G$9)&lt;Simulador!$B$11,Simulador!$B$10*(1-COS(PI()*(($A59-Simulador!$E$9)/Simulador!$G$9)/Simulador!$B$11))/2,IF((($A59-Simulador!$E$9)/Simulador!$G$9)&gt;1-Simulador!$B$11,Simulador!$B$10*(1-COS(PI()*(1-(($A59-Simulador!$E$9)/Simulador!$G$9))/Simulador!$B$11))/2,Simulador!$B$10)))</f>
        <v>0</v>
      </c>
      <c r="G59" s="18">
        <f>IF(OR((($A59-Simulador!$E$10)/Simulador!$G$10)&lt;=0,(($A59-Simulador!$E$10)/Simulador!$G$10)&gt;=1),0,IF((($A59-Simulador!$E$10)/Simulador!$G$10)&lt;Simulador!$B$11,Simulador!$B$10*(1-COS(PI()*(($A59-Simulador!$E$10)/Simulador!$G$10)/Simulador!$B$11))/2,IF((($A59-Simulador!$E$10)/Simulador!$G$10)&gt;1-Simulador!$B$11,Simulador!$B$10*(1-COS(PI()*(1-(($A59-Simulador!$E$10)/Simulador!$G$10))/Simulador!$B$11))/2,Simulador!$B$10)))</f>
        <v>0</v>
      </c>
    </row>
    <row r="60" spans="1:7" x14ac:dyDescent="0.25">
      <c r="A60" s="17">
        <f>A59+Simulador!$B$14</f>
        <v>116</v>
      </c>
      <c r="B60" s="18">
        <f>IF(OR((($A60-Simulador!$E$5)/Simulador!$G$5)&lt;=0,(($A60-Simulador!$E$5)/Simulador!$G$5)&gt;=1),0,IF((($A60-Simulador!$E$5)/Simulador!$G$5)&lt;Simulador!$B$11,Simulador!$B$9*(1-COS(PI()*(($A60-Simulador!$E$5)/Simulador!$G$5)/Simulador!$B$11))/2,IF((($A60-Simulador!$E$5)/Simulador!$G$5)&gt;1-Simulador!$B$11,Simulador!$B$9*(1-COS(PI()*(1-(($A60-Simulador!$E$5)/Simulador!$G$5))/Simulador!$B$11))/2,Simulador!$B$9)))</f>
        <v>0</v>
      </c>
      <c r="C60" s="18">
        <f>IF(OR((($A60-Simulador!$E$6)/Simulador!$G$6)&lt;=0,(($A60-Simulador!$E$6)/Simulador!$G$6)&gt;=1),0,IF((($A60-Simulador!$E$6)/Simulador!$G$6)&lt;Simulador!$B$11,Simulador!$B$9*(1-COS(PI()*(($A60-Simulador!$E$6)/Simulador!$G$6)/Simulador!$B$11))/2,IF((($A60-Simulador!$E$6)/Simulador!$G$6)&gt;1-Simulador!$B$11,Simulador!$B$9*(1-COS(PI()*(1-(($A60-Simulador!$E$6)/Simulador!$G$6))/Simulador!$B$11))/2,Simulador!$B$9)))</f>
        <v>0</v>
      </c>
      <c r="D60" s="18">
        <f>IF(OR((($A60-Simulador!$E$7)/Simulador!$G$7)&lt;=0,(($A60-Simulador!$E$7)/Simulador!$G$7)&gt;=1),0,IF((($A60-Simulador!$E$7)/Simulador!$G$7)&lt;Simulador!$B$11,Simulador!$B$9*(1-COS(PI()*(($A60-Simulador!$E$7)/Simulador!$G$7)/Simulador!$B$11))/2,IF((($A60-Simulador!$E$7)/Simulador!$G$7)&gt;1-Simulador!$B$11,Simulador!$B$9*(1-COS(PI()*(1-(($A60-Simulador!$E$7)/Simulador!$G$7))/Simulador!$B$11))/2,Simulador!$B$9)))</f>
        <v>0</v>
      </c>
      <c r="E60" s="18">
        <f>IF(OR((($A60-Simulador!$E$8)/Simulador!$G$8)&lt;=0,(($A60-Simulador!$E$8)/Simulador!$G$8)&gt;=1),0,IF((($A60-Simulador!$E$8)/Simulador!$G$8)&lt;Simulador!$B$11,Simulador!$B$10*(1-COS(PI()*(($A60-Simulador!$E$8)/Simulador!$G$8)/Simulador!$B$11))/2,IF((($A60-Simulador!$E$8)/Simulador!$G$8)&gt;1-Simulador!$B$11,Simulador!$B$10*(1-COS(PI()*(1-(($A60-Simulador!$E$8)/Simulador!$G$8))/Simulador!$B$11))/2,Simulador!$B$10)))</f>
        <v>0</v>
      </c>
      <c r="F60" s="18">
        <f>IF(OR((($A60-Simulador!$E$9)/Simulador!$G$9)&lt;=0,(($A60-Simulador!$E$9)/Simulador!$G$9)&gt;=1),0,IF((($A60-Simulador!$E$9)/Simulador!$G$9)&lt;Simulador!$B$11,Simulador!$B$10*(1-COS(PI()*(($A60-Simulador!$E$9)/Simulador!$G$9)/Simulador!$B$11))/2,IF((($A60-Simulador!$E$9)/Simulador!$G$9)&gt;1-Simulador!$B$11,Simulador!$B$10*(1-COS(PI()*(1-(($A60-Simulador!$E$9)/Simulador!$G$9))/Simulador!$B$11))/2,Simulador!$B$10)))</f>
        <v>0</v>
      </c>
      <c r="G60" s="18">
        <f>IF(OR((($A60-Simulador!$E$10)/Simulador!$G$10)&lt;=0,(($A60-Simulador!$E$10)/Simulador!$G$10)&gt;=1),0,IF((($A60-Simulador!$E$10)/Simulador!$G$10)&lt;Simulador!$B$11,Simulador!$B$10*(1-COS(PI()*(($A60-Simulador!$E$10)/Simulador!$G$10)/Simulador!$B$11))/2,IF((($A60-Simulador!$E$10)/Simulador!$G$10)&gt;1-Simulador!$B$11,Simulador!$B$10*(1-COS(PI()*(1-(($A60-Simulador!$E$10)/Simulador!$G$10))/Simulador!$B$11))/2,Simulador!$B$10)))</f>
        <v>0</v>
      </c>
    </row>
    <row r="61" spans="1:7" x14ac:dyDescent="0.25">
      <c r="A61" s="17">
        <f>A60+Simulador!$B$14</f>
        <v>118</v>
      </c>
      <c r="B61" s="18">
        <f>IF(OR((($A61-Simulador!$E$5)/Simulador!$G$5)&lt;=0,(($A61-Simulador!$E$5)/Simulador!$G$5)&gt;=1),0,IF((($A61-Simulador!$E$5)/Simulador!$G$5)&lt;Simulador!$B$11,Simulador!$B$9*(1-COS(PI()*(($A61-Simulador!$E$5)/Simulador!$G$5)/Simulador!$B$11))/2,IF((($A61-Simulador!$E$5)/Simulador!$G$5)&gt;1-Simulador!$B$11,Simulador!$B$9*(1-COS(PI()*(1-(($A61-Simulador!$E$5)/Simulador!$G$5))/Simulador!$B$11))/2,Simulador!$B$9)))</f>
        <v>0</v>
      </c>
      <c r="C61" s="18">
        <f>IF(OR((($A61-Simulador!$E$6)/Simulador!$G$6)&lt;=0,(($A61-Simulador!$E$6)/Simulador!$G$6)&gt;=1),0,IF((($A61-Simulador!$E$6)/Simulador!$G$6)&lt;Simulador!$B$11,Simulador!$B$9*(1-COS(PI()*(($A61-Simulador!$E$6)/Simulador!$G$6)/Simulador!$B$11))/2,IF((($A61-Simulador!$E$6)/Simulador!$G$6)&gt;1-Simulador!$B$11,Simulador!$B$9*(1-COS(PI()*(1-(($A61-Simulador!$E$6)/Simulador!$G$6))/Simulador!$B$11))/2,Simulador!$B$9)))</f>
        <v>0</v>
      </c>
      <c r="D61" s="18">
        <f>IF(OR((($A61-Simulador!$E$7)/Simulador!$G$7)&lt;=0,(($A61-Simulador!$E$7)/Simulador!$G$7)&gt;=1),0,IF((($A61-Simulador!$E$7)/Simulador!$G$7)&lt;Simulador!$B$11,Simulador!$B$9*(1-COS(PI()*(($A61-Simulador!$E$7)/Simulador!$G$7)/Simulador!$B$11))/2,IF((($A61-Simulador!$E$7)/Simulador!$G$7)&gt;1-Simulador!$B$11,Simulador!$B$9*(1-COS(PI()*(1-(($A61-Simulador!$E$7)/Simulador!$G$7))/Simulador!$B$11))/2,Simulador!$B$9)))</f>
        <v>0</v>
      </c>
      <c r="E61" s="18">
        <f>IF(OR((($A61-Simulador!$E$8)/Simulador!$G$8)&lt;=0,(($A61-Simulador!$E$8)/Simulador!$G$8)&gt;=1),0,IF((($A61-Simulador!$E$8)/Simulador!$G$8)&lt;Simulador!$B$11,Simulador!$B$10*(1-COS(PI()*(($A61-Simulador!$E$8)/Simulador!$G$8)/Simulador!$B$11))/2,IF((($A61-Simulador!$E$8)/Simulador!$G$8)&gt;1-Simulador!$B$11,Simulador!$B$10*(1-COS(PI()*(1-(($A61-Simulador!$E$8)/Simulador!$G$8))/Simulador!$B$11))/2,Simulador!$B$10)))</f>
        <v>0</v>
      </c>
      <c r="F61" s="18">
        <f>IF(OR((($A61-Simulador!$E$9)/Simulador!$G$9)&lt;=0,(($A61-Simulador!$E$9)/Simulador!$G$9)&gt;=1),0,IF((($A61-Simulador!$E$9)/Simulador!$G$9)&lt;Simulador!$B$11,Simulador!$B$10*(1-COS(PI()*(($A61-Simulador!$E$9)/Simulador!$G$9)/Simulador!$B$11))/2,IF((($A61-Simulador!$E$9)/Simulador!$G$9)&gt;1-Simulador!$B$11,Simulador!$B$10*(1-COS(PI()*(1-(($A61-Simulador!$E$9)/Simulador!$G$9))/Simulador!$B$11))/2,Simulador!$B$10)))</f>
        <v>0</v>
      </c>
      <c r="G61" s="18">
        <f>IF(OR((($A61-Simulador!$E$10)/Simulador!$G$10)&lt;=0,(($A61-Simulador!$E$10)/Simulador!$G$10)&gt;=1),0,IF((($A61-Simulador!$E$10)/Simulador!$G$10)&lt;Simulador!$B$11,Simulador!$B$10*(1-COS(PI()*(($A61-Simulador!$E$10)/Simulador!$G$10)/Simulador!$B$11))/2,IF((($A61-Simulador!$E$10)/Simulador!$G$10)&gt;1-Simulador!$B$11,Simulador!$B$10*(1-COS(PI()*(1-(($A61-Simulador!$E$10)/Simulador!$G$10))/Simulador!$B$11))/2,Simulador!$B$10)))</f>
        <v>0</v>
      </c>
    </row>
    <row r="62" spans="1:7" x14ac:dyDescent="0.25">
      <c r="A62" s="17">
        <f>A61+Simulador!$B$14</f>
        <v>120</v>
      </c>
      <c r="B62" s="18">
        <f>IF(OR((($A62-Simulador!$E$5)/Simulador!$G$5)&lt;=0,(($A62-Simulador!$E$5)/Simulador!$G$5)&gt;=1),0,IF((($A62-Simulador!$E$5)/Simulador!$G$5)&lt;Simulador!$B$11,Simulador!$B$9*(1-COS(PI()*(($A62-Simulador!$E$5)/Simulador!$G$5)/Simulador!$B$11))/2,IF((($A62-Simulador!$E$5)/Simulador!$G$5)&gt;1-Simulador!$B$11,Simulador!$B$9*(1-COS(PI()*(1-(($A62-Simulador!$E$5)/Simulador!$G$5))/Simulador!$B$11))/2,Simulador!$B$9)))</f>
        <v>0</v>
      </c>
      <c r="C62" s="18">
        <f>IF(OR((($A62-Simulador!$E$6)/Simulador!$G$6)&lt;=0,(($A62-Simulador!$E$6)/Simulador!$G$6)&gt;=1),0,IF((($A62-Simulador!$E$6)/Simulador!$G$6)&lt;Simulador!$B$11,Simulador!$B$9*(1-COS(PI()*(($A62-Simulador!$E$6)/Simulador!$G$6)/Simulador!$B$11))/2,IF((($A62-Simulador!$E$6)/Simulador!$G$6)&gt;1-Simulador!$B$11,Simulador!$B$9*(1-COS(PI()*(1-(($A62-Simulador!$E$6)/Simulador!$G$6))/Simulador!$B$11))/2,Simulador!$B$9)))</f>
        <v>0</v>
      </c>
      <c r="D62" s="18">
        <f>IF(OR((($A62-Simulador!$E$7)/Simulador!$G$7)&lt;=0,(($A62-Simulador!$E$7)/Simulador!$G$7)&gt;=1),0,IF((($A62-Simulador!$E$7)/Simulador!$G$7)&lt;Simulador!$B$11,Simulador!$B$9*(1-COS(PI()*(($A62-Simulador!$E$7)/Simulador!$G$7)/Simulador!$B$11))/2,IF((($A62-Simulador!$E$7)/Simulador!$G$7)&gt;1-Simulador!$B$11,Simulador!$B$9*(1-COS(PI()*(1-(($A62-Simulador!$E$7)/Simulador!$G$7))/Simulador!$B$11))/2,Simulador!$B$9)))</f>
        <v>0</v>
      </c>
      <c r="E62" s="18">
        <f>IF(OR((($A62-Simulador!$E$8)/Simulador!$G$8)&lt;=0,(($A62-Simulador!$E$8)/Simulador!$G$8)&gt;=1),0,IF((($A62-Simulador!$E$8)/Simulador!$G$8)&lt;Simulador!$B$11,Simulador!$B$10*(1-COS(PI()*(($A62-Simulador!$E$8)/Simulador!$G$8)/Simulador!$B$11))/2,IF((($A62-Simulador!$E$8)/Simulador!$G$8)&gt;1-Simulador!$B$11,Simulador!$B$10*(1-COS(PI()*(1-(($A62-Simulador!$E$8)/Simulador!$G$8))/Simulador!$B$11))/2,Simulador!$B$10)))</f>
        <v>0</v>
      </c>
      <c r="F62" s="18">
        <f>IF(OR((($A62-Simulador!$E$9)/Simulador!$G$9)&lt;=0,(($A62-Simulador!$E$9)/Simulador!$G$9)&gt;=1),0,IF((($A62-Simulador!$E$9)/Simulador!$G$9)&lt;Simulador!$B$11,Simulador!$B$10*(1-COS(PI()*(($A62-Simulador!$E$9)/Simulador!$G$9)/Simulador!$B$11))/2,IF((($A62-Simulador!$E$9)/Simulador!$G$9)&gt;1-Simulador!$B$11,Simulador!$B$10*(1-COS(PI()*(1-(($A62-Simulador!$E$9)/Simulador!$G$9))/Simulador!$B$11))/2,Simulador!$B$10)))</f>
        <v>0</v>
      </c>
      <c r="G62" s="18">
        <f>IF(OR((($A62-Simulador!$E$10)/Simulador!$G$10)&lt;=0,(($A62-Simulador!$E$10)/Simulador!$G$10)&gt;=1),0,IF((($A62-Simulador!$E$10)/Simulador!$G$10)&lt;Simulador!$B$11,Simulador!$B$10*(1-COS(PI()*(($A62-Simulador!$E$10)/Simulador!$G$10)/Simulador!$B$11))/2,IF((($A62-Simulador!$E$10)/Simulador!$G$10)&gt;1-Simulador!$B$11,Simulador!$B$10*(1-COS(PI()*(1-(($A62-Simulador!$E$10)/Simulador!$G$10))/Simulador!$B$11))/2,Simulador!$B$10)))</f>
        <v>0</v>
      </c>
    </row>
    <row r="63" spans="1:7" x14ac:dyDescent="0.25">
      <c r="A63" s="17">
        <f>A62+Simulador!$B$14</f>
        <v>122</v>
      </c>
      <c r="B63" s="18">
        <f>IF(OR((($A63-Simulador!$E$5)/Simulador!$G$5)&lt;=0,(($A63-Simulador!$E$5)/Simulador!$G$5)&gt;=1),0,IF((($A63-Simulador!$E$5)/Simulador!$G$5)&lt;Simulador!$B$11,Simulador!$B$9*(1-COS(PI()*(($A63-Simulador!$E$5)/Simulador!$G$5)/Simulador!$B$11))/2,IF((($A63-Simulador!$E$5)/Simulador!$G$5)&gt;1-Simulador!$B$11,Simulador!$B$9*(1-COS(PI()*(1-(($A63-Simulador!$E$5)/Simulador!$G$5))/Simulador!$B$11))/2,Simulador!$B$9)))</f>
        <v>8.85233131109045E-3</v>
      </c>
      <c r="C63" s="18">
        <f>IF(OR((($A63-Simulador!$E$6)/Simulador!$G$6)&lt;=0,(($A63-Simulador!$E$6)/Simulador!$G$6)&gt;=1),0,IF((($A63-Simulador!$E$6)/Simulador!$G$6)&lt;Simulador!$B$11,Simulador!$B$9*(1-COS(PI()*(($A63-Simulador!$E$6)/Simulador!$G$6)/Simulador!$B$11))/2,IF((($A63-Simulador!$E$6)/Simulador!$G$6)&gt;1-Simulador!$B$11,Simulador!$B$9*(1-COS(PI()*(1-(($A63-Simulador!$E$6)/Simulador!$G$6))/Simulador!$B$11))/2,Simulador!$B$9)))</f>
        <v>0</v>
      </c>
      <c r="D63" s="18">
        <f>IF(OR((($A63-Simulador!$E$7)/Simulador!$G$7)&lt;=0,(($A63-Simulador!$E$7)/Simulador!$G$7)&gt;=1),0,IF((($A63-Simulador!$E$7)/Simulador!$G$7)&lt;Simulador!$B$11,Simulador!$B$9*(1-COS(PI()*(($A63-Simulador!$E$7)/Simulador!$G$7)/Simulador!$B$11))/2,IF((($A63-Simulador!$E$7)/Simulador!$G$7)&gt;1-Simulador!$B$11,Simulador!$B$9*(1-COS(PI()*(1-(($A63-Simulador!$E$7)/Simulador!$G$7))/Simulador!$B$11))/2,Simulador!$B$9)))</f>
        <v>0</v>
      </c>
      <c r="E63" s="18">
        <f>IF(OR((($A63-Simulador!$E$8)/Simulador!$G$8)&lt;=0,(($A63-Simulador!$E$8)/Simulador!$G$8)&gt;=1),0,IF((($A63-Simulador!$E$8)/Simulador!$G$8)&lt;Simulador!$B$11,Simulador!$B$10*(1-COS(PI()*(($A63-Simulador!$E$8)/Simulador!$G$8)/Simulador!$B$11))/2,IF((($A63-Simulador!$E$8)/Simulador!$G$8)&gt;1-Simulador!$B$11,Simulador!$B$10*(1-COS(PI()*(1-(($A63-Simulador!$E$8)/Simulador!$G$8))/Simulador!$B$11))/2,Simulador!$B$10)))</f>
        <v>0</v>
      </c>
      <c r="F63" s="18">
        <f>IF(OR((($A63-Simulador!$E$9)/Simulador!$G$9)&lt;=0,(($A63-Simulador!$E$9)/Simulador!$G$9)&gt;=1),0,IF((($A63-Simulador!$E$9)/Simulador!$G$9)&lt;Simulador!$B$11,Simulador!$B$10*(1-COS(PI()*(($A63-Simulador!$E$9)/Simulador!$G$9)/Simulador!$B$11))/2,IF((($A63-Simulador!$E$9)/Simulador!$G$9)&gt;1-Simulador!$B$11,Simulador!$B$10*(1-COS(PI()*(1-(($A63-Simulador!$E$9)/Simulador!$G$9))/Simulador!$B$11))/2,Simulador!$B$10)))</f>
        <v>0</v>
      </c>
      <c r="G63" s="18">
        <f>IF(OR((($A63-Simulador!$E$10)/Simulador!$G$10)&lt;=0,(($A63-Simulador!$E$10)/Simulador!$G$10)&gt;=1),0,IF((($A63-Simulador!$E$10)/Simulador!$G$10)&lt;Simulador!$B$11,Simulador!$B$10*(1-COS(PI()*(($A63-Simulador!$E$10)/Simulador!$G$10)/Simulador!$B$11))/2,IF((($A63-Simulador!$E$10)/Simulador!$G$10)&gt;1-Simulador!$B$11,Simulador!$B$10*(1-COS(PI()*(1-(($A63-Simulador!$E$10)/Simulador!$G$10))/Simulador!$B$11))/2,Simulador!$B$10)))</f>
        <v>0</v>
      </c>
    </row>
    <row r="64" spans="1:7" x14ac:dyDescent="0.25">
      <c r="A64" s="17">
        <f>A63+Simulador!$B$14</f>
        <v>124</v>
      </c>
      <c r="B64" s="18">
        <f>IF(OR((($A64-Simulador!$E$5)/Simulador!$G$5)&lt;=0,(($A64-Simulador!$E$5)/Simulador!$G$5)&gt;=1),0,IF((($A64-Simulador!$E$5)/Simulador!$G$5)&lt;Simulador!$B$11,Simulador!$B$9*(1-COS(PI()*(($A64-Simulador!$E$5)/Simulador!$G$5)/Simulador!$B$11))/2,IF((($A64-Simulador!$E$5)/Simulador!$G$5)&gt;1-Simulador!$B$11,Simulador!$B$9*(1-COS(PI()*(1-(($A64-Simulador!$E$5)/Simulador!$G$5))/Simulador!$B$11))/2,Simulador!$B$9)))</f>
        <v>3.5376329972934412E-2</v>
      </c>
      <c r="C64" s="18">
        <f>IF(OR((($A64-Simulador!$E$6)/Simulador!$G$6)&lt;=0,(($A64-Simulador!$E$6)/Simulador!$G$6)&gt;=1),0,IF((($A64-Simulador!$E$6)/Simulador!$G$6)&lt;Simulador!$B$11,Simulador!$B$9*(1-COS(PI()*(($A64-Simulador!$E$6)/Simulador!$G$6)/Simulador!$B$11))/2,IF((($A64-Simulador!$E$6)/Simulador!$G$6)&gt;1-Simulador!$B$11,Simulador!$B$9*(1-COS(PI()*(1-(($A64-Simulador!$E$6)/Simulador!$G$6))/Simulador!$B$11))/2,Simulador!$B$9)))</f>
        <v>0</v>
      </c>
      <c r="D64" s="18">
        <f>IF(OR((($A64-Simulador!$E$7)/Simulador!$G$7)&lt;=0,(($A64-Simulador!$E$7)/Simulador!$G$7)&gt;=1),0,IF((($A64-Simulador!$E$7)/Simulador!$G$7)&lt;Simulador!$B$11,Simulador!$B$9*(1-COS(PI()*(($A64-Simulador!$E$7)/Simulador!$G$7)/Simulador!$B$11))/2,IF((($A64-Simulador!$E$7)/Simulador!$G$7)&gt;1-Simulador!$B$11,Simulador!$B$9*(1-COS(PI()*(1-(($A64-Simulador!$E$7)/Simulador!$G$7))/Simulador!$B$11))/2,Simulador!$B$9)))</f>
        <v>0</v>
      </c>
      <c r="E64" s="18">
        <f>IF(OR((($A64-Simulador!$E$8)/Simulador!$G$8)&lt;=0,(($A64-Simulador!$E$8)/Simulador!$G$8)&gt;=1),0,IF((($A64-Simulador!$E$8)/Simulador!$G$8)&lt;Simulador!$B$11,Simulador!$B$10*(1-COS(PI()*(($A64-Simulador!$E$8)/Simulador!$G$8)/Simulador!$B$11))/2,IF((($A64-Simulador!$E$8)/Simulador!$G$8)&gt;1-Simulador!$B$11,Simulador!$B$10*(1-COS(PI()*(1-(($A64-Simulador!$E$8)/Simulador!$G$8))/Simulador!$B$11))/2,Simulador!$B$10)))</f>
        <v>0</v>
      </c>
      <c r="F64" s="18">
        <f>IF(OR((($A64-Simulador!$E$9)/Simulador!$G$9)&lt;=0,(($A64-Simulador!$E$9)/Simulador!$G$9)&gt;=1),0,IF((($A64-Simulador!$E$9)/Simulador!$G$9)&lt;Simulador!$B$11,Simulador!$B$10*(1-COS(PI()*(($A64-Simulador!$E$9)/Simulador!$G$9)/Simulador!$B$11))/2,IF((($A64-Simulador!$E$9)/Simulador!$G$9)&gt;1-Simulador!$B$11,Simulador!$B$10*(1-COS(PI()*(1-(($A64-Simulador!$E$9)/Simulador!$G$9))/Simulador!$B$11))/2,Simulador!$B$10)))</f>
        <v>0</v>
      </c>
      <c r="G64" s="18">
        <f>IF(OR((($A64-Simulador!$E$10)/Simulador!$G$10)&lt;=0,(($A64-Simulador!$E$10)/Simulador!$G$10)&gt;=1),0,IF((($A64-Simulador!$E$10)/Simulador!$G$10)&lt;Simulador!$B$11,Simulador!$B$10*(1-COS(PI()*(($A64-Simulador!$E$10)/Simulador!$G$10)/Simulador!$B$11))/2,IF((($A64-Simulador!$E$10)/Simulador!$G$10)&gt;1-Simulador!$B$11,Simulador!$B$10*(1-COS(PI()*(1-(($A64-Simulador!$E$10)/Simulador!$G$10))/Simulador!$B$11))/2,Simulador!$B$10)))</f>
        <v>0</v>
      </c>
    </row>
    <row r="65" spans="1:7" x14ac:dyDescent="0.25">
      <c r="A65" s="17">
        <f>A64+Simulador!$B$14</f>
        <v>126</v>
      </c>
      <c r="B65" s="18">
        <f>IF(OR((($A65-Simulador!$E$5)/Simulador!$G$5)&lt;=0,(($A65-Simulador!$E$5)/Simulador!$G$5)&gt;=1),0,IF((($A65-Simulador!$E$5)/Simulador!$G$5)&lt;Simulador!$B$11,Simulador!$B$9*(1-COS(PI()*(($A65-Simulador!$E$5)/Simulador!$G$5)/Simulador!$B$11))/2,IF((($A65-Simulador!$E$5)/Simulador!$G$5)&gt;1-Simulador!$B$11,Simulador!$B$9*(1-COS(PI()*(1-(($A65-Simulador!$E$5)/Simulador!$G$5))/Simulador!$B$11))/2,Simulador!$B$9)))</f>
        <v>7.9473133154437409E-2</v>
      </c>
      <c r="C65" s="18">
        <f>IF(OR((($A65-Simulador!$E$6)/Simulador!$G$6)&lt;=0,(($A65-Simulador!$E$6)/Simulador!$G$6)&gt;=1),0,IF((($A65-Simulador!$E$6)/Simulador!$G$6)&lt;Simulador!$B$11,Simulador!$B$9*(1-COS(PI()*(($A65-Simulador!$E$6)/Simulador!$G$6)/Simulador!$B$11))/2,IF((($A65-Simulador!$E$6)/Simulador!$G$6)&gt;1-Simulador!$B$11,Simulador!$B$9*(1-COS(PI()*(1-(($A65-Simulador!$E$6)/Simulador!$G$6))/Simulador!$B$11))/2,Simulador!$B$9)))</f>
        <v>0</v>
      </c>
      <c r="D65" s="18">
        <f>IF(OR((($A65-Simulador!$E$7)/Simulador!$G$7)&lt;=0,(($A65-Simulador!$E$7)/Simulador!$G$7)&gt;=1),0,IF((($A65-Simulador!$E$7)/Simulador!$G$7)&lt;Simulador!$B$11,Simulador!$B$9*(1-COS(PI()*(($A65-Simulador!$E$7)/Simulador!$G$7)/Simulador!$B$11))/2,IF((($A65-Simulador!$E$7)/Simulador!$G$7)&gt;1-Simulador!$B$11,Simulador!$B$9*(1-COS(PI()*(1-(($A65-Simulador!$E$7)/Simulador!$G$7))/Simulador!$B$11))/2,Simulador!$B$9)))</f>
        <v>0</v>
      </c>
      <c r="E65" s="18">
        <f>IF(OR((($A65-Simulador!$E$8)/Simulador!$G$8)&lt;=0,(($A65-Simulador!$E$8)/Simulador!$G$8)&gt;=1),0,IF((($A65-Simulador!$E$8)/Simulador!$G$8)&lt;Simulador!$B$11,Simulador!$B$10*(1-COS(PI()*(($A65-Simulador!$E$8)/Simulador!$G$8)/Simulador!$B$11))/2,IF((($A65-Simulador!$E$8)/Simulador!$G$8)&gt;1-Simulador!$B$11,Simulador!$B$10*(1-COS(PI()*(1-(($A65-Simulador!$E$8)/Simulador!$G$8))/Simulador!$B$11))/2,Simulador!$B$10)))</f>
        <v>0</v>
      </c>
      <c r="F65" s="18">
        <f>IF(OR((($A65-Simulador!$E$9)/Simulador!$G$9)&lt;=0,(($A65-Simulador!$E$9)/Simulador!$G$9)&gt;=1),0,IF((($A65-Simulador!$E$9)/Simulador!$G$9)&lt;Simulador!$B$11,Simulador!$B$10*(1-COS(PI()*(($A65-Simulador!$E$9)/Simulador!$G$9)/Simulador!$B$11))/2,IF((($A65-Simulador!$E$9)/Simulador!$G$9)&gt;1-Simulador!$B$11,Simulador!$B$10*(1-COS(PI()*(1-(($A65-Simulador!$E$9)/Simulador!$G$9))/Simulador!$B$11))/2,Simulador!$B$10)))</f>
        <v>0</v>
      </c>
      <c r="G65" s="18">
        <f>IF(OR((($A65-Simulador!$E$10)/Simulador!$G$10)&lt;=0,(($A65-Simulador!$E$10)/Simulador!$G$10)&gt;=1),0,IF((($A65-Simulador!$E$10)/Simulador!$G$10)&lt;Simulador!$B$11,Simulador!$B$10*(1-COS(PI()*(($A65-Simulador!$E$10)/Simulador!$G$10)/Simulador!$B$11))/2,IF((($A65-Simulador!$E$10)/Simulador!$G$10)&gt;1-Simulador!$B$11,Simulador!$B$10*(1-COS(PI()*(1-(($A65-Simulador!$E$10)/Simulador!$G$10))/Simulador!$B$11))/2,Simulador!$B$10)))</f>
        <v>0</v>
      </c>
    </row>
    <row r="66" spans="1:7" x14ac:dyDescent="0.25">
      <c r="A66" s="17">
        <f>A65+Simulador!$B$14</f>
        <v>128</v>
      </c>
      <c r="B66" s="18">
        <f>IF(OR((($A66-Simulador!$E$5)/Simulador!$G$5)&lt;=0,(($A66-Simulador!$E$5)/Simulador!$G$5)&gt;=1),0,IF((($A66-Simulador!$E$5)/Simulador!$G$5)&lt;Simulador!$B$11,Simulador!$B$9*(1-COS(PI()*(($A66-Simulador!$E$5)/Simulador!$G$5)/Simulador!$B$11))/2,IF((($A66-Simulador!$E$5)/Simulador!$G$5)&gt;1-Simulador!$B$11,Simulador!$B$9*(1-COS(PI()*(1-(($A66-Simulador!$E$5)/Simulador!$G$5))/Simulador!$B$11))/2,Simulador!$B$9)))</f>
        <v>0.14097837895600998</v>
      </c>
      <c r="C66" s="18">
        <f>IF(OR((($A66-Simulador!$E$6)/Simulador!$G$6)&lt;=0,(($A66-Simulador!$E$6)/Simulador!$G$6)&gt;=1),0,IF((($A66-Simulador!$E$6)/Simulador!$G$6)&lt;Simulador!$B$11,Simulador!$B$9*(1-COS(PI()*(($A66-Simulador!$E$6)/Simulador!$G$6)/Simulador!$B$11))/2,IF((($A66-Simulador!$E$6)/Simulador!$G$6)&gt;1-Simulador!$B$11,Simulador!$B$9*(1-COS(PI()*(1-(($A66-Simulador!$E$6)/Simulador!$G$6))/Simulador!$B$11))/2,Simulador!$B$9)))</f>
        <v>0</v>
      </c>
      <c r="D66" s="18">
        <f>IF(OR((($A66-Simulador!$E$7)/Simulador!$G$7)&lt;=0,(($A66-Simulador!$E$7)/Simulador!$G$7)&gt;=1),0,IF((($A66-Simulador!$E$7)/Simulador!$G$7)&lt;Simulador!$B$11,Simulador!$B$9*(1-COS(PI()*(($A66-Simulador!$E$7)/Simulador!$G$7)/Simulador!$B$11))/2,IF((($A66-Simulador!$E$7)/Simulador!$G$7)&gt;1-Simulador!$B$11,Simulador!$B$9*(1-COS(PI()*(1-(($A66-Simulador!$E$7)/Simulador!$G$7))/Simulador!$B$11))/2,Simulador!$B$9)))</f>
        <v>0</v>
      </c>
      <c r="E66" s="18">
        <f>IF(OR((($A66-Simulador!$E$8)/Simulador!$G$8)&lt;=0,(($A66-Simulador!$E$8)/Simulador!$G$8)&gt;=1),0,IF((($A66-Simulador!$E$8)/Simulador!$G$8)&lt;Simulador!$B$11,Simulador!$B$10*(1-COS(PI()*(($A66-Simulador!$E$8)/Simulador!$G$8)/Simulador!$B$11))/2,IF((($A66-Simulador!$E$8)/Simulador!$G$8)&gt;1-Simulador!$B$11,Simulador!$B$10*(1-COS(PI()*(1-(($A66-Simulador!$E$8)/Simulador!$G$8))/Simulador!$B$11))/2,Simulador!$B$10)))</f>
        <v>0</v>
      </c>
      <c r="F66" s="18">
        <f>IF(OR((($A66-Simulador!$E$9)/Simulador!$G$9)&lt;=0,(($A66-Simulador!$E$9)/Simulador!$G$9)&gt;=1),0,IF((($A66-Simulador!$E$9)/Simulador!$G$9)&lt;Simulador!$B$11,Simulador!$B$10*(1-COS(PI()*(($A66-Simulador!$E$9)/Simulador!$G$9)/Simulador!$B$11))/2,IF((($A66-Simulador!$E$9)/Simulador!$G$9)&gt;1-Simulador!$B$11,Simulador!$B$10*(1-COS(PI()*(1-(($A66-Simulador!$E$9)/Simulador!$G$9))/Simulador!$B$11))/2,Simulador!$B$10)))</f>
        <v>0</v>
      </c>
      <c r="G66" s="18">
        <f>IF(OR((($A66-Simulador!$E$10)/Simulador!$G$10)&lt;=0,(($A66-Simulador!$E$10)/Simulador!$G$10)&gt;=1),0,IF((($A66-Simulador!$E$10)/Simulador!$G$10)&lt;Simulador!$B$11,Simulador!$B$10*(1-COS(PI()*(($A66-Simulador!$E$10)/Simulador!$G$10)/Simulador!$B$11))/2,IF((($A66-Simulador!$E$10)/Simulador!$G$10)&gt;1-Simulador!$B$11,Simulador!$B$10*(1-COS(PI()*(1-(($A66-Simulador!$E$10)/Simulador!$G$10))/Simulador!$B$11))/2,Simulador!$B$10)))</f>
        <v>0</v>
      </c>
    </row>
    <row r="67" spans="1:7" x14ac:dyDescent="0.25">
      <c r="A67" s="17">
        <f>A66+Simulador!$B$14</f>
        <v>130</v>
      </c>
      <c r="B67" s="18">
        <f>IF(OR((($A67-Simulador!$E$5)/Simulador!$G$5)&lt;=0,(($A67-Simulador!$E$5)/Simulador!$G$5)&gt;=1),0,IF((($A67-Simulador!$E$5)/Simulador!$G$5)&lt;Simulador!$B$11,Simulador!$B$9*(1-COS(PI()*(($A67-Simulador!$E$5)/Simulador!$G$5)/Simulador!$B$11))/2,IF((($A67-Simulador!$E$5)/Simulador!$G$5)&gt;1-Simulador!$B$11,Simulador!$B$9*(1-COS(PI()*(1-(($A67-Simulador!$E$5)/Simulador!$G$5))/Simulador!$B$11))/2,Simulador!$B$9)))</f>
        <v>0.21966281903525098</v>
      </c>
      <c r="C67" s="18">
        <f>IF(OR((($A67-Simulador!$E$6)/Simulador!$G$6)&lt;=0,(($A67-Simulador!$E$6)/Simulador!$G$6)&gt;=1),0,IF((($A67-Simulador!$E$6)/Simulador!$G$6)&lt;Simulador!$B$11,Simulador!$B$9*(1-COS(PI()*(($A67-Simulador!$E$6)/Simulador!$G$6)/Simulador!$B$11))/2,IF((($A67-Simulador!$E$6)/Simulador!$G$6)&gt;1-Simulador!$B$11,Simulador!$B$9*(1-COS(PI()*(1-(($A67-Simulador!$E$6)/Simulador!$G$6))/Simulador!$B$11))/2,Simulador!$B$9)))</f>
        <v>0</v>
      </c>
      <c r="D67" s="18">
        <f>IF(OR((($A67-Simulador!$E$7)/Simulador!$G$7)&lt;=0,(($A67-Simulador!$E$7)/Simulador!$G$7)&gt;=1),0,IF((($A67-Simulador!$E$7)/Simulador!$G$7)&lt;Simulador!$B$11,Simulador!$B$9*(1-COS(PI()*(($A67-Simulador!$E$7)/Simulador!$G$7)/Simulador!$B$11))/2,IF((($A67-Simulador!$E$7)/Simulador!$G$7)&gt;1-Simulador!$B$11,Simulador!$B$9*(1-COS(PI()*(1-(($A67-Simulador!$E$7)/Simulador!$G$7))/Simulador!$B$11))/2,Simulador!$B$9)))</f>
        <v>0</v>
      </c>
      <c r="E67" s="18">
        <f>IF(OR((($A67-Simulador!$E$8)/Simulador!$G$8)&lt;=0,(($A67-Simulador!$E$8)/Simulador!$G$8)&gt;=1),0,IF((($A67-Simulador!$E$8)/Simulador!$G$8)&lt;Simulador!$B$11,Simulador!$B$10*(1-COS(PI()*(($A67-Simulador!$E$8)/Simulador!$G$8)/Simulador!$B$11))/2,IF((($A67-Simulador!$E$8)/Simulador!$G$8)&gt;1-Simulador!$B$11,Simulador!$B$10*(1-COS(PI()*(1-(($A67-Simulador!$E$8)/Simulador!$G$8))/Simulador!$B$11))/2,Simulador!$B$10)))</f>
        <v>0</v>
      </c>
      <c r="F67" s="18">
        <f>IF(OR((($A67-Simulador!$E$9)/Simulador!$G$9)&lt;=0,(($A67-Simulador!$E$9)/Simulador!$G$9)&gt;=1),0,IF((($A67-Simulador!$E$9)/Simulador!$G$9)&lt;Simulador!$B$11,Simulador!$B$10*(1-COS(PI()*(($A67-Simulador!$E$9)/Simulador!$G$9)/Simulador!$B$11))/2,IF((($A67-Simulador!$E$9)/Simulador!$G$9)&gt;1-Simulador!$B$11,Simulador!$B$10*(1-COS(PI()*(1-(($A67-Simulador!$E$9)/Simulador!$G$9))/Simulador!$B$11))/2,Simulador!$B$10)))</f>
        <v>0</v>
      </c>
      <c r="G67" s="18">
        <f>IF(OR((($A67-Simulador!$E$10)/Simulador!$G$10)&lt;=0,(($A67-Simulador!$E$10)/Simulador!$G$10)&gt;=1),0,IF((($A67-Simulador!$E$10)/Simulador!$G$10)&lt;Simulador!$B$11,Simulador!$B$10*(1-COS(PI()*(($A67-Simulador!$E$10)/Simulador!$G$10)/Simulador!$B$11))/2,IF((($A67-Simulador!$E$10)/Simulador!$G$10)&gt;1-Simulador!$B$11,Simulador!$B$10*(1-COS(PI()*(1-(($A67-Simulador!$E$10)/Simulador!$G$10))/Simulador!$B$11))/2,Simulador!$B$10)))</f>
        <v>0</v>
      </c>
    </row>
    <row r="68" spans="1:7" x14ac:dyDescent="0.25">
      <c r="A68" s="17">
        <f>A67+Simulador!$B$14</f>
        <v>132</v>
      </c>
      <c r="B68" s="18">
        <f>IF(OR((($A68-Simulador!$E$5)/Simulador!$G$5)&lt;=0,(($A68-Simulador!$E$5)/Simulador!$G$5)&gt;=1),0,IF((($A68-Simulador!$E$5)/Simulador!$G$5)&lt;Simulador!$B$11,Simulador!$B$9*(1-COS(PI()*(($A68-Simulador!$E$5)/Simulador!$G$5)/Simulador!$B$11))/2,IF((($A68-Simulador!$E$5)/Simulador!$G$5)&gt;1-Simulador!$B$11,Simulador!$B$9*(1-COS(PI()*(1-(($A68-Simulador!$E$5)/Simulador!$G$5))/Simulador!$B$11))/2,Simulador!$B$9)))</f>
        <v>0.31523317308369292</v>
      </c>
      <c r="C68" s="18">
        <f>IF(OR((($A68-Simulador!$E$6)/Simulador!$G$6)&lt;=0,(($A68-Simulador!$E$6)/Simulador!$G$6)&gt;=1),0,IF((($A68-Simulador!$E$6)/Simulador!$G$6)&lt;Simulador!$B$11,Simulador!$B$9*(1-COS(PI()*(($A68-Simulador!$E$6)/Simulador!$G$6)/Simulador!$B$11))/2,IF((($A68-Simulador!$E$6)/Simulador!$G$6)&gt;1-Simulador!$B$11,Simulador!$B$9*(1-COS(PI()*(1-(($A68-Simulador!$E$6)/Simulador!$G$6))/Simulador!$B$11))/2,Simulador!$B$9)))</f>
        <v>0</v>
      </c>
      <c r="D68" s="18">
        <f>IF(OR((($A68-Simulador!$E$7)/Simulador!$G$7)&lt;=0,(($A68-Simulador!$E$7)/Simulador!$G$7)&gt;=1),0,IF((($A68-Simulador!$E$7)/Simulador!$G$7)&lt;Simulador!$B$11,Simulador!$B$9*(1-COS(PI()*(($A68-Simulador!$E$7)/Simulador!$G$7)/Simulador!$B$11))/2,IF((($A68-Simulador!$E$7)/Simulador!$G$7)&gt;1-Simulador!$B$11,Simulador!$B$9*(1-COS(PI()*(1-(($A68-Simulador!$E$7)/Simulador!$G$7))/Simulador!$B$11))/2,Simulador!$B$9)))</f>
        <v>0</v>
      </c>
      <c r="E68" s="18">
        <f>IF(OR((($A68-Simulador!$E$8)/Simulador!$G$8)&lt;=0,(($A68-Simulador!$E$8)/Simulador!$G$8)&gt;=1),0,IF((($A68-Simulador!$E$8)/Simulador!$G$8)&lt;Simulador!$B$11,Simulador!$B$10*(1-COS(PI()*(($A68-Simulador!$E$8)/Simulador!$G$8)/Simulador!$B$11))/2,IF((($A68-Simulador!$E$8)/Simulador!$G$8)&gt;1-Simulador!$B$11,Simulador!$B$10*(1-COS(PI()*(1-(($A68-Simulador!$E$8)/Simulador!$G$8))/Simulador!$B$11))/2,Simulador!$B$10)))</f>
        <v>0</v>
      </c>
      <c r="F68" s="18">
        <f>IF(OR((($A68-Simulador!$E$9)/Simulador!$G$9)&lt;=0,(($A68-Simulador!$E$9)/Simulador!$G$9)&gt;=1),0,IF((($A68-Simulador!$E$9)/Simulador!$G$9)&lt;Simulador!$B$11,Simulador!$B$10*(1-COS(PI()*(($A68-Simulador!$E$9)/Simulador!$G$9)/Simulador!$B$11))/2,IF((($A68-Simulador!$E$9)/Simulador!$G$9)&gt;1-Simulador!$B$11,Simulador!$B$10*(1-COS(PI()*(1-(($A68-Simulador!$E$9)/Simulador!$G$9))/Simulador!$B$11))/2,Simulador!$B$10)))</f>
        <v>0</v>
      </c>
      <c r="G68" s="18">
        <f>IF(OR((($A68-Simulador!$E$10)/Simulador!$G$10)&lt;=0,(($A68-Simulador!$E$10)/Simulador!$G$10)&gt;=1),0,IF((($A68-Simulador!$E$10)/Simulador!$G$10)&lt;Simulador!$B$11,Simulador!$B$10*(1-COS(PI()*(($A68-Simulador!$E$10)/Simulador!$G$10)/Simulador!$B$11))/2,IF((($A68-Simulador!$E$10)/Simulador!$G$10)&gt;1-Simulador!$B$11,Simulador!$B$10*(1-COS(PI()*(1-(($A68-Simulador!$E$10)/Simulador!$G$10))/Simulador!$B$11))/2,Simulador!$B$10)))</f>
        <v>0</v>
      </c>
    </row>
    <row r="69" spans="1:7" x14ac:dyDescent="0.25">
      <c r="A69" s="17">
        <f>A68+Simulador!$B$14</f>
        <v>134</v>
      </c>
      <c r="B69" s="18">
        <f>IF(OR((($A69-Simulador!$E$5)/Simulador!$G$5)&lt;=0,(($A69-Simulador!$E$5)/Simulador!$G$5)&gt;=1),0,IF((($A69-Simulador!$E$5)/Simulador!$G$5)&lt;Simulador!$B$11,Simulador!$B$9*(1-COS(PI()*(($A69-Simulador!$E$5)/Simulador!$G$5)/Simulador!$B$11))/2,IF((($A69-Simulador!$E$5)/Simulador!$G$5)&gt;1-Simulador!$B$11,Simulador!$B$9*(1-COS(PI()*(1-(($A69-Simulador!$E$5)/Simulador!$G$5))/Simulador!$B$11))/2,Simulador!$B$9)))</f>
        <v>0.42733322196973361</v>
      </c>
      <c r="C69" s="18">
        <f>IF(OR((($A69-Simulador!$E$6)/Simulador!$G$6)&lt;=0,(($A69-Simulador!$E$6)/Simulador!$G$6)&gt;=1),0,IF((($A69-Simulador!$E$6)/Simulador!$G$6)&lt;Simulador!$B$11,Simulador!$B$9*(1-COS(PI()*(($A69-Simulador!$E$6)/Simulador!$G$6)/Simulador!$B$11))/2,IF((($A69-Simulador!$E$6)/Simulador!$G$6)&gt;1-Simulador!$B$11,Simulador!$B$9*(1-COS(PI()*(1-(($A69-Simulador!$E$6)/Simulador!$G$6))/Simulador!$B$11))/2,Simulador!$B$9)))</f>
        <v>0</v>
      </c>
      <c r="D69" s="18">
        <f>IF(OR((($A69-Simulador!$E$7)/Simulador!$G$7)&lt;=0,(($A69-Simulador!$E$7)/Simulador!$G$7)&gt;=1),0,IF((($A69-Simulador!$E$7)/Simulador!$G$7)&lt;Simulador!$B$11,Simulador!$B$9*(1-COS(PI()*(($A69-Simulador!$E$7)/Simulador!$G$7)/Simulador!$B$11))/2,IF((($A69-Simulador!$E$7)/Simulador!$G$7)&gt;1-Simulador!$B$11,Simulador!$B$9*(1-COS(PI()*(1-(($A69-Simulador!$E$7)/Simulador!$G$7))/Simulador!$B$11))/2,Simulador!$B$9)))</f>
        <v>0</v>
      </c>
      <c r="E69" s="18">
        <f>IF(OR((($A69-Simulador!$E$8)/Simulador!$G$8)&lt;=0,(($A69-Simulador!$E$8)/Simulador!$G$8)&gt;=1),0,IF((($A69-Simulador!$E$8)/Simulador!$G$8)&lt;Simulador!$B$11,Simulador!$B$10*(1-COS(PI()*(($A69-Simulador!$E$8)/Simulador!$G$8)/Simulador!$B$11))/2,IF((($A69-Simulador!$E$8)/Simulador!$G$8)&gt;1-Simulador!$B$11,Simulador!$B$10*(1-COS(PI()*(1-(($A69-Simulador!$E$8)/Simulador!$G$8))/Simulador!$B$11))/2,Simulador!$B$10)))</f>
        <v>0</v>
      </c>
      <c r="F69" s="18">
        <f>IF(OR((($A69-Simulador!$E$9)/Simulador!$G$9)&lt;=0,(($A69-Simulador!$E$9)/Simulador!$G$9)&gt;=1),0,IF((($A69-Simulador!$E$9)/Simulador!$G$9)&lt;Simulador!$B$11,Simulador!$B$10*(1-COS(PI()*(($A69-Simulador!$E$9)/Simulador!$G$9)/Simulador!$B$11))/2,IF((($A69-Simulador!$E$9)/Simulador!$G$9)&gt;1-Simulador!$B$11,Simulador!$B$10*(1-COS(PI()*(1-(($A69-Simulador!$E$9)/Simulador!$G$9))/Simulador!$B$11))/2,Simulador!$B$10)))</f>
        <v>0</v>
      </c>
      <c r="G69" s="18">
        <f>IF(OR((($A69-Simulador!$E$10)/Simulador!$G$10)&lt;=0,(($A69-Simulador!$E$10)/Simulador!$G$10)&gt;=1),0,IF((($A69-Simulador!$E$10)/Simulador!$G$10)&lt;Simulador!$B$11,Simulador!$B$10*(1-COS(PI()*(($A69-Simulador!$E$10)/Simulador!$G$10)/Simulador!$B$11))/2,IF((($A69-Simulador!$E$10)/Simulador!$G$10)&gt;1-Simulador!$B$11,Simulador!$B$10*(1-COS(PI()*(1-(($A69-Simulador!$E$10)/Simulador!$G$10))/Simulador!$B$11))/2,Simulador!$B$10)))</f>
        <v>0</v>
      </c>
    </row>
    <row r="70" spans="1:7" x14ac:dyDescent="0.25">
      <c r="A70" s="17">
        <f>A69+Simulador!$B$14</f>
        <v>136</v>
      </c>
      <c r="B70" s="18">
        <f>IF(OR((($A70-Simulador!$E$5)/Simulador!$G$5)&lt;=0,(($A70-Simulador!$E$5)/Simulador!$G$5)&gt;=1),0,IF((($A70-Simulador!$E$5)/Simulador!$G$5)&lt;Simulador!$B$11,Simulador!$B$9*(1-COS(PI()*(($A70-Simulador!$E$5)/Simulador!$G$5)/Simulador!$B$11))/2,IF((($A70-Simulador!$E$5)/Simulador!$G$5)&gt;1-Simulador!$B$11,Simulador!$B$9*(1-COS(PI()*(1-(($A70-Simulador!$E$5)/Simulador!$G$5))/Simulador!$B$11))/2,Simulador!$B$9)))</f>
        <v>0.555545135473277</v>
      </c>
      <c r="C70" s="18">
        <f>IF(OR((($A70-Simulador!$E$6)/Simulador!$G$6)&lt;=0,(($A70-Simulador!$E$6)/Simulador!$G$6)&gt;=1),0,IF((($A70-Simulador!$E$6)/Simulador!$G$6)&lt;Simulador!$B$11,Simulador!$B$9*(1-COS(PI()*(($A70-Simulador!$E$6)/Simulador!$G$6)/Simulador!$B$11))/2,IF((($A70-Simulador!$E$6)/Simulador!$G$6)&gt;1-Simulador!$B$11,Simulador!$B$9*(1-COS(PI()*(1-(($A70-Simulador!$E$6)/Simulador!$G$6))/Simulador!$B$11))/2,Simulador!$B$9)))</f>
        <v>2.2135986192304002E-3</v>
      </c>
      <c r="D70" s="18">
        <f>IF(OR((($A70-Simulador!$E$7)/Simulador!$G$7)&lt;=0,(($A70-Simulador!$E$7)/Simulador!$G$7)&gt;=1),0,IF((($A70-Simulador!$E$7)/Simulador!$G$7)&lt;Simulador!$B$11,Simulador!$B$9*(1-COS(PI()*(($A70-Simulador!$E$7)/Simulador!$G$7)/Simulador!$B$11))/2,IF((($A70-Simulador!$E$7)/Simulador!$G$7)&gt;1-Simulador!$B$11,Simulador!$B$9*(1-COS(PI()*(1-(($A70-Simulador!$E$7)/Simulador!$G$7))/Simulador!$B$11))/2,Simulador!$B$9)))</f>
        <v>0</v>
      </c>
      <c r="E70" s="18">
        <f>IF(OR((($A70-Simulador!$E$8)/Simulador!$G$8)&lt;=0,(($A70-Simulador!$E$8)/Simulador!$G$8)&gt;=1),0,IF((($A70-Simulador!$E$8)/Simulador!$G$8)&lt;Simulador!$B$11,Simulador!$B$10*(1-COS(PI()*(($A70-Simulador!$E$8)/Simulador!$G$8)/Simulador!$B$11))/2,IF((($A70-Simulador!$E$8)/Simulador!$G$8)&gt;1-Simulador!$B$11,Simulador!$B$10*(1-COS(PI()*(1-(($A70-Simulador!$E$8)/Simulador!$G$8))/Simulador!$B$11))/2,Simulador!$B$10)))</f>
        <v>0</v>
      </c>
      <c r="F70" s="18">
        <f>IF(OR((($A70-Simulador!$E$9)/Simulador!$G$9)&lt;=0,(($A70-Simulador!$E$9)/Simulador!$G$9)&gt;=1),0,IF((($A70-Simulador!$E$9)/Simulador!$G$9)&lt;Simulador!$B$11,Simulador!$B$10*(1-COS(PI()*(($A70-Simulador!$E$9)/Simulador!$G$9)/Simulador!$B$11))/2,IF((($A70-Simulador!$E$9)/Simulador!$G$9)&gt;1-Simulador!$B$11,Simulador!$B$10*(1-COS(PI()*(1-(($A70-Simulador!$E$9)/Simulador!$G$9))/Simulador!$B$11))/2,Simulador!$B$10)))</f>
        <v>0</v>
      </c>
      <c r="G70" s="18">
        <f>IF(OR((($A70-Simulador!$E$10)/Simulador!$G$10)&lt;=0,(($A70-Simulador!$E$10)/Simulador!$G$10)&gt;=1),0,IF((($A70-Simulador!$E$10)/Simulador!$G$10)&lt;Simulador!$B$11,Simulador!$B$10*(1-COS(PI()*(($A70-Simulador!$E$10)/Simulador!$G$10)/Simulador!$B$11))/2,IF((($A70-Simulador!$E$10)/Simulador!$G$10)&gt;1-Simulador!$B$11,Simulador!$B$10*(1-COS(PI()*(1-(($A70-Simulador!$E$10)/Simulador!$G$10))/Simulador!$B$11))/2,Simulador!$B$10)))</f>
        <v>0</v>
      </c>
    </row>
    <row r="71" spans="1:7" x14ac:dyDescent="0.25">
      <c r="A71" s="17">
        <f>A70+Simulador!$B$14</f>
        <v>138</v>
      </c>
      <c r="B71" s="18">
        <f>IF(OR((($A71-Simulador!$E$5)/Simulador!$G$5)&lt;=0,(($A71-Simulador!$E$5)/Simulador!$G$5)&gt;=1),0,IF((($A71-Simulador!$E$5)/Simulador!$G$5)&lt;Simulador!$B$11,Simulador!$B$9*(1-COS(PI()*(($A71-Simulador!$E$5)/Simulador!$G$5)/Simulador!$B$11))/2,IF((($A71-Simulador!$E$5)/Simulador!$G$5)&gt;1-Simulador!$B$11,Simulador!$B$9*(1-COS(PI()*(1-(($A71-Simulador!$E$5)/Simulador!$G$5))/Simulador!$B$11))/2,Simulador!$B$9)))</f>
        <v>0.69939102966322286</v>
      </c>
      <c r="C71" s="18">
        <f>IF(OR((($A71-Simulador!$E$6)/Simulador!$G$6)&lt;=0,(($A71-Simulador!$E$6)/Simulador!$G$6)&gt;=1),0,IF((($A71-Simulador!$E$6)/Simulador!$G$6)&lt;Simulador!$B$11,Simulador!$B$9*(1-COS(PI()*(($A71-Simulador!$E$6)/Simulador!$G$6)/Simulador!$B$11))/2,IF((($A71-Simulador!$E$6)/Simulador!$G$6)&gt;1-Simulador!$B$11,Simulador!$B$9*(1-COS(PI()*(1-(($A71-Simulador!$E$6)/Simulador!$G$6))/Simulador!$B$11))/2,Simulador!$B$9)))</f>
        <v>1.9910010501046349E-2</v>
      </c>
      <c r="D71" s="18">
        <f>IF(OR((($A71-Simulador!$E$7)/Simulador!$G$7)&lt;=0,(($A71-Simulador!$E$7)/Simulador!$G$7)&gt;=1),0,IF((($A71-Simulador!$E$7)/Simulador!$G$7)&lt;Simulador!$B$11,Simulador!$B$9*(1-COS(PI()*(($A71-Simulador!$E$7)/Simulador!$G$7)/Simulador!$B$11))/2,IF((($A71-Simulador!$E$7)/Simulador!$G$7)&gt;1-Simulador!$B$11,Simulador!$B$9*(1-COS(PI()*(1-(($A71-Simulador!$E$7)/Simulador!$G$7))/Simulador!$B$11))/2,Simulador!$B$9)))</f>
        <v>0</v>
      </c>
      <c r="E71" s="18">
        <f>IF(OR((($A71-Simulador!$E$8)/Simulador!$G$8)&lt;=0,(($A71-Simulador!$E$8)/Simulador!$G$8)&gt;=1),0,IF((($A71-Simulador!$E$8)/Simulador!$G$8)&lt;Simulador!$B$11,Simulador!$B$10*(1-COS(PI()*(($A71-Simulador!$E$8)/Simulador!$G$8)/Simulador!$B$11))/2,IF((($A71-Simulador!$E$8)/Simulador!$G$8)&gt;1-Simulador!$B$11,Simulador!$B$10*(1-COS(PI()*(1-(($A71-Simulador!$E$8)/Simulador!$G$8))/Simulador!$B$11))/2,Simulador!$B$10)))</f>
        <v>0</v>
      </c>
      <c r="F71" s="18">
        <f>IF(OR((($A71-Simulador!$E$9)/Simulador!$G$9)&lt;=0,(($A71-Simulador!$E$9)/Simulador!$G$9)&gt;=1),0,IF((($A71-Simulador!$E$9)/Simulador!$G$9)&lt;Simulador!$B$11,Simulador!$B$10*(1-COS(PI()*(($A71-Simulador!$E$9)/Simulador!$G$9)/Simulador!$B$11))/2,IF((($A71-Simulador!$E$9)/Simulador!$G$9)&gt;1-Simulador!$B$11,Simulador!$B$10*(1-COS(PI()*(1-(($A71-Simulador!$E$9)/Simulador!$G$9))/Simulador!$B$11))/2,Simulador!$B$10)))</f>
        <v>0</v>
      </c>
      <c r="G71" s="18">
        <f>IF(OR((($A71-Simulador!$E$10)/Simulador!$G$10)&lt;=0,(($A71-Simulador!$E$10)/Simulador!$G$10)&gt;=1),0,IF((($A71-Simulador!$E$10)/Simulador!$G$10)&lt;Simulador!$B$11,Simulador!$B$10*(1-COS(PI()*(($A71-Simulador!$E$10)/Simulador!$G$10)/Simulador!$B$11))/2,IF((($A71-Simulador!$E$10)/Simulador!$G$10)&gt;1-Simulador!$B$11,Simulador!$B$10*(1-COS(PI()*(1-(($A71-Simulador!$E$10)/Simulador!$G$10))/Simulador!$B$11))/2,Simulador!$B$10)))</f>
        <v>0</v>
      </c>
    </row>
    <row r="72" spans="1:7" x14ac:dyDescent="0.25">
      <c r="A72" s="17">
        <f>A71+Simulador!$B$14</f>
        <v>140</v>
      </c>
      <c r="B72" s="18">
        <f>IF(OR((($A72-Simulador!$E$5)/Simulador!$G$5)&lt;=0,(($A72-Simulador!$E$5)/Simulador!$G$5)&gt;=1),0,IF((($A72-Simulador!$E$5)/Simulador!$G$5)&lt;Simulador!$B$11,Simulador!$B$9*(1-COS(PI()*(($A72-Simulador!$E$5)/Simulador!$G$5)/Simulador!$B$11))/2,IF((($A72-Simulador!$E$5)/Simulador!$G$5)&gt;1-Simulador!$B$11,Simulador!$B$9*(1-COS(PI()*(1-(($A72-Simulador!$E$5)/Simulador!$G$5))/Simulador!$B$11))/2,Simulador!$B$9)))</f>
        <v>0.85833474811299837</v>
      </c>
      <c r="C72" s="18">
        <f>IF(OR((($A72-Simulador!$E$6)/Simulador!$G$6)&lt;=0,(($A72-Simulador!$E$6)/Simulador!$G$6)&gt;=1),0,IF((($A72-Simulador!$E$6)/Simulador!$G$6)&lt;Simulador!$B$11,Simulador!$B$9*(1-COS(PI()*(($A72-Simulador!$E$6)/Simulador!$G$6)/Simulador!$B$11))/2,IF((($A72-Simulador!$E$6)/Simulador!$G$6)&gt;1-Simulador!$B$11,Simulador!$B$9*(1-COS(PI()*(1-(($A72-Simulador!$E$6)/Simulador!$G$6))/Simulador!$B$11))/2,Simulador!$B$9)))</f>
        <v>5.5236874474785841E-2</v>
      </c>
      <c r="D72" s="18">
        <f>IF(OR((($A72-Simulador!$E$7)/Simulador!$G$7)&lt;=0,(($A72-Simulador!$E$7)/Simulador!$G$7)&gt;=1),0,IF((($A72-Simulador!$E$7)/Simulador!$G$7)&lt;Simulador!$B$11,Simulador!$B$9*(1-COS(PI()*(($A72-Simulador!$E$7)/Simulador!$G$7)/Simulador!$B$11))/2,IF((($A72-Simulador!$E$7)/Simulador!$G$7)&gt;1-Simulador!$B$11,Simulador!$B$9*(1-COS(PI()*(1-(($A72-Simulador!$E$7)/Simulador!$G$7))/Simulador!$B$11))/2,Simulador!$B$9)))</f>
        <v>0</v>
      </c>
      <c r="E72" s="18">
        <f>IF(OR((($A72-Simulador!$E$8)/Simulador!$G$8)&lt;=0,(($A72-Simulador!$E$8)/Simulador!$G$8)&gt;=1),0,IF((($A72-Simulador!$E$8)/Simulador!$G$8)&lt;Simulador!$B$11,Simulador!$B$10*(1-COS(PI()*(($A72-Simulador!$E$8)/Simulador!$G$8)/Simulador!$B$11))/2,IF((($A72-Simulador!$E$8)/Simulador!$G$8)&gt;1-Simulador!$B$11,Simulador!$B$10*(1-COS(PI()*(1-(($A72-Simulador!$E$8)/Simulador!$G$8))/Simulador!$B$11))/2,Simulador!$B$10)))</f>
        <v>0</v>
      </c>
      <c r="F72" s="18">
        <f>IF(OR((($A72-Simulador!$E$9)/Simulador!$G$9)&lt;=0,(($A72-Simulador!$E$9)/Simulador!$G$9)&gt;=1),0,IF((($A72-Simulador!$E$9)/Simulador!$G$9)&lt;Simulador!$B$11,Simulador!$B$10*(1-COS(PI()*(($A72-Simulador!$E$9)/Simulador!$G$9)/Simulador!$B$11))/2,IF((($A72-Simulador!$E$9)/Simulador!$G$9)&gt;1-Simulador!$B$11,Simulador!$B$10*(1-COS(PI()*(1-(($A72-Simulador!$E$9)/Simulador!$G$9))/Simulador!$B$11))/2,Simulador!$B$10)))</f>
        <v>0</v>
      </c>
      <c r="G72" s="18">
        <f>IF(OR((($A72-Simulador!$E$10)/Simulador!$G$10)&lt;=0,(($A72-Simulador!$E$10)/Simulador!$G$10)&gt;=1),0,IF((($A72-Simulador!$E$10)/Simulador!$G$10)&lt;Simulador!$B$11,Simulador!$B$10*(1-COS(PI()*(($A72-Simulador!$E$10)/Simulador!$G$10)/Simulador!$B$11))/2,IF((($A72-Simulador!$E$10)/Simulador!$G$10)&gt;1-Simulador!$B$11,Simulador!$B$10*(1-COS(PI()*(1-(($A72-Simulador!$E$10)/Simulador!$G$10))/Simulador!$B$11))/2,Simulador!$B$10)))</f>
        <v>0</v>
      </c>
    </row>
    <row r="73" spans="1:7" x14ac:dyDescent="0.25">
      <c r="A73" s="17">
        <f>A72+Simulador!$B$14</f>
        <v>142</v>
      </c>
      <c r="B73" s="18">
        <f>IF(OR((($A73-Simulador!$E$5)/Simulador!$G$5)&lt;=0,(($A73-Simulador!$E$5)/Simulador!$G$5)&gt;=1),0,IF((($A73-Simulador!$E$5)/Simulador!$G$5)&lt;Simulador!$B$11,Simulador!$B$9*(1-COS(PI()*(($A73-Simulador!$E$5)/Simulador!$G$5)/Simulador!$B$11))/2,IF((($A73-Simulador!$E$5)/Simulador!$G$5)&gt;1-Simulador!$B$11,Simulador!$B$9*(1-COS(PI()*(1-(($A73-Simulador!$E$5)/Simulador!$G$5))/Simulador!$B$11))/2,Simulador!$B$9)))</f>
        <v>1.0317838603150111</v>
      </c>
      <c r="C73" s="18">
        <f>IF(OR((($A73-Simulador!$E$6)/Simulador!$G$6)&lt;=0,(($A73-Simulador!$E$6)/Simulador!$G$6)&gt;=1),0,IF((($A73-Simulador!$E$6)/Simulador!$G$6)&lt;Simulador!$B$11,Simulador!$B$9*(1-COS(PI()*(($A73-Simulador!$E$6)/Simulador!$G$6)/Simulador!$B$11))/2,IF((($A73-Simulador!$E$6)/Simulador!$G$6)&gt;1-Simulador!$B$11,Simulador!$B$9*(1-COS(PI()*(1-(($A73-Simulador!$E$6)/Simulador!$G$6))/Simulador!$B$11))/2,Simulador!$B$9)))</f>
        <v>0.10806251681241599</v>
      </c>
      <c r="D73" s="18">
        <f>IF(OR((($A73-Simulador!$E$7)/Simulador!$G$7)&lt;=0,(($A73-Simulador!$E$7)/Simulador!$G$7)&gt;=1),0,IF((($A73-Simulador!$E$7)/Simulador!$G$7)&lt;Simulador!$B$11,Simulador!$B$9*(1-COS(PI()*(($A73-Simulador!$E$7)/Simulador!$G$7)/Simulador!$B$11))/2,IF((($A73-Simulador!$E$7)/Simulador!$G$7)&gt;1-Simulador!$B$11,Simulador!$B$9*(1-COS(PI()*(1-(($A73-Simulador!$E$7)/Simulador!$G$7))/Simulador!$B$11))/2,Simulador!$B$9)))</f>
        <v>0</v>
      </c>
      <c r="E73" s="18">
        <f>IF(OR((($A73-Simulador!$E$8)/Simulador!$G$8)&lt;=0,(($A73-Simulador!$E$8)/Simulador!$G$8)&gt;=1),0,IF((($A73-Simulador!$E$8)/Simulador!$G$8)&lt;Simulador!$B$11,Simulador!$B$10*(1-COS(PI()*(($A73-Simulador!$E$8)/Simulador!$G$8)/Simulador!$B$11))/2,IF((($A73-Simulador!$E$8)/Simulador!$G$8)&gt;1-Simulador!$B$11,Simulador!$B$10*(1-COS(PI()*(1-(($A73-Simulador!$E$8)/Simulador!$G$8))/Simulador!$B$11))/2,Simulador!$B$10)))</f>
        <v>0</v>
      </c>
      <c r="F73" s="18">
        <f>IF(OR((($A73-Simulador!$E$9)/Simulador!$G$9)&lt;=0,(($A73-Simulador!$E$9)/Simulador!$G$9)&gt;=1),0,IF((($A73-Simulador!$E$9)/Simulador!$G$9)&lt;Simulador!$B$11,Simulador!$B$10*(1-COS(PI()*(($A73-Simulador!$E$9)/Simulador!$G$9)/Simulador!$B$11))/2,IF((($A73-Simulador!$E$9)/Simulador!$G$9)&gt;1-Simulador!$B$11,Simulador!$B$10*(1-COS(PI()*(1-(($A73-Simulador!$E$9)/Simulador!$G$9))/Simulador!$B$11))/2,Simulador!$B$10)))</f>
        <v>0</v>
      </c>
      <c r="G73" s="18">
        <f>IF(OR((($A73-Simulador!$E$10)/Simulador!$G$10)&lt;=0,(($A73-Simulador!$E$10)/Simulador!$G$10)&gt;=1),0,IF((($A73-Simulador!$E$10)/Simulador!$G$10)&lt;Simulador!$B$11,Simulador!$B$10*(1-COS(PI()*(($A73-Simulador!$E$10)/Simulador!$G$10)/Simulador!$B$11))/2,IF((($A73-Simulador!$E$10)/Simulador!$G$10)&gt;1-Simulador!$B$11,Simulador!$B$10*(1-COS(PI()*(1-(($A73-Simulador!$E$10)/Simulador!$G$10))/Simulador!$B$11))/2,Simulador!$B$10)))</f>
        <v>0</v>
      </c>
    </row>
    <row r="74" spans="1:7" x14ac:dyDescent="0.25">
      <c r="A74" s="17">
        <f>A73+Simulador!$B$14</f>
        <v>144</v>
      </c>
      <c r="B74" s="18">
        <f>IF(OR((($A74-Simulador!$E$5)/Simulador!$G$5)&lt;=0,(($A74-Simulador!$E$5)/Simulador!$G$5)&gt;=1),0,IF((($A74-Simulador!$E$5)/Simulador!$G$5)&lt;Simulador!$B$11,Simulador!$B$9*(1-COS(PI()*(($A74-Simulador!$E$5)/Simulador!$G$5)/Simulador!$B$11))/2,IF((($A74-Simulador!$E$5)/Simulador!$G$5)&gt;1-Simulador!$B$11,Simulador!$B$9*(1-COS(PI()*(1-(($A74-Simulador!$E$5)/Simulador!$G$5))/Simulador!$B$11))/2,Simulador!$B$9)))</f>
        <v>1.2190918698453344</v>
      </c>
      <c r="C74" s="18">
        <f>IF(OR((($A74-Simulador!$E$6)/Simulador!$G$6)&lt;=0,(($A74-Simulador!$E$6)/Simulador!$G$6)&gt;=1),0,IF((($A74-Simulador!$E$6)/Simulador!$G$6)&lt;Simulador!$B$11,Simulador!$B$9*(1-COS(PI()*(($A74-Simulador!$E$6)/Simulador!$G$6)/Simulador!$B$11))/2,IF((($A74-Simulador!$E$6)/Simulador!$G$6)&gt;1-Simulador!$B$11,Simulador!$B$9*(1-COS(PI()*(1-(($A74-Simulador!$E$6)/Simulador!$G$6))/Simulador!$B$11))/2,Simulador!$B$9)))</f>
        <v>0.17819004063490779</v>
      </c>
      <c r="D74" s="18">
        <f>IF(OR((($A74-Simulador!$E$7)/Simulador!$G$7)&lt;=0,(($A74-Simulador!$E$7)/Simulador!$G$7)&gt;=1),0,IF((($A74-Simulador!$E$7)/Simulador!$G$7)&lt;Simulador!$B$11,Simulador!$B$9*(1-COS(PI()*(($A74-Simulador!$E$7)/Simulador!$G$7)/Simulador!$B$11))/2,IF((($A74-Simulador!$E$7)/Simulador!$G$7)&gt;1-Simulador!$B$11,Simulador!$B$9*(1-COS(PI()*(1-(($A74-Simulador!$E$7)/Simulador!$G$7))/Simulador!$B$11))/2,Simulador!$B$9)))</f>
        <v>0</v>
      </c>
      <c r="E74" s="18">
        <f>IF(OR((($A74-Simulador!$E$8)/Simulador!$G$8)&lt;=0,(($A74-Simulador!$E$8)/Simulador!$G$8)&gt;=1),0,IF((($A74-Simulador!$E$8)/Simulador!$G$8)&lt;Simulador!$B$11,Simulador!$B$10*(1-COS(PI()*(($A74-Simulador!$E$8)/Simulador!$G$8)/Simulador!$B$11))/2,IF((($A74-Simulador!$E$8)/Simulador!$G$8)&gt;1-Simulador!$B$11,Simulador!$B$10*(1-COS(PI()*(1-(($A74-Simulador!$E$8)/Simulador!$G$8))/Simulador!$B$11))/2,Simulador!$B$10)))</f>
        <v>0</v>
      </c>
      <c r="F74" s="18">
        <f>IF(OR((($A74-Simulador!$E$9)/Simulador!$G$9)&lt;=0,(($A74-Simulador!$E$9)/Simulador!$G$9)&gt;=1),0,IF((($A74-Simulador!$E$9)/Simulador!$G$9)&lt;Simulador!$B$11,Simulador!$B$10*(1-COS(PI()*(($A74-Simulador!$E$9)/Simulador!$G$9)/Simulador!$B$11))/2,IF((($A74-Simulador!$E$9)/Simulador!$G$9)&gt;1-Simulador!$B$11,Simulador!$B$10*(1-COS(PI()*(1-(($A74-Simulador!$E$9)/Simulador!$G$9))/Simulador!$B$11))/2,Simulador!$B$10)))</f>
        <v>0</v>
      </c>
      <c r="G74" s="18">
        <f>IF(OR((($A74-Simulador!$E$10)/Simulador!$G$10)&lt;=0,(($A74-Simulador!$E$10)/Simulador!$G$10)&gt;=1),0,IF((($A74-Simulador!$E$10)/Simulador!$G$10)&lt;Simulador!$B$11,Simulador!$B$10*(1-COS(PI()*(($A74-Simulador!$E$10)/Simulador!$G$10)/Simulador!$B$11))/2,IF((($A74-Simulador!$E$10)/Simulador!$G$10)&gt;1-Simulador!$B$11,Simulador!$B$10*(1-COS(PI()*(1-(($A74-Simulador!$E$10)/Simulador!$G$10))/Simulador!$B$11))/2,Simulador!$B$10)))</f>
        <v>0</v>
      </c>
    </row>
    <row r="75" spans="1:7" x14ac:dyDescent="0.25">
      <c r="A75" s="17">
        <f>A74+Simulador!$B$14</f>
        <v>146</v>
      </c>
      <c r="B75" s="18">
        <f>IF(OR((($A75-Simulador!$E$5)/Simulador!$G$5)&lt;=0,(($A75-Simulador!$E$5)/Simulador!$G$5)&gt;=1),0,IF((($A75-Simulador!$E$5)/Simulador!$G$5)&lt;Simulador!$B$11,Simulador!$B$9*(1-COS(PI()*(($A75-Simulador!$E$5)/Simulador!$G$5)/Simulador!$B$11))/2,IF((($A75-Simulador!$E$5)/Simulador!$G$5)&gt;1-Simulador!$B$11,Simulador!$B$9*(1-COS(PI()*(1-(($A75-Simulador!$E$5)/Simulador!$G$5))/Simulador!$B$11))/2,Simulador!$B$9)))</f>
        <v>1.4195606240481418</v>
      </c>
      <c r="C75" s="18">
        <f>IF(OR((($A75-Simulador!$E$6)/Simulador!$G$6)&lt;=0,(($A75-Simulador!$E$6)/Simulador!$G$6)&gt;=1),0,IF((($A75-Simulador!$E$6)/Simulador!$G$6)&lt;Simulador!$B$11,Simulador!$B$9*(1-COS(PI()*(($A75-Simulador!$E$6)/Simulador!$G$6)/Simulador!$B$11))/2,IF((($A75-Simulador!$E$6)/Simulador!$G$6)&gt;1-Simulador!$B$11,Simulador!$B$9*(1-COS(PI()*(1-(($A75-Simulador!$E$6)/Simulador!$G$6))/Simulador!$B$11))/2,Simulador!$B$9)))</f>
        <v>0.26535805980546001</v>
      </c>
      <c r="D75" s="18">
        <f>IF(OR((($A75-Simulador!$E$7)/Simulador!$G$7)&lt;=0,(($A75-Simulador!$E$7)/Simulador!$G$7)&gt;=1),0,IF((($A75-Simulador!$E$7)/Simulador!$G$7)&lt;Simulador!$B$11,Simulador!$B$9*(1-COS(PI()*(($A75-Simulador!$E$7)/Simulador!$G$7)/Simulador!$B$11))/2,IF((($A75-Simulador!$E$7)/Simulador!$G$7)&gt;1-Simulador!$B$11,Simulador!$B$9*(1-COS(PI()*(1-(($A75-Simulador!$E$7)/Simulador!$G$7))/Simulador!$B$11))/2,Simulador!$B$9)))</f>
        <v>0</v>
      </c>
      <c r="E75" s="18">
        <f>IF(OR((($A75-Simulador!$E$8)/Simulador!$G$8)&lt;=0,(($A75-Simulador!$E$8)/Simulador!$G$8)&gt;=1),0,IF((($A75-Simulador!$E$8)/Simulador!$G$8)&lt;Simulador!$B$11,Simulador!$B$10*(1-COS(PI()*(($A75-Simulador!$E$8)/Simulador!$G$8)/Simulador!$B$11))/2,IF((($A75-Simulador!$E$8)/Simulador!$G$8)&gt;1-Simulador!$B$11,Simulador!$B$10*(1-COS(PI()*(1-(($A75-Simulador!$E$8)/Simulador!$G$8))/Simulador!$B$11))/2,Simulador!$B$10)))</f>
        <v>0</v>
      </c>
      <c r="F75" s="18">
        <f>IF(OR((($A75-Simulador!$E$9)/Simulador!$G$9)&lt;=0,(($A75-Simulador!$E$9)/Simulador!$G$9)&gt;=1),0,IF((($A75-Simulador!$E$9)/Simulador!$G$9)&lt;Simulador!$B$11,Simulador!$B$10*(1-COS(PI()*(($A75-Simulador!$E$9)/Simulador!$G$9)/Simulador!$B$11))/2,IF((($A75-Simulador!$E$9)/Simulador!$G$9)&gt;1-Simulador!$B$11,Simulador!$B$10*(1-COS(PI()*(1-(($A75-Simulador!$E$9)/Simulador!$G$9))/Simulador!$B$11))/2,Simulador!$B$10)))</f>
        <v>0</v>
      </c>
      <c r="G75" s="18">
        <f>IF(OR((($A75-Simulador!$E$10)/Simulador!$G$10)&lt;=0,(($A75-Simulador!$E$10)/Simulador!$G$10)&gt;=1),0,IF((($A75-Simulador!$E$10)/Simulador!$G$10)&lt;Simulador!$B$11,Simulador!$B$10*(1-COS(PI()*(($A75-Simulador!$E$10)/Simulador!$G$10)/Simulador!$B$11))/2,IF((($A75-Simulador!$E$10)/Simulador!$G$10)&gt;1-Simulador!$B$11,Simulador!$B$10*(1-COS(PI()*(1-(($A75-Simulador!$E$10)/Simulador!$G$10))/Simulador!$B$11))/2,Simulador!$B$10)))</f>
        <v>0</v>
      </c>
    </row>
    <row r="76" spans="1:7" x14ac:dyDescent="0.25">
      <c r="A76" s="17">
        <f>A75+Simulador!$B$14</f>
        <v>148</v>
      </c>
      <c r="B76" s="18">
        <f>IF(OR((($A76-Simulador!$E$5)/Simulador!$G$5)&lt;=0,(($A76-Simulador!$E$5)/Simulador!$G$5)&gt;=1),0,IF((($A76-Simulador!$E$5)/Simulador!$G$5)&lt;Simulador!$B$11,Simulador!$B$9*(1-COS(PI()*(($A76-Simulador!$E$5)/Simulador!$G$5)/Simulador!$B$11))/2,IF((($A76-Simulador!$E$5)/Simulador!$G$5)&gt;1-Simulador!$B$11,Simulador!$B$9*(1-COS(PI()*(1-(($A76-Simulador!$E$5)/Simulador!$G$5))/Simulador!$B$11))/2,Simulador!$B$9)))</f>
        <v>1.6324429162582883</v>
      </c>
      <c r="C76" s="18">
        <f>IF(OR((($A76-Simulador!$E$6)/Simulador!$G$6)&lt;=0,(($A76-Simulador!$E$6)/Simulador!$G$6)&gt;=1),0,IF((($A76-Simulador!$E$6)/Simulador!$G$6)&lt;Simulador!$B$11,Simulador!$B$9*(1-COS(PI()*(($A76-Simulador!$E$6)/Simulador!$G$6)/Simulador!$B$11))/2,IF((($A76-Simulador!$E$6)/Simulador!$G$6)&gt;1-Simulador!$B$11,Simulador!$B$9*(1-COS(PI()*(1-(($A76-Simulador!$E$6)/Simulador!$G$6))/Simulador!$B$11))/2,Simulador!$B$9)))</f>
        <v>0.3692416731933657</v>
      </c>
      <c r="D76" s="18">
        <f>IF(OR((($A76-Simulador!$E$7)/Simulador!$G$7)&lt;=0,(($A76-Simulador!$E$7)/Simulador!$G$7)&gt;=1),0,IF((($A76-Simulador!$E$7)/Simulador!$G$7)&lt;Simulador!$B$11,Simulador!$B$9*(1-COS(PI()*(($A76-Simulador!$E$7)/Simulador!$G$7)/Simulador!$B$11))/2,IF((($A76-Simulador!$E$7)/Simulador!$G$7)&gt;1-Simulador!$B$11,Simulador!$B$9*(1-COS(PI()*(1-(($A76-Simulador!$E$7)/Simulador!$G$7))/Simulador!$B$11))/2,Simulador!$B$9)))</f>
        <v>0</v>
      </c>
      <c r="E76" s="18">
        <f>IF(OR((($A76-Simulador!$E$8)/Simulador!$G$8)&lt;=0,(($A76-Simulador!$E$8)/Simulador!$G$8)&gt;=1),0,IF((($A76-Simulador!$E$8)/Simulador!$G$8)&lt;Simulador!$B$11,Simulador!$B$10*(1-COS(PI()*(($A76-Simulador!$E$8)/Simulador!$G$8)/Simulador!$B$11))/2,IF((($A76-Simulador!$E$8)/Simulador!$G$8)&gt;1-Simulador!$B$11,Simulador!$B$10*(1-COS(PI()*(1-(($A76-Simulador!$E$8)/Simulador!$G$8))/Simulador!$B$11))/2,Simulador!$B$10)))</f>
        <v>0</v>
      </c>
      <c r="F76" s="18">
        <f>IF(OR((($A76-Simulador!$E$9)/Simulador!$G$9)&lt;=0,(($A76-Simulador!$E$9)/Simulador!$G$9)&gt;=1),0,IF((($A76-Simulador!$E$9)/Simulador!$G$9)&lt;Simulador!$B$11,Simulador!$B$10*(1-COS(PI()*(($A76-Simulador!$E$9)/Simulador!$G$9)/Simulador!$B$11))/2,IF((($A76-Simulador!$E$9)/Simulador!$G$9)&gt;1-Simulador!$B$11,Simulador!$B$10*(1-COS(PI()*(1-(($A76-Simulador!$E$9)/Simulador!$G$9))/Simulador!$B$11))/2,Simulador!$B$10)))</f>
        <v>0</v>
      </c>
      <c r="G76" s="18">
        <f>IF(OR((($A76-Simulador!$E$10)/Simulador!$G$10)&lt;=0,(($A76-Simulador!$E$10)/Simulador!$G$10)&gt;=1),0,IF((($A76-Simulador!$E$10)/Simulador!$G$10)&lt;Simulador!$B$11,Simulador!$B$10*(1-COS(PI()*(($A76-Simulador!$E$10)/Simulador!$G$10)/Simulador!$B$11))/2,IF((($A76-Simulador!$E$10)/Simulador!$G$10)&gt;1-Simulador!$B$11,Simulador!$B$10*(1-COS(PI()*(1-(($A76-Simulador!$E$10)/Simulador!$G$10))/Simulador!$B$11))/2,Simulador!$B$10)))</f>
        <v>0</v>
      </c>
    </row>
    <row r="77" spans="1:7" x14ac:dyDescent="0.25">
      <c r="A77" s="17">
        <f>A76+Simulador!$B$14</f>
        <v>150</v>
      </c>
      <c r="B77" s="18">
        <f>IF(OR((($A77-Simulador!$E$5)/Simulador!$G$5)&lt;=0,(($A77-Simulador!$E$5)/Simulador!$G$5)&gt;=1),0,IF((($A77-Simulador!$E$5)/Simulador!$G$5)&lt;Simulador!$B$11,Simulador!$B$9*(1-COS(PI()*(($A77-Simulador!$E$5)/Simulador!$G$5)/Simulador!$B$11))/2,IF((($A77-Simulador!$E$5)/Simulador!$G$5)&gt;1-Simulador!$B$11,Simulador!$B$9*(1-COS(PI()*(1-(($A77-Simulador!$E$5)/Simulador!$G$5))/Simulador!$B$11))/2,Simulador!$B$9)))</f>
        <v>1.8569452708627585</v>
      </c>
      <c r="C77" s="18">
        <f>IF(OR((($A77-Simulador!$E$6)/Simulador!$G$6)&lt;=0,(($A77-Simulador!$E$6)/Simulador!$G$6)&gt;=1),0,IF((($A77-Simulador!$E$6)/Simulador!$G$6)&lt;Simulador!$B$11,Simulador!$B$9*(1-COS(PI()*(($A77-Simulador!$E$6)/Simulador!$G$6)/Simulador!$B$11))/2,IF((($A77-Simulador!$E$6)/Simulador!$G$6)&gt;1-Simulador!$B$11,Simulador!$B$9*(1-COS(PI()*(1-(($A77-Simulador!$E$6)/Simulador!$G$6))/Simulador!$B$11))/2,Simulador!$B$9)))</f>
        <v>0.48945367567714976</v>
      </c>
      <c r="D77" s="18">
        <f>IF(OR((($A77-Simulador!$E$7)/Simulador!$G$7)&lt;=0,(($A77-Simulador!$E$7)/Simulador!$G$7)&gt;=1),0,IF((($A77-Simulador!$E$7)/Simulador!$G$7)&lt;Simulador!$B$11,Simulador!$B$9*(1-COS(PI()*(($A77-Simulador!$E$7)/Simulador!$G$7)/Simulador!$B$11))/2,IF((($A77-Simulador!$E$7)/Simulador!$G$7)&gt;1-Simulador!$B$11,Simulador!$B$9*(1-COS(PI()*(1-(($A77-Simulador!$E$7)/Simulador!$G$7))/Simulador!$B$11))/2,Simulador!$B$9)))</f>
        <v>0</v>
      </c>
      <c r="E77" s="18">
        <f>IF(OR((($A77-Simulador!$E$8)/Simulador!$G$8)&lt;=0,(($A77-Simulador!$E$8)/Simulador!$G$8)&gt;=1),0,IF((($A77-Simulador!$E$8)/Simulador!$G$8)&lt;Simulador!$B$11,Simulador!$B$10*(1-COS(PI()*(($A77-Simulador!$E$8)/Simulador!$G$8)/Simulador!$B$11))/2,IF((($A77-Simulador!$E$8)/Simulador!$G$8)&gt;1-Simulador!$B$11,Simulador!$B$10*(1-COS(PI()*(1-(($A77-Simulador!$E$8)/Simulador!$G$8))/Simulador!$B$11))/2,Simulador!$B$10)))</f>
        <v>0</v>
      </c>
      <c r="F77" s="18">
        <f>IF(OR((($A77-Simulador!$E$9)/Simulador!$G$9)&lt;=0,(($A77-Simulador!$E$9)/Simulador!$G$9)&gt;=1),0,IF((($A77-Simulador!$E$9)/Simulador!$G$9)&lt;Simulador!$B$11,Simulador!$B$10*(1-COS(PI()*(($A77-Simulador!$E$9)/Simulador!$G$9)/Simulador!$B$11))/2,IF((($A77-Simulador!$E$9)/Simulador!$G$9)&gt;1-Simulador!$B$11,Simulador!$B$10*(1-COS(PI()*(1-(($A77-Simulador!$E$9)/Simulador!$G$9))/Simulador!$B$11))/2,Simulador!$B$10)))</f>
        <v>0</v>
      </c>
      <c r="G77" s="18">
        <f>IF(OR((($A77-Simulador!$E$10)/Simulador!$G$10)&lt;=0,(($A77-Simulador!$E$10)/Simulador!$G$10)&gt;=1),0,IF((($A77-Simulador!$E$10)/Simulador!$G$10)&lt;Simulador!$B$11,Simulador!$B$10*(1-COS(PI()*(($A77-Simulador!$E$10)/Simulador!$G$10)/Simulador!$B$11))/2,IF((($A77-Simulador!$E$10)/Simulador!$G$10)&gt;1-Simulador!$B$11,Simulador!$B$10*(1-COS(PI()*(1-(($A77-Simulador!$E$10)/Simulador!$G$10))/Simulador!$B$11))/2,Simulador!$B$10)))</f>
        <v>0</v>
      </c>
    </row>
    <row r="78" spans="1:7" x14ac:dyDescent="0.25">
      <c r="A78" s="17">
        <f>A77+Simulador!$B$14</f>
        <v>152</v>
      </c>
      <c r="B78" s="18">
        <f>IF(OR((($A78-Simulador!$E$5)/Simulador!$G$5)&lt;=0,(($A78-Simulador!$E$5)/Simulador!$G$5)&gt;=1),0,IF((($A78-Simulador!$E$5)/Simulador!$G$5)&lt;Simulador!$B$11,Simulador!$B$9*(1-COS(PI()*(($A78-Simulador!$E$5)/Simulador!$G$5)/Simulador!$B$11))/2,IF((($A78-Simulador!$E$5)/Simulador!$G$5)&gt;1-Simulador!$B$11,Simulador!$B$9*(1-COS(PI()*(1-(($A78-Simulador!$E$5)/Simulador!$G$5))/Simulador!$B$11))/2,Simulador!$B$9)))</f>
        <v>2.092230900820256</v>
      </c>
      <c r="C78" s="18">
        <f>IF(OR((($A78-Simulador!$E$6)/Simulador!$G$6)&lt;=0,(($A78-Simulador!$E$6)/Simulador!$G$6)&gt;=1),0,IF((($A78-Simulador!$E$6)/Simulador!$G$6)&lt;Simulador!$B$11,Simulador!$B$9*(1-COS(PI()*(($A78-Simulador!$E$6)/Simulador!$G$6)/Simulador!$B$11))/2,IF((($A78-Simulador!$E$6)/Simulador!$G$6)&gt;1-Simulador!$B$11,Simulador!$B$9*(1-COS(PI()*(1-(($A78-Simulador!$E$6)/Simulador!$G$6))/Simulador!$B$11))/2,Simulador!$B$9)))</f>
        <v>0.62554600137320959</v>
      </c>
      <c r="D78" s="18">
        <f>IF(OR((($A78-Simulador!$E$7)/Simulador!$G$7)&lt;=0,(($A78-Simulador!$E$7)/Simulador!$G$7)&gt;=1),0,IF((($A78-Simulador!$E$7)/Simulador!$G$7)&lt;Simulador!$B$11,Simulador!$B$9*(1-COS(PI()*(($A78-Simulador!$E$7)/Simulador!$G$7)/Simulador!$B$11))/2,IF((($A78-Simulador!$E$7)/Simulador!$G$7)&gt;1-Simulador!$B$11,Simulador!$B$9*(1-COS(PI()*(1-(($A78-Simulador!$E$7)/Simulador!$G$7))/Simulador!$B$11))/2,Simulador!$B$9)))</f>
        <v>8.85233131109045E-3</v>
      </c>
      <c r="E78" s="18">
        <f>IF(OR((($A78-Simulador!$E$8)/Simulador!$G$8)&lt;=0,(($A78-Simulador!$E$8)/Simulador!$G$8)&gt;=1),0,IF((($A78-Simulador!$E$8)/Simulador!$G$8)&lt;Simulador!$B$11,Simulador!$B$10*(1-COS(PI()*(($A78-Simulador!$E$8)/Simulador!$G$8)/Simulador!$B$11))/2,IF((($A78-Simulador!$E$8)/Simulador!$G$8)&gt;1-Simulador!$B$11,Simulador!$B$10*(1-COS(PI()*(1-(($A78-Simulador!$E$8)/Simulador!$G$8))/Simulador!$B$11))/2,Simulador!$B$10)))</f>
        <v>0</v>
      </c>
      <c r="F78" s="18">
        <f>IF(OR((($A78-Simulador!$E$9)/Simulador!$G$9)&lt;=0,(($A78-Simulador!$E$9)/Simulador!$G$9)&gt;=1),0,IF((($A78-Simulador!$E$9)/Simulador!$G$9)&lt;Simulador!$B$11,Simulador!$B$10*(1-COS(PI()*(($A78-Simulador!$E$9)/Simulador!$G$9)/Simulador!$B$11))/2,IF((($A78-Simulador!$E$9)/Simulador!$G$9)&gt;1-Simulador!$B$11,Simulador!$B$10*(1-COS(PI()*(1-(($A78-Simulador!$E$9)/Simulador!$G$9))/Simulador!$B$11))/2,Simulador!$B$10)))</f>
        <v>0</v>
      </c>
      <c r="G78" s="18">
        <f>IF(OR((($A78-Simulador!$E$10)/Simulador!$G$10)&lt;=0,(($A78-Simulador!$E$10)/Simulador!$G$10)&gt;=1),0,IF((($A78-Simulador!$E$10)/Simulador!$G$10)&lt;Simulador!$B$11,Simulador!$B$10*(1-COS(PI()*(($A78-Simulador!$E$10)/Simulador!$G$10)/Simulador!$B$11))/2,IF((($A78-Simulador!$E$10)/Simulador!$G$10)&gt;1-Simulador!$B$11,Simulador!$B$10*(1-COS(PI()*(1-(($A78-Simulador!$E$10)/Simulador!$G$10))/Simulador!$B$11))/2,Simulador!$B$10)))</f>
        <v>0</v>
      </c>
    </row>
    <row r="79" spans="1:7" x14ac:dyDescent="0.25">
      <c r="A79" s="17">
        <f>A78+Simulador!$B$14</f>
        <v>154</v>
      </c>
      <c r="B79" s="18">
        <f>IF(OR((($A79-Simulador!$E$5)/Simulador!$G$5)&lt;=0,(($A79-Simulador!$E$5)/Simulador!$G$5)&gt;=1),0,IF((($A79-Simulador!$E$5)/Simulador!$G$5)&lt;Simulador!$B$11,Simulador!$B$9*(1-COS(PI()*(($A79-Simulador!$E$5)/Simulador!$G$5)/Simulador!$B$11))/2,IF((($A79-Simulador!$E$5)/Simulador!$G$5)&gt;1-Simulador!$B$11,Simulador!$B$9*(1-COS(PI()*(1-(($A79-Simulador!$E$5)/Simulador!$G$5))/Simulador!$B$11))/2,Simulador!$B$9)))</f>
        <v>2.3374228266153612</v>
      </c>
      <c r="C79" s="18">
        <f>IF(OR((($A79-Simulador!$E$6)/Simulador!$G$6)&lt;=0,(($A79-Simulador!$E$6)/Simulador!$G$6)&gt;=1),0,IF((($A79-Simulador!$E$6)/Simulador!$G$6)&lt;Simulador!$B$11,Simulador!$B$9*(1-COS(PI()*(($A79-Simulador!$E$6)/Simulador!$G$6)/Simulador!$B$11))/2,IF((($A79-Simulador!$E$6)/Simulador!$G$6)&gt;1-Simulador!$B$11,Simulador!$B$9*(1-COS(PI()*(1-(($A79-Simulador!$E$6)/Simulador!$G$6))/Simulador!$B$11))/2,Simulador!$B$9)))</f>
        <v>0.77701139371061578</v>
      </c>
      <c r="D79" s="18">
        <f>IF(OR((($A79-Simulador!$E$7)/Simulador!$G$7)&lt;=0,(($A79-Simulador!$E$7)/Simulador!$G$7)&gt;=1),0,IF((($A79-Simulador!$E$7)/Simulador!$G$7)&lt;Simulador!$B$11,Simulador!$B$9*(1-COS(PI()*(($A79-Simulador!$E$7)/Simulador!$G$7)/Simulador!$B$11))/2,IF((($A79-Simulador!$E$7)/Simulador!$G$7)&gt;1-Simulador!$B$11,Simulador!$B$9*(1-COS(PI()*(1-(($A79-Simulador!$E$7)/Simulador!$G$7))/Simulador!$B$11))/2,Simulador!$B$9)))</f>
        <v>3.5376329972934412E-2</v>
      </c>
      <c r="E79" s="18">
        <f>IF(OR((($A79-Simulador!$E$8)/Simulador!$G$8)&lt;=0,(($A79-Simulador!$E$8)/Simulador!$G$8)&gt;=1),0,IF((($A79-Simulador!$E$8)/Simulador!$G$8)&lt;Simulador!$B$11,Simulador!$B$10*(1-COS(PI()*(($A79-Simulador!$E$8)/Simulador!$G$8)/Simulador!$B$11))/2,IF((($A79-Simulador!$E$8)/Simulador!$G$8)&gt;1-Simulador!$B$11,Simulador!$B$10*(1-COS(PI()*(1-(($A79-Simulador!$E$8)/Simulador!$G$8))/Simulador!$B$11))/2,Simulador!$B$10)))</f>
        <v>0</v>
      </c>
      <c r="F79" s="18">
        <f>IF(OR((($A79-Simulador!$E$9)/Simulador!$G$9)&lt;=0,(($A79-Simulador!$E$9)/Simulador!$G$9)&gt;=1),0,IF((($A79-Simulador!$E$9)/Simulador!$G$9)&lt;Simulador!$B$11,Simulador!$B$10*(1-COS(PI()*(($A79-Simulador!$E$9)/Simulador!$G$9)/Simulador!$B$11))/2,IF((($A79-Simulador!$E$9)/Simulador!$G$9)&gt;1-Simulador!$B$11,Simulador!$B$10*(1-COS(PI()*(1-(($A79-Simulador!$E$9)/Simulador!$G$9))/Simulador!$B$11))/2,Simulador!$B$10)))</f>
        <v>0</v>
      </c>
      <c r="G79" s="18">
        <f>IF(OR((($A79-Simulador!$E$10)/Simulador!$G$10)&lt;=0,(($A79-Simulador!$E$10)/Simulador!$G$10)&gt;=1),0,IF((($A79-Simulador!$E$10)/Simulador!$G$10)&lt;Simulador!$B$11,Simulador!$B$10*(1-COS(PI()*(($A79-Simulador!$E$10)/Simulador!$G$10)/Simulador!$B$11))/2,IF((($A79-Simulador!$E$10)/Simulador!$G$10)&gt;1-Simulador!$B$11,Simulador!$B$10*(1-COS(PI()*(1-(($A79-Simulador!$E$10)/Simulador!$G$10))/Simulador!$B$11))/2,Simulador!$B$10)))</f>
        <v>0</v>
      </c>
    </row>
    <row r="80" spans="1:7" x14ac:dyDescent="0.25">
      <c r="A80" s="17">
        <f>A79+Simulador!$B$14</f>
        <v>156</v>
      </c>
      <c r="B80" s="18">
        <f>IF(OR((($A80-Simulador!$E$5)/Simulador!$G$5)&lt;=0,(($A80-Simulador!$E$5)/Simulador!$G$5)&gt;=1),0,IF((($A80-Simulador!$E$5)/Simulador!$G$5)&lt;Simulador!$B$11,Simulador!$B$9*(1-COS(PI()*(($A80-Simulador!$E$5)/Simulador!$G$5)/Simulador!$B$11))/2,IF((($A80-Simulador!$E$5)/Simulador!$G$5)&gt;1-Simulador!$B$11,Simulador!$B$9*(1-COS(PI()*(1-(($A80-Simulador!$E$5)/Simulador!$G$5))/Simulador!$B$11))/2,Simulador!$B$9)))</f>
        <v>2.5916071450219924</v>
      </c>
      <c r="C80" s="18">
        <f>IF(OR((($A80-Simulador!$E$6)/Simulador!$G$6)&lt;=0,(($A80-Simulador!$E$6)/Simulador!$G$6)&gt;=1),0,IF((($A80-Simulador!$E$6)/Simulador!$G$6)&lt;Simulador!$B$11,Simulador!$B$9*(1-COS(PI()*(($A80-Simulador!$E$6)/Simulador!$G$6)/Simulador!$B$11))/2,IF((($A80-Simulador!$E$6)/Simulador!$G$6)&gt;1-Simulador!$B$11,Simulador!$B$9*(1-COS(PI()*(1-(($A80-Simulador!$E$6)/Simulador!$G$6))/Simulador!$B$11))/2,Simulador!$B$9)))</f>
        <v>0.94328529612720602</v>
      </c>
      <c r="D80" s="18">
        <f>IF(OR((($A80-Simulador!$E$7)/Simulador!$G$7)&lt;=0,(($A80-Simulador!$E$7)/Simulador!$G$7)&gt;=1),0,IF((($A80-Simulador!$E$7)/Simulador!$G$7)&lt;Simulador!$B$11,Simulador!$B$9*(1-COS(PI()*(($A80-Simulador!$E$7)/Simulador!$G$7)/Simulador!$B$11))/2,IF((($A80-Simulador!$E$7)/Simulador!$G$7)&gt;1-Simulador!$B$11,Simulador!$B$9*(1-COS(PI()*(1-(($A80-Simulador!$E$7)/Simulador!$G$7))/Simulador!$B$11))/2,Simulador!$B$9)))</f>
        <v>7.9473133154437409E-2</v>
      </c>
      <c r="E80" s="18">
        <f>IF(OR((($A80-Simulador!$E$8)/Simulador!$G$8)&lt;=0,(($A80-Simulador!$E$8)/Simulador!$G$8)&gt;=1),0,IF((($A80-Simulador!$E$8)/Simulador!$G$8)&lt;Simulador!$B$11,Simulador!$B$10*(1-COS(PI()*(($A80-Simulador!$E$8)/Simulador!$G$8)/Simulador!$B$11))/2,IF((($A80-Simulador!$E$8)/Simulador!$G$8)&gt;1-Simulador!$B$11,Simulador!$B$10*(1-COS(PI()*(1-(($A80-Simulador!$E$8)/Simulador!$G$8))/Simulador!$B$11))/2,Simulador!$B$10)))</f>
        <v>0</v>
      </c>
      <c r="F80" s="18">
        <f>IF(OR((($A80-Simulador!$E$9)/Simulador!$G$9)&lt;=0,(($A80-Simulador!$E$9)/Simulador!$G$9)&gt;=1),0,IF((($A80-Simulador!$E$9)/Simulador!$G$9)&lt;Simulador!$B$11,Simulador!$B$10*(1-COS(PI()*(($A80-Simulador!$E$9)/Simulador!$G$9)/Simulador!$B$11))/2,IF((($A80-Simulador!$E$9)/Simulador!$G$9)&gt;1-Simulador!$B$11,Simulador!$B$10*(1-COS(PI()*(1-(($A80-Simulador!$E$9)/Simulador!$G$9))/Simulador!$B$11))/2,Simulador!$B$10)))</f>
        <v>0</v>
      </c>
      <c r="G80" s="18">
        <f>IF(OR((($A80-Simulador!$E$10)/Simulador!$G$10)&lt;=0,(($A80-Simulador!$E$10)/Simulador!$G$10)&gt;=1),0,IF((($A80-Simulador!$E$10)/Simulador!$G$10)&lt;Simulador!$B$11,Simulador!$B$10*(1-COS(PI()*(($A80-Simulador!$E$10)/Simulador!$G$10)/Simulador!$B$11))/2,IF((($A80-Simulador!$E$10)/Simulador!$G$10)&gt;1-Simulador!$B$11,Simulador!$B$10*(1-COS(PI()*(1-(($A80-Simulador!$E$10)/Simulador!$G$10))/Simulador!$B$11))/2,Simulador!$B$10)))</f>
        <v>0</v>
      </c>
    </row>
    <row r="81" spans="1:7" x14ac:dyDescent="0.25">
      <c r="A81" s="17">
        <f>A80+Simulador!$B$14</f>
        <v>158</v>
      </c>
      <c r="B81" s="18">
        <f>IF(OR((($A81-Simulador!$E$5)/Simulador!$G$5)&lt;=0,(($A81-Simulador!$E$5)/Simulador!$G$5)&gt;=1),0,IF((($A81-Simulador!$E$5)/Simulador!$G$5)&lt;Simulador!$B$11,Simulador!$B$9*(1-COS(PI()*(($A81-Simulador!$E$5)/Simulador!$G$5)/Simulador!$B$11))/2,IF((($A81-Simulador!$E$5)/Simulador!$G$5)&gt;1-Simulador!$B$11,Simulador!$B$9*(1-COS(PI()*(1-(($A81-Simulador!$E$5)/Simulador!$G$5))/Simulador!$B$11))/2,Simulador!$B$9)))</f>
        <v>2.853836435492521</v>
      </c>
      <c r="C81" s="18">
        <f>IF(OR((($A81-Simulador!$E$6)/Simulador!$G$6)&lt;=0,(($A81-Simulador!$E$6)/Simulador!$G$6)&gt;=1),0,IF((($A81-Simulador!$E$6)/Simulador!$G$6)&lt;Simulador!$B$11,Simulador!$B$9*(1-COS(PI()*(($A81-Simulador!$E$6)/Simulador!$G$6)/Simulador!$B$11))/2,IF((($A81-Simulador!$E$6)/Simulador!$G$6)&gt;1-Simulador!$B$11,Simulador!$B$9*(1-COS(PI()*(1-(($A81-Simulador!$E$6)/Simulador!$G$6))/Simulador!$B$11))/2,Simulador!$B$9)))</f>
        <v>1.1237479563397885</v>
      </c>
      <c r="D81" s="18">
        <f>IF(OR((($A81-Simulador!$E$7)/Simulador!$G$7)&lt;=0,(($A81-Simulador!$E$7)/Simulador!$G$7)&gt;=1),0,IF((($A81-Simulador!$E$7)/Simulador!$G$7)&lt;Simulador!$B$11,Simulador!$B$9*(1-COS(PI()*(($A81-Simulador!$E$7)/Simulador!$G$7)/Simulador!$B$11))/2,IF((($A81-Simulador!$E$7)/Simulador!$G$7)&gt;1-Simulador!$B$11,Simulador!$B$9*(1-COS(PI()*(1-(($A81-Simulador!$E$7)/Simulador!$G$7))/Simulador!$B$11))/2,Simulador!$B$9)))</f>
        <v>0.14097837895600998</v>
      </c>
      <c r="E81" s="18">
        <f>IF(OR((($A81-Simulador!$E$8)/Simulador!$G$8)&lt;=0,(($A81-Simulador!$E$8)/Simulador!$G$8)&gt;=1),0,IF((($A81-Simulador!$E$8)/Simulador!$G$8)&lt;Simulador!$B$11,Simulador!$B$10*(1-COS(PI()*(($A81-Simulador!$E$8)/Simulador!$G$8)/Simulador!$B$11))/2,IF((($A81-Simulador!$E$8)/Simulador!$G$8)&gt;1-Simulador!$B$11,Simulador!$B$10*(1-COS(PI()*(1-(($A81-Simulador!$E$8)/Simulador!$G$8))/Simulador!$B$11))/2,Simulador!$B$10)))</f>
        <v>0</v>
      </c>
      <c r="F81" s="18">
        <f>IF(OR((($A81-Simulador!$E$9)/Simulador!$G$9)&lt;=0,(($A81-Simulador!$E$9)/Simulador!$G$9)&gt;=1),0,IF((($A81-Simulador!$E$9)/Simulador!$G$9)&lt;Simulador!$B$11,Simulador!$B$10*(1-COS(PI()*(($A81-Simulador!$E$9)/Simulador!$G$9)/Simulador!$B$11))/2,IF((($A81-Simulador!$E$9)/Simulador!$G$9)&gt;1-Simulador!$B$11,Simulador!$B$10*(1-COS(PI()*(1-(($A81-Simulador!$E$9)/Simulador!$G$9))/Simulador!$B$11))/2,Simulador!$B$10)))</f>
        <v>0</v>
      </c>
      <c r="G81" s="18">
        <f>IF(OR((($A81-Simulador!$E$10)/Simulador!$G$10)&lt;=0,(($A81-Simulador!$E$10)/Simulador!$G$10)&gt;=1),0,IF((($A81-Simulador!$E$10)/Simulador!$G$10)&lt;Simulador!$B$11,Simulador!$B$10*(1-COS(PI()*(($A81-Simulador!$E$10)/Simulador!$G$10)/Simulador!$B$11))/2,IF((($A81-Simulador!$E$10)/Simulador!$G$10)&gt;1-Simulador!$B$11,Simulador!$B$10*(1-COS(PI()*(1-(($A81-Simulador!$E$10)/Simulador!$G$10))/Simulador!$B$11))/2,Simulador!$B$10)))</f>
        <v>0</v>
      </c>
    </row>
    <row r="82" spans="1:7" x14ac:dyDescent="0.25">
      <c r="A82" s="17">
        <f>A81+Simulador!$B$14</f>
        <v>160</v>
      </c>
      <c r="B82" s="18">
        <f>IF(OR((($A82-Simulador!$E$5)/Simulador!$G$5)&lt;=0,(($A82-Simulador!$E$5)/Simulador!$G$5)&gt;=1),0,IF((($A82-Simulador!$E$5)/Simulador!$G$5)&lt;Simulador!$B$11,Simulador!$B$9*(1-COS(PI()*(($A82-Simulador!$E$5)/Simulador!$G$5)/Simulador!$B$11))/2,IF((($A82-Simulador!$E$5)/Simulador!$G$5)&gt;1-Simulador!$B$11,Simulador!$B$9*(1-COS(PI()*(1-(($A82-Simulador!$E$5)/Simulador!$G$5))/Simulador!$B$11))/2,Simulador!$B$9)))</f>
        <v>3.1231332914759085</v>
      </c>
      <c r="C82" s="18">
        <f>IF(OR((($A82-Simulador!$E$6)/Simulador!$G$6)&lt;=0,(($A82-Simulador!$E$6)/Simulador!$G$6)&gt;=1),0,IF((($A82-Simulador!$E$6)/Simulador!$G$6)&lt;Simulador!$B$11,Simulador!$B$9*(1-COS(PI()*(($A82-Simulador!$E$6)/Simulador!$G$6)/Simulador!$B$11))/2,IF((($A82-Simulador!$E$6)/Simulador!$G$6)&gt;1-Simulador!$B$11,Simulador!$B$9*(1-COS(PI()*(1-(($A82-Simulador!$E$6)/Simulador!$G$6))/Simulador!$B$11))/2,Simulador!$B$9)))</f>
        <v>1.3177267363452128</v>
      </c>
      <c r="D82" s="18">
        <f>IF(OR((($A82-Simulador!$E$7)/Simulador!$G$7)&lt;=0,(($A82-Simulador!$E$7)/Simulador!$G$7)&gt;=1),0,IF((($A82-Simulador!$E$7)/Simulador!$G$7)&lt;Simulador!$B$11,Simulador!$B$9*(1-COS(PI()*(($A82-Simulador!$E$7)/Simulador!$G$7)/Simulador!$B$11))/2,IF((($A82-Simulador!$E$7)/Simulador!$G$7)&gt;1-Simulador!$B$11,Simulador!$B$9*(1-COS(PI()*(1-(($A82-Simulador!$E$7)/Simulador!$G$7))/Simulador!$B$11))/2,Simulador!$B$9)))</f>
        <v>0.21966281903525098</v>
      </c>
      <c r="E82" s="18">
        <f>IF(OR((($A82-Simulador!$E$8)/Simulador!$G$8)&lt;=0,(($A82-Simulador!$E$8)/Simulador!$G$8)&gt;=1),0,IF((($A82-Simulador!$E$8)/Simulador!$G$8)&lt;Simulador!$B$11,Simulador!$B$10*(1-COS(PI()*(($A82-Simulador!$E$8)/Simulador!$G$8)/Simulador!$B$11))/2,IF((($A82-Simulador!$E$8)/Simulador!$G$8)&gt;1-Simulador!$B$11,Simulador!$B$10*(1-COS(PI()*(1-(($A82-Simulador!$E$8)/Simulador!$G$8))/Simulador!$B$11))/2,Simulador!$B$10)))</f>
        <v>0</v>
      </c>
      <c r="F82" s="18">
        <f>IF(OR((($A82-Simulador!$E$9)/Simulador!$G$9)&lt;=0,(($A82-Simulador!$E$9)/Simulador!$G$9)&gt;=1),0,IF((($A82-Simulador!$E$9)/Simulador!$G$9)&lt;Simulador!$B$11,Simulador!$B$10*(1-COS(PI()*(($A82-Simulador!$E$9)/Simulador!$G$9)/Simulador!$B$11))/2,IF((($A82-Simulador!$E$9)/Simulador!$G$9)&gt;1-Simulador!$B$11,Simulador!$B$10*(1-COS(PI()*(1-(($A82-Simulador!$E$9)/Simulador!$G$9))/Simulador!$B$11))/2,Simulador!$B$10)))</f>
        <v>0</v>
      </c>
      <c r="G82" s="18">
        <f>IF(OR((($A82-Simulador!$E$10)/Simulador!$G$10)&lt;=0,(($A82-Simulador!$E$10)/Simulador!$G$10)&gt;=1),0,IF((($A82-Simulador!$E$10)/Simulador!$G$10)&lt;Simulador!$B$11,Simulador!$B$10*(1-COS(PI()*(($A82-Simulador!$E$10)/Simulador!$G$10)/Simulador!$B$11))/2,IF((($A82-Simulador!$E$10)/Simulador!$G$10)&gt;1-Simulador!$B$11,Simulador!$B$10*(1-COS(PI()*(1-(($A82-Simulador!$E$10)/Simulador!$G$10))/Simulador!$B$11))/2,Simulador!$B$10)))</f>
        <v>0</v>
      </c>
    </row>
    <row r="83" spans="1:7" x14ac:dyDescent="0.25">
      <c r="A83" s="17">
        <f>A82+Simulador!$B$14</f>
        <v>162</v>
      </c>
      <c r="B83" s="18">
        <f>IF(OR((($A83-Simulador!$E$5)/Simulador!$G$5)&lt;=0,(($A83-Simulador!$E$5)/Simulador!$G$5)&gt;=1),0,IF((($A83-Simulador!$E$5)/Simulador!$G$5)&lt;Simulador!$B$11,Simulador!$B$9*(1-COS(PI()*(($A83-Simulador!$E$5)/Simulador!$G$5)/Simulador!$B$11))/2,IF((($A83-Simulador!$E$5)/Simulador!$G$5)&gt;1-Simulador!$B$11,Simulador!$B$9*(1-COS(PI()*(1-(($A83-Simulador!$E$5)/Simulador!$G$5))/Simulador!$B$11))/2,Simulador!$B$9)))</f>
        <v>3.3984939635025961</v>
      </c>
      <c r="C83" s="18">
        <f>IF(OR((($A83-Simulador!$E$6)/Simulador!$G$6)&lt;=0,(($A83-Simulador!$E$6)/Simulador!$G$6)&gt;=1),0,IF((($A83-Simulador!$E$6)/Simulador!$G$6)&lt;Simulador!$B$11,Simulador!$B$9*(1-COS(PI()*(($A83-Simulador!$E$6)/Simulador!$G$6)/Simulador!$B$11))/2,IF((($A83-Simulador!$E$6)/Simulador!$G$6)&gt;1-Simulador!$B$11,Simulador!$B$9*(1-COS(PI()*(1-(($A83-Simulador!$E$6)/Simulador!$G$6))/Simulador!$B$11))/2,Simulador!$B$9)))</f>
        <v>1.5244986195422456</v>
      </c>
      <c r="D83" s="18">
        <f>IF(OR((($A83-Simulador!$E$7)/Simulador!$G$7)&lt;=0,(($A83-Simulador!$E$7)/Simulador!$G$7)&gt;=1),0,IF((($A83-Simulador!$E$7)/Simulador!$G$7)&lt;Simulador!$B$11,Simulador!$B$9*(1-COS(PI()*(($A83-Simulador!$E$7)/Simulador!$G$7)/Simulador!$B$11))/2,IF((($A83-Simulador!$E$7)/Simulador!$G$7)&gt;1-Simulador!$B$11,Simulador!$B$9*(1-COS(PI()*(1-(($A83-Simulador!$E$7)/Simulador!$G$7))/Simulador!$B$11))/2,Simulador!$B$9)))</f>
        <v>0.31523317308369292</v>
      </c>
      <c r="E83" s="18">
        <f>IF(OR((($A83-Simulador!$E$8)/Simulador!$G$8)&lt;=0,(($A83-Simulador!$E$8)/Simulador!$G$8)&gt;=1),0,IF((($A83-Simulador!$E$8)/Simulador!$G$8)&lt;Simulador!$B$11,Simulador!$B$10*(1-COS(PI()*(($A83-Simulador!$E$8)/Simulador!$G$8)/Simulador!$B$11))/2,IF((($A83-Simulador!$E$8)/Simulador!$G$8)&gt;1-Simulador!$B$11,Simulador!$B$10*(1-COS(PI()*(1-(($A83-Simulador!$E$8)/Simulador!$G$8))/Simulador!$B$11))/2,Simulador!$B$10)))</f>
        <v>0</v>
      </c>
      <c r="F83" s="18">
        <f>IF(OR((($A83-Simulador!$E$9)/Simulador!$G$9)&lt;=0,(($A83-Simulador!$E$9)/Simulador!$G$9)&gt;=1),0,IF((($A83-Simulador!$E$9)/Simulador!$G$9)&lt;Simulador!$B$11,Simulador!$B$10*(1-COS(PI()*(($A83-Simulador!$E$9)/Simulador!$G$9)/Simulador!$B$11))/2,IF((($A83-Simulador!$E$9)/Simulador!$G$9)&gt;1-Simulador!$B$11,Simulador!$B$10*(1-COS(PI()*(1-(($A83-Simulador!$E$9)/Simulador!$G$9))/Simulador!$B$11))/2,Simulador!$B$10)))</f>
        <v>0</v>
      </c>
      <c r="G83" s="18">
        <f>IF(OR((($A83-Simulador!$E$10)/Simulador!$G$10)&lt;=0,(($A83-Simulador!$E$10)/Simulador!$G$10)&gt;=1),0,IF((($A83-Simulador!$E$10)/Simulador!$G$10)&lt;Simulador!$B$11,Simulador!$B$10*(1-COS(PI()*(($A83-Simulador!$E$10)/Simulador!$G$10)/Simulador!$B$11))/2,IF((($A83-Simulador!$E$10)/Simulador!$G$10)&gt;1-Simulador!$B$11,Simulador!$B$10*(1-COS(PI()*(1-(($A83-Simulador!$E$10)/Simulador!$G$10))/Simulador!$B$11))/2,Simulador!$B$10)))</f>
        <v>0</v>
      </c>
    </row>
    <row r="84" spans="1:7" x14ac:dyDescent="0.25">
      <c r="A84" s="17">
        <f>A83+Simulador!$B$14</f>
        <v>164</v>
      </c>
      <c r="B84" s="18">
        <f>IF(OR((($A84-Simulador!$E$5)/Simulador!$G$5)&lt;=0,(($A84-Simulador!$E$5)/Simulador!$G$5)&gt;=1),0,IF((($A84-Simulador!$E$5)/Simulador!$G$5)&lt;Simulador!$B$11,Simulador!$B$9*(1-COS(PI()*(($A84-Simulador!$E$5)/Simulador!$G$5)/Simulador!$B$11))/2,IF((($A84-Simulador!$E$5)/Simulador!$G$5)&gt;1-Simulador!$B$11,Simulador!$B$9*(1-COS(PI()*(1-(($A84-Simulador!$E$5)/Simulador!$G$5))/Simulador!$B$11))/2,Simulador!$B$9)))</f>
        <v>3.6788921004572885</v>
      </c>
      <c r="C84" s="18">
        <f>IF(OR((($A84-Simulador!$E$6)/Simulador!$G$6)&lt;=0,(($A84-Simulador!$E$6)/Simulador!$G$6)&gt;=1),0,IF((($A84-Simulador!$E$6)/Simulador!$G$6)&lt;Simulador!$B$11,Simulador!$B$9*(1-COS(PI()*(($A84-Simulador!$E$6)/Simulador!$G$6)/Simulador!$B$11))/2,IF((($A84-Simulador!$E$6)/Simulador!$G$6)&gt;1-Simulador!$B$11,Simulador!$B$9*(1-COS(PI()*(1-(($A84-Simulador!$E$6)/Simulador!$G$6))/Simulador!$B$11))/2,Simulador!$B$9)))</f>
        <v>1.743292905629465</v>
      </c>
      <c r="D84" s="18">
        <f>IF(OR((($A84-Simulador!$E$7)/Simulador!$G$7)&lt;=0,(($A84-Simulador!$E$7)/Simulador!$G$7)&gt;=1),0,IF((($A84-Simulador!$E$7)/Simulador!$G$7)&lt;Simulador!$B$11,Simulador!$B$9*(1-COS(PI()*(($A84-Simulador!$E$7)/Simulador!$G$7)/Simulador!$B$11))/2,IF((($A84-Simulador!$E$7)/Simulador!$G$7)&gt;1-Simulador!$B$11,Simulador!$B$9*(1-COS(PI()*(1-(($A84-Simulador!$E$7)/Simulador!$G$7))/Simulador!$B$11))/2,Simulador!$B$9)))</f>
        <v>0.42733322196973361</v>
      </c>
      <c r="E84" s="18">
        <f>IF(OR((($A84-Simulador!$E$8)/Simulador!$G$8)&lt;=0,(($A84-Simulador!$E$8)/Simulador!$G$8)&gt;=1),0,IF((($A84-Simulador!$E$8)/Simulador!$G$8)&lt;Simulador!$B$11,Simulador!$B$10*(1-COS(PI()*(($A84-Simulador!$E$8)/Simulador!$G$8)/Simulador!$B$11))/2,IF((($A84-Simulador!$E$8)/Simulador!$G$8)&gt;1-Simulador!$B$11,Simulador!$B$10*(1-COS(PI()*(1-(($A84-Simulador!$E$8)/Simulador!$G$8))/Simulador!$B$11))/2,Simulador!$B$10)))</f>
        <v>0</v>
      </c>
      <c r="F84" s="18">
        <f>IF(OR((($A84-Simulador!$E$9)/Simulador!$G$9)&lt;=0,(($A84-Simulador!$E$9)/Simulador!$G$9)&gt;=1),0,IF((($A84-Simulador!$E$9)/Simulador!$G$9)&lt;Simulador!$B$11,Simulador!$B$10*(1-COS(PI()*(($A84-Simulador!$E$9)/Simulador!$G$9)/Simulador!$B$11))/2,IF((($A84-Simulador!$E$9)/Simulador!$G$9)&gt;1-Simulador!$B$11,Simulador!$B$10*(1-COS(PI()*(1-(($A84-Simulador!$E$9)/Simulador!$G$9))/Simulador!$B$11))/2,Simulador!$B$10)))</f>
        <v>0</v>
      </c>
      <c r="G84" s="18">
        <f>IF(OR((($A84-Simulador!$E$10)/Simulador!$G$10)&lt;=0,(($A84-Simulador!$E$10)/Simulador!$G$10)&gt;=1),0,IF((($A84-Simulador!$E$10)/Simulador!$G$10)&lt;Simulador!$B$11,Simulador!$B$10*(1-COS(PI()*(($A84-Simulador!$E$10)/Simulador!$G$10)/Simulador!$B$11))/2,IF((($A84-Simulador!$E$10)/Simulador!$G$10)&gt;1-Simulador!$B$11,Simulador!$B$10*(1-COS(PI()*(1-(($A84-Simulador!$E$10)/Simulador!$G$10))/Simulador!$B$11))/2,Simulador!$B$10)))</f>
        <v>0</v>
      </c>
    </row>
    <row r="85" spans="1:7" x14ac:dyDescent="0.25">
      <c r="A85" s="17">
        <f>A84+Simulador!$B$14</f>
        <v>166</v>
      </c>
      <c r="B85" s="18">
        <f>IF(OR((($A85-Simulador!$E$5)/Simulador!$G$5)&lt;=0,(($A85-Simulador!$E$5)/Simulador!$G$5)&gt;=1),0,IF((($A85-Simulador!$E$5)/Simulador!$G$5)&lt;Simulador!$B$11,Simulador!$B$9*(1-COS(PI()*(($A85-Simulador!$E$5)/Simulador!$G$5)/Simulador!$B$11))/2,IF((($A85-Simulador!$E$5)/Simulador!$G$5)&gt;1-Simulador!$B$11,Simulador!$B$9*(1-COS(PI()*(1-(($A85-Simulador!$E$5)/Simulador!$G$5))/Simulador!$B$11))/2,Simulador!$B$9)))</f>
        <v>3.9632825750947958</v>
      </c>
      <c r="C85" s="18">
        <f>IF(OR((($A85-Simulador!$E$6)/Simulador!$G$6)&lt;=0,(($A85-Simulador!$E$6)/Simulador!$G$6)&gt;=1),0,IF((($A85-Simulador!$E$6)/Simulador!$G$6)&lt;Simulador!$B$11,Simulador!$B$9*(1-COS(PI()*(($A85-Simulador!$E$6)/Simulador!$G$6)/Simulador!$B$11))/2,IF((($A85-Simulador!$E$6)/Simulador!$G$6)&gt;1-Simulador!$B$11,Simulador!$B$9*(1-COS(PI()*(1-(($A85-Simulador!$E$6)/Simulador!$G$6))/Simulador!$B$11))/2,Simulador!$B$9)))</f>
        <v>1.9732940832344836</v>
      </c>
      <c r="D85" s="18">
        <f>IF(OR((($A85-Simulador!$E$7)/Simulador!$G$7)&lt;=0,(($A85-Simulador!$E$7)/Simulador!$G$7)&gt;=1),0,IF((($A85-Simulador!$E$7)/Simulador!$G$7)&lt;Simulador!$B$11,Simulador!$B$9*(1-COS(PI()*(($A85-Simulador!$E$7)/Simulador!$G$7)/Simulador!$B$11))/2,IF((($A85-Simulador!$E$7)/Simulador!$G$7)&gt;1-Simulador!$B$11,Simulador!$B$9*(1-COS(PI()*(1-(($A85-Simulador!$E$7)/Simulador!$G$7))/Simulador!$B$11))/2,Simulador!$B$9)))</f>
        <v>0.555545135473277</v>
      </c>
      <c r="E85" s="18">
        <f>IF(OR((($A85-Simulador!$E$8)/Simulador!$G$8)&lt;=0,(($A85-Simulador!$E$8)/Simulador!$G$8)&gt;=1),0,IF((($A85-Simulador!$E$8)/Simulador!$G$8)&lt;Simulador!$B$11,Simulador!$B$10*(1-COS(PI()*(($A85-Simulador!$E$8)/Simulador!$G$8)/Simulador!$B$11))/2,IF((($A85-Simulador!$E$8)/Simulador!$G$8)&gt;1-Simulador!$B$11,Simulador!$B$10*(1-COS(PI()*(1-(($A85-Simulador!$E$8)/Simulador!$G$8))/Simulador!$B$11))/2,Simulador!$B$10)))</f>
        <v>0</v>
      </c>
      <c r="F85" s="18">
        <f>IF(OR((($A85-Simulador!$E$9)/Simulador!$G$9)&lt;=0,(($A85-Simulador!$E$9)/Simulador!$G$9)&gt;=1),0,IF((($A85-Simulador!$E$9)/Simulador!$G$9)&lt;Simulador!$B$11,Simulador!$B$10*(1-COS(PI()*(($A85-Simulador!$E$9)/Simulador!$G$9)/Simulador!$B$11))/2,IF((($A85-Simulador!$E$9)/Simulador!$G$9)&gt;1-Simulador!$B$11,Simulador!$B$10*(1-COS(PI()*(1-(($A85-Simulador!$E$9)/Simulador!$G$9))/Simulador!$B$11))/2,Simulador!$B$10)))</f>
        <v>0</v>
      </c>
      <c r="G85" s="18">
        <f>IF(OR((($A85-Simulador!$E$10)/Simulador!$G$10)&lt;=0,(($A85-Simulador!$E$10)/Simulador!$G$10)&gt;=1),0,IF((($A85-Simulador!$E$10)/Simulador!$G$10)&lt;Simulador!$B$11,Simulador!$B$10*(1-COS(PI()*(($A85-Simulador!$E$10)/Simulador!$G$10)/Simulador!$B$11))/2,IF((($A85-Simulador!$E$10)/Simulador!$G$10)&gt;1-Simulador!$B$11,Simulador!$B$10*(1-COS(PI()*(1-(($A85-Simulador!$E$10)/Simulador!$G$10))/Simulador!$B$11))/2,Simulador!$B$10)))</f>
        <v>0</v>
      </c>
    </row>
    <row r="86" spans="1:7" x14ac:dyDescent="0.25">
      <c r="A86" s="17">
        <f>A85+Simulador!$B$14</f>
        <v>168</v>
      </c>
      <c r="B86" s="18">
        <f>IF(OR((($A86-Simulador!$E$5)/Simulador!$G$5)&lt;=0,(($A86-Simulador!$E$5)/Simulador!$G$5)&gt;=1),0,IF((($A86-Simulador!$E$5)/Simulador!$G$5)&lt;Simulador!$B$11,Simulador!$B$9*(1-COS(PI()*(($A86-Simulador!$E$5)/Simulador!$G$5)/Simulador!$B$11))/2,IF((($A86-Simulador!$E$5)/Simulador!$G$5)&gt;1-Simulador!$B$11,Simulador!$B$9*(1-COS(PI()*(1-(($A86-Simulador!$E$5)/Simulador!$G$5))/Simulador!$B$11))/2,Simulador!$B$9)))</f>
        <v>4.2506053795400769</v>
      </c>
      <c r="C86" s="18">
        <f>IF(OR((($A86-Simulador!$E$6)/Simulador!$G$6)&lt;=0,(($A86-Simulador!$E$6)/Simulador!$G$6)&gt;=1),0,IF((($A86-Simulador!$E$6)/Simulador!$G$6)&lt;Simulador!$B$11,Simulador!$B$9*(1-COS(PI()*(($A86-Simulador!$E$6)/Simulador!$G$6)/Simulador!$B$11))/2,IF((($A86-Simulador!$E$6)/Simulador!$G$6)&gt;1-Simulador!$B$11,Simulador!$B$9*(1-COS(PI()*(1-(($A86-Simulador!$E$6)/Simulador!$G$6))/Simulador!$B$11))/2,Simulador!$B$9)))</f>
        <v>2.2136448695673661</v>
      </c>
      <c r="D86" s="18">
        <f>IF(OR((($A86-Simulador!$E$7)/Simulador!$G$7)&lt;=0,(($A86-Simulador!$E$7)/Simulador!$G$7)&gt;=1),0,IF((($A86-Simulador!$E$7)/Simulador!$G$7)&lt;Simulador!$B$11,Simulador!$B$9*(1-COS(PI()*(($A86-Simulador!$E$7)/Simulador!$G$7)/Simulador!$B$11))/2,IF((($A86-Simulador!$E$7)/Simulador!$G$7)&gt;1-Simulador!$B$11,Simulador!$B$9*(1-COS(PI()*(1-(($A86-Simulador!$E$7)/Simulador!$G$7))/Simulador!$B$11))/2,Simulador!$B$9)))</f>
        <v>0.69939102966322286</v>
      </c>
      <c r="E86" s="18">
        <f>IF(OR((($A86-Simulador!$E$8)/Simulador!$G$8)&lt;=0,(($A86-Simulador!$E$8)/Simulador!$G$8)&gt;=1),0,IF((($A86-Simulador!$E$8)/Simulador!$G$8)&lt;Simulador!$B$11,Simulador!$B$10*(1-COS(PI()*(($A86-Simulador!$E$8)/Simulador!$G$8)/Simulador!$B$11))/2,IF((($A86-Simulador!$E$8)/Simulador!$G$8)&gt;1-Simulador!$B$11,Simulador!$B$10*(1-COS(PI()*(1-(($A86-Simulador!$E$8)/Simulador!$G$8))/Simulador!$B$11))/2,Simulador!$B$10)))</f>
        <v>0</v>
      </c>
      <c r="F86" s="18">
        <f>IF(OR((($A86-Simulador!$E$9)/Simulador!$G$9)&lt;=0,(($A86-Simulador!$E$9)/Simulador!$G$9)&gt;=1),0,IF((($A86-Simulador!$E$9)/Simulador!$G$9)&lt;Simulador!$B$11,Simulador!$B$10*(1-COS(PI()*(($A86-Simulador!$E$9)/Simulador!$G$9)/Simulador!$B$11))/2,IF((($A86-Simulador!$E$9)/Simulador!$G$9)&gt;1-Simulador!$B$11,Simulador!$B$10*(1-COS(PI()*(1-(($A86-Simulador!$E$9)/Simulador!$G$9))/Simulador!$B$11))/2,Simulador!$B$10)))</f>
        <v>0</v>
      </c>
      <c r="G86" s="18">
        <f>IF(OR((($A86-Simulador!$E$10)/Simulador!$G$10)&lt;=0,(($A86-Simulador!$E$10)/Simulador!$G$10)&gt;=1),0,IF((($A86-Simulador!$E$10)/Simulador!$G$10)&lt;Simulador!$B$11,Simulador!$B$10*(1-COS(PI()*(($A86-Simulador!$E$10)/Simulador!$G$10)/Simulador!$B$11))/2,IF((($A86-Simulador!$E$10)/Simulador!$G$10)&gt;1-Simulador!$B$11,Simulador!$B$10*(1-COS(PI()*(1-(($A86-Simulador!$E$10)/Simulador!$G$10))/Simulador!$B$11))/2,Simulador!$B$10)))</f>
        <v>0</v>
      </c>
    </row>
    <row r="87" spans="1:7" x14ac:dyDescent="0.25">
      <c r="A87" s="17">
        <f>A86+Simulador!$B$14</f>
        <v>170</v>
      </c>
      <c r="B87" s="18">
        <f>IF(OR((($A87-Simulador!$E$5)/Simulador!$G$5)&lt;=0,(($A87-Simulador!$E$5)/Simulador!$G$5)&gt;=1),0,IF((($A87-Simulador!$E$5)/Simulador!$G$5)&lt;Simulador!$B$11,Simulador!$B$9*(1-COS(PI()*(($A87-Simulador!$E$5)/Simulador!$G$5)/Simulador!$B$11))/2,IF((($A87-Simulador!$E$5)/Simulador!$G$5)&gt;1-Simulador!$B$11,Simulador!$B$9*(1-COS(PI()*(1-(($A87-Simulador!$E$5)/Simulador!$G$5))/Simulador!$B$11))/2,Simulador!$B$9)))</f>
        <v>4.5397895762528488</v>
      </c>
      <c r="C87" s="18">
        <f>IF(OR((($A87-Simulador!$E$6)/Simulador!$G$6)&lt;=0,(($A87-Simulador!$E$6)/Simulador!$G$6)&gt;=1),0,IF((($A87-Simulador!$E$6)/Simulador!$G$6)&lt;Simulador!$B$11,Simulador!$B$9*(1-COS(PI()*(($A87-Simulador!$E$6)/Simulador!$G$6)/Simulador!$B$11))/2,IF((($A87-Simulador!$E$6)/Simulador!$G$6)&gt;1-Simulador!$B$11,Simulador!$B$9*(1-COS(PI()*(1-(($A87-Simulador!$E$6)/Simulador!$G$6))/Simulador!$B$11))/2,Simulador!$B$9)))</f>
        <v>2.4634494057685314</v>
      </c>
      <c r="D87" s="18">
        <f>IF(OR((($A87-Simulador!$E$7)/Simulador!$G$7)&lt;=0,(($A87-Simulador!$E$7)/Simulador!$G$7)&gt;=1),0,IF((($A87-Simulador!$E$7)/Simulador!$G$7)&lt;Simulador!$B$11,Simulador!$B$9*(1-COS(PI()*(($A87-Simulador!$E$7)/Simulador!$G$7)/Simulador!$B$11))/2,IF((($A87-Simulador!$E$7)/Simulador!$G$7)&gt;1-Simulador!$B$11,Simulador!$B$9*(1-COS(PI()*(1-(($A87-Simulador!$E$7)/Simulador!$G$7))/Simulador!$B$11))/2,Simulador!$B$9)))</f>
        <v>0.85833474811299837</v>
      </c>
      <c r="E87" s="18">
        <f>IF(OR((($A87-Simulador!$E$8)/Simulador!$G$8)&lt;=0,(($A87-Simulador!$E$8)/Simulador!$G$8)&gt;=1),0,IF((($A87-Simulador!$E$8)/Simulador!$G$8)&lt;Simulador!$B$11,Simulador!$B$10*(1-COS(PI()*(($A87-Simulador!$E$8)/Simulador!$G$8)/Simulador!$B$11))/2,IF((($A87-Simulador!$E$8)/Simulador!$G$8)&gt;1-Simulador!$B$11,Simulador!$B$10*(1-COS(PI()*(1-(($A87-Simulador!$E$8)/Simulador!$G$8))/Simulador!$B$11))/2,Simulador!$B$10)))</f>
        <v>0</v>
      </c>
      <c r="F87" s="18">
        <f>IF(OR((($A87-Simulador!$E$9)/Simulador!$G$9)&lt;=0,(($A87-Simulador!$E$9)/Simulador!$G$9)&gt;=1),0,IF((($A87-Simulador!$E$9)/Simulador!$G$9)&lt;Simulador!$B$11,Simulador!$B$10*(1-COS(PI()*(($A87-Simulador!$E$9)/Simulador!$G$9)/Simulador!$B$11))/2,IF((($A87-Simulador!$E$9)/Simulador!$G$9)&gt;1-Simulador!$B$11,Simulador!$B$10*(1-COS(PI()*(1-(($A87-Simulador!$E$9)/Simulador!$G$9))/Simulador!$B$11))/2,Simulador!$B$10)))</f>
        <v>0</v>
      </c>
      <c r="G87" s="18">
        <f>IF(OR((($A87-Simulador!$E$10)/Simulador!$G$10)&lt;=0,(($A87-Simulador!$E$10)/Simulador!$G$10)&gt;=1),0,IF((($A87-Simulador!$E$10)/Simulador!$G$10)&lt;Simulador!$B$11,Simulador!$B$10*(1-COS(PI()*(($A87-Simulador!$E$10)/Simulador!$G$10)/Simulador!$B$11))/2,IF((($A87-Simulador!$E$10)/Simulador!$G$10)&gt;1-Simulador!$B$11,Simulador!$B$10*(1-COS(PI()*(1-(($A87-Simulador!$E$10)/Simulador!$G$10))/Simulador!$B$11))/2,Simulador!$B$10)))</f>
        <v>0</v>
      </c>
    </row>
    <row r="88" spans="1:7" x14ac:dyDescent="0.25">
      <c r="A88" s="17">
        <f>A87+Simulador!$B$14</f>
        <v>172</v>
      </c>
      <c r="B88" s="18">
        <f>IF(OR((($A88-Simulador!$E$5)/Simulador!$G$5)&lt;=0,(($A88-Simulador!$E$5)/Simulador!$G$5)&gt;=1),0,IF((($A88-Simulador!$E$5)/Simulador!$G$5)&lt;Simulador!$B$11,Simulador!$B$9*(1-COS(PI()*(($A88-Simulador!$E$5)/Simulador!$G$5)/Simulador!$B$11))/2,IF((($A88-Simulador!$E$5)/Simulador!$G$5)&gt;1-Simulador!$B$11,Simulador!$B$9*(1-COS(PI()*(1-(($A88-Simulador!$E$5)/Simulador!$G$5))/Simulador!$B$11))/2,Simulador!$B$9)))</f>
        <v>4.8297572897302725</v>
      </c>
      <c r="C88" s="18">
        <f>IF(OR((($A88-Simulador!$E$6)/Simulador!$G$6)&lt;=0,(($A88-Simulador!$E$6)/Simulador!$G$6)&gt;=1),0,IF((($A88-Simulador!$E$6)/Simulador!$G$6)&lt;Simulador!$B$11,Simulador!$B$9*(1-COS(PI()*(($A88-Simulador!$E$6)/Simulador!$G$6)/Simulador!$B$11))/2,IF((($A88-Simulador!$E$6)/Simulador!$G$6)&gt;1-Simulador!$B$11,Simulador!$B$9*(1-COS(PI()*(1-(($A88-Simulador!$E$6)/Simulador!$G$6))/Simulador!$B$11))/2,Simulador!$B$9)))</f>
        <v>2.7217765960411531</v>
      </c>
      <c r="D88" s="18">
        <f>IF(OR((($A88-Simulador!$E$7)/Simulador!$G$7)&lt;=0,(($A88-Simulador!$E$7)/Simulador!$G$7)&gt;=1),0,IF((($A88-Simulador!$E$7)/Simulador!$G$7)&lt;Simulador!$B$11,Simulador!$B$9*(1-COS(PI()*(($A88-Simulador!$E$7)/Simulador!$G$7)/Simulador!$B$11))/2,IF((($A88-Simulador!$E$7)/Simulador!$G$7)&gt;1-Simulador!$B$11,Simulador!$B$9*(1-COS(PI()*(1-(($A88-Simulador!$E$7)/Simulador!$G$7))/Simulador!$B$11))/2,Simulador!$B$9)))</f>
        <v>1.0317838603150111</v>
      </c>
      <c r="E88" s="18">
        <f>IF(OR((($A88-Simulador!$E$8)/Simulador!$G$8)&lt;=0,(($A88-Simulador!$E$8)/Simulador!$G$8)&gt;=1),0,IF((($A88-Simulador!$E$8)/Simulador!$G$8)&lt;Simulador!$B$11,Simulador!$B$10*(1-COS(PI()*(($A88-Simulador!$E$8)/Simulador!$G$8)/Simulador!$B$11))/2,IF((($A88-Simulador!$E$8)/Simulador!$G$8)&gt;1-Simulador!$B$11,Simulador!$B$10*(1-COS(PI()*(1-(($A88-Simulador!$E$8)/Simulador!$G$8))/Simulador!$B$11))/2,Simulador!$B$10)))</f>
        <v>0</v>
      </c>
      <c r="F88" s="18">
        <f>IF(OR((($A88-Simulador!$E$9)/Simulador!$G$9)&lt;=0,(($A88-Simulador!$E$9)/Simulador!$G$9)&gt;=1),0,IF((($A88-Simulador!$E$9)/Simulador!$G$9)&lt;Simulador!$B$11,Simulador!$B$10*(1-COS(PI()*(($A88-Simulador!$E$9)/Simulador!$G$9)/Simulador!$B$11))/2,IF((($A88-Simulador!$E$9)/Simulador!$G$9)&gt;1-Simulador!$B$11,Simulador!$B$10*(1-COS(PI()*(1-(($A88-Simulador!$E$9)/Simulador!$G$9))/Simulador!$B$11))/2,Simulador!$B$10)))</f>
        <v>0</v>
      </c>
      <c r="G88" s="18">
        <f>IF(OR((($A88-Simulador!$E$10)/Simulador!$G$10)&lt;=0,(($A88-Simulador!$E$10)/Simulador!$G$10)&gt;=1),0,IF((($A88-Simulador!$E$10)/Simulador!$G$10)&lt;Simulador!$B$11,Simulador!$B$10*(1-COS(PI()*(($A88-Simulador!$E$10)/Simulador!$G$10)/Simulador!$B$11))/2,IF((($A88-Simulador!$E$10)/Simulador!$G$10)&gt;1-Simulador!$B$11,Simulador!$B$10*(1-COS(PI()*(1-(($A88-Simulador!$E$10)/Simulador!$G$10))/Simulador!$B$11))/2,Simulador!$B$10)))</f>
        <v>0</v>
      </c>
    </row>
    <row r="89" spans="1:7" x14ac:dyDescent="0.25">
      <c r="A89" s="17">
        <f>A88+Simulador!$B$14</f>
        <v>174</v>
      </c>
      <c r="B89" s="18">
        <f>IF(OR((($A89-Simulador!$E$5)/Simulador!$G$5)&lt;=0,(($A89-Simulador!$E$5)/Simulador!$G$5)&gt;=1),0,IF((($A89-Simulador!$E$5)/Simulador!$G$5)&lt;Simulador!$B$11,Simulador!$B$9*(1-COS(PI()*(($A89-Simulador!$E$5)/Simulador!$G$5)/Simulador!$B$11))/2,IF((($A89-Simulador!$E$5)/Simulador!$G$5)&gt;1-Simulador!$B$11,Simulador!$B$9*(1-COS(PI()*(1-(($A89-Simulador!$E$5)/Simulador!$G$5))/Simulador!$B$11))/2,Simulador!$B$9)))</f>
        <v>5.1194277240695252</v>
      </c>
      <c r="C89" s="18">
        <f>IF(OR((($A89-Simulador!$E$6)/Simulador!$G$6)&lt;=0,(($A89-Simulador!$E$6)/Simulador!$G$6)&gt;=1),0,IF((($A89-Simulador!$E$6)/Simulador!$G$6)&lt;Simulador!$B$11,Simulador!$B$9*(1-COS(PI()*(($A89-Simulador!$E$6)/Simulador!$G$6)/Simulador!$B$11))/2,IF((($A89-Simulador!$E$6)/Simulador!$G$6)&gt;1-Simulador!$B$11,Simulador!$B$9*(1-COS(PI()*(1-(($A89-Simulador!$E$6)/Simulador!$G$6))/Simulador!$B$11))/2,Simulador!$B$9)))</f>
        <v>2.9876635781220902</v>
      </c>
      <c r="D89" s="18">
        <f>IF(OR((($A89-Simulador!$E$7)/Simulador!$G$7)&lt;=0,(($A89-Simulador!$E$7)/Simulador!$G$7)&gt;=1),0,IF((($A89-Simulador!$E$7)/Simulador!$G$7)&lt;Simulador!$B$11,Simulador!$B$9*(1-COS(PI()*(($A89-Simulador!$E$7)/Simulador!$G$7)/Simulador!$B$11))/2,IF((($A89-Simulador!$E$7)/Simulador!$G$7)&gt;1-Simulador!$B$11,Simulador!$B$9*(1-COS(PI()*(1-(($A89-Simulador!$E$7)/Simulador!$G$7))/Simulador!$B$11))/2,Simulador!$B$9)))</f>
        <v>1.2190918698453344</v>
      </c>
      <c r="E89" s="18">
        <f>IF(OR((($A89-Simulador!$E$8)/Simulador!$G$8)&lt;=0,(($A89-Simulador!$E$8)/Simulador!$G$8)&gt;=1),0,IF((($A89-Simulador!$E$8)/Simulador!$G$8)&lt;Simulador!$B$11,Simulador!$B$10*(1-COS(PI()*(($A89-Simulador!$E$8)/Simulador!$G$8)/Simulador!$B$11))/2,IF((($A89-Simulador!$E$8)/Simulador!$G$8)&gt;1-Simulador!$B$11,Simulador!$B$10*(1-COS(PI()*(1-(($A89-Simulador!$E$8)/Simulador!$G$8))/Simulador!$B$11))/2,Simulador!$B$10)))</f>
        <v>0</v>
      </c>
      <c r="F89" s="18">
        <f>IF(OR((($A89-Simulador!$E$9)/Simulador!$G$9)&lt;=0,(($A89-Simulador!$E$9)/Simulador!$G$9)&gt;=1),0,IF((($A89-Simulador!$E$9)/Simulador!$G$9)&lt;Simulador!$B$11,Simulador!$B$10*(1-COS(PI()*(($A89-Simulador!$E$9)/Simulador!$G$9)/Simulador!$B$11))/2,IF((($A89-Simulador!$E$9)/Simulador!$G$9)&gt;1-Simulador!$B$11,Simulador!$B$10*(1-COS(PI()*(1-(($A89-Simulador!$E$9)/Simulador!$G$9))/Simulador!$B$11))/2,Simulador!$B$10)))</f>
        <v>0</v>
      </c>
      <c r="G89" s="18">
        <f>IF(OR((($A89-Simulador!$E$10)/Simulador!$G$10)&lt;=0,(($A89-Simulador!$E$10)/Simulador!$G$10)&gt;=1),0,IF((($A89-Simulador!$E$10)/Simulador!$G$10)&lt;Simulador!$B$11,Simulador!$B$10*(1-COS(PI()*(($A89-Simulador!$E$10)/Simulador!$G$10)/Simulador!$B$11))/2,IF((($A89-Simulador!$E$10)/Simulador!$G$10)&gt;1-Simulador!$B$11,Simulador!$B$10*(1-COS(PI()*(1-(($A89-Simulador!$E$10)/Simulador!$G$10))/Simulador!$B$11))/2,Simulador!$B$10)))</f>
        <v>0</v>
      </c>
    </row>
    <row r="90" spans="1:7" x14ac:dyDescent="0.25">
      <c r="A90" s="17">
        <f>A89+Simulador!$B$14</f>
        <v>176</v>
      </c>
      <c r="B90" s="18">
        <f>IF(OR((($A90-Simulador!$E$5)/Simulador!$G$5)&lt;=0,(($A90-Simulador!$E$5)/Simulador!$G$5)&gt;=1),0,IF((($A90-Simulador!$E$5)/Simulador!$G$5)&lt;Simulador!$B$11,Simulador!$B$9*(1-COS(PI()*(($A90-Simulador!$E$5)/Simulador!$G$5)/Simulador!$B$11))/2,IF((($A90-Simulador!$E$5)/Simulador!$G$5)&gt;1-Simulador!$B$11,Simulador!$B$9*(1-COS(PI()*(1-(($A90-Simulador!$E$5)/Simulador!$G$5))/Simulador!$B$11))/2,Simulador!$B$9)))</f>
        <v>5.4077211914155265</v>
      </c>
      <c r="C90" s="18">
        <f>IF(OR((($A90-Simulador!$E$6)/Simulador!$G$6)&lt;=0,(($A90-Simulador!$E$6)/Simulador!$G$6)&gt;=1),0,IF((($A90-Simulador!$E$6)/Simulador!$G$6)&lt;Simulador!$B$11,Simulador!$B$9*(1-COS(PI()*(($A90-Simulador!$E$6)/Simulador!$G$6)/Simulador!$B$11))/2,IF((($A90-Simulador!$E$6)/Simulador!$G$6)&gt;1-Simulador!$B$11,Simulador!$B$9*(1-COS(PI()*(1-(($A90-Simulador!$E$6)/Simulador!$G$6))/Simulador!$B$11))/2,Simulador!$B$9)))</f>
        <v>3.260119312155898</v>
      </c>
      <c r="D90" s="18">
        <f>IF(OR((($A90-Simulador!$E$7)/Simulador!$G$7)&lt;=0,(($A90-Simulador!$E$7)/Simulador!$G$7)&gt;=1),0,IF((($A90-Simulador!$E$7)/Simulador!$G$7)&lt;Simulador!$B$11,Simulador!$B$9*(1-COS(PI()*(($A90-Simulador!$E$7)/Simulador!$G$7)/Simulador!$B$11))/2,IF((($A90-Simulador!$E$7)/Simulador!$G$7)&gt;1-Simulador!$B$11,Simulador!$B$9*(1-COS(PI()*(1-(($A90-Simulador!$E$7)/Simulador!$G$7))/Simulador!$B$11))/2,Simulador!$B$9)))</f>
        <v>1.4195606240481418</v>
      </c>
      <c r="E90" s="18">
        <f>IF(OR((($A90-Simulador!$E$8)/Simulador!$G$8)&lt;=0,(($A90-Simulador!$E$8)/Simulador!$G$8)&gt;=1),0,IF((($A90-Simulador!$E$8)/Simulador!$G$8)&lt;Simulador!$B$11,Simulador!$B$10*(1-COS(PI()*(($A90-Simulador!$E$8)/Simulador!$G$8)/Simulador!$B$11))/2,IF((($A90-Simulador!$E$8)/Simulador!$G$8)&gt;1-Simulador!$B$11,Simulador!$B$10*(1-COS(PI()*(1-(($A90-Simulador!$E$8)/Simulador!$G$8))/Simulador!$B$11))/2,Simulador!$B$10)))</f>
        <v>0</v>
      </c>
      <c r="F90" s="18">
        <f>IF(OR((($A90-Simulador!$E$9)/Simulador!$G$9)&lt;=0,(($A90-Simulador!$E$9)/Simulador!$G$9)&gt;=1),0,IF((($A90-Simulador!$E$9)/Simulador!$G$9)&lt;Simulador!$B$11,Simulador!$B$10*(1-COS(PI()*(($A90-Simulador!$E$9)/Simulador!$G$9)/Simulador!$B$11))/2,IF((($A90-Simulador!$E$9)/Simulador!$G$9)&gt;1-Simulador!$B$11,Simulador!$B$10*(1-COS(PI()*(1-(($A90-Simulador!$E$9)/Simulador!$G$9))/Simulador!$B$11))/2,Simulador!$B$10)))</f>
        <v>0</v>
      </c>
      <c r="G90" s="18">
        <f>IF(OR((($A90-Simulador!$E$10)/Simulador!$G$10)&lt;=0,(($A90-Simulador!$E$10)/Simulador!$G$10)&gt;=1),0,IF((($A90-Simulador!$E$10)/Simulador!$G$10)&lt;Simulador!$B$11,Simulador!$B$10*(1-COS(PI()*(($A90-Simulador!$E$10)/Simulador!$G$10)/Simulador!$B$11))/2,IF((($A90-Simulador!$E$10)/Simulador!$G$10)&gt;1-Simulador!$B$11,Simulador!$B$10*(1-COS(PI()*(1-(($A90-Simulador!$E$10)/Simulador!$G$10))/Simulador!$B$11))/2,Simulador!$B$10)))</f>
        <v>0</v>
      </c>
    </row>
    <row r="91" spans="1:7" x14ac:dyDescent="0.25">
      <c r="A91" s="17">
        <f>A90+Simulador!$B$14</f>
        <v>178</v>
      </c>
      <c r="B91" s="18">
        <f>IF(OR((($A91-Simulador!$E$5)/Simulador!$G$5)&lt;=0,(($A91-Simulador!$E$5)/Simulador!$G$5)&gt;=1),0,IF((($A91-Simulador!$E$5)/Simulador!$G$5)&lt;Simulador!$B$11,Simulador!$B$9*(1-COS(PI()*(($A91-Simulador!$E$5)/Simulador!$G$5)/Simulador!$B$11))/2,IF((($A91-Simulador!$E$5)/Simulador!$G$5)&gt;1-Simulador!$B$11,Simulador!$B$9*(1-COS(PI()*(1-(($A91-Simulador!$E$5)/Simulador!$G$5))/Simulador!$B$11))/2,Simulador!$B$9)))</f>
        <v>5.6935631362786925</v>
      </c>
      <c r="C91" s="18">
        <f>IF(OR((($A91-Simulador!$E$6)/Simulador!$G$6)&lt;=0,(($A91-Simulador!$E$6)/Simulador!$G$6)&gt;=1),0,IF((($A91-Simulador!$E$6)/Simulador!$G$6)&lt;Simulador!$B$11,Simulador!$B$9*(1-COS(PI()*(($A91-Simulador!$E$6)/Simulador!$G$6)/Simulador!$B$11))/2,IF((($A91-Simulador!$E$6)/Simulador!$G$6)&gt;1-Simulador!$B$11,Simulador!$B$9*(1-COS(PI()*(1-(($A91-Simulador!$E$6)/Simulador!$G$6))/Simulador!$B$11))/2,Simulador!$B$9)))</f>
        <v>3.5381282745950924</v>
      </c>
      <c r="D91" s="18">
        <f>IF(OR((($A91-Simulador!$E$7)/Simulador!$G$7)&lt;=0,(($A91-Simulador!$E$7)/Simulador!$G$7)&gt;=1),0,IF((($A91-Simulador!$E$7)/Simulador!$G$7)&lt;Simulador!$B$11,Simulador!$B$9*(1-COS(PI()*(($A91-Simulador!$E$7)/Simulador!$G$7)/Simulador!$B$11))/2,IF((($A91-Simulador!$E$7)/Simulador!$G$7)&gt;1-Simulador!$B$11,Simulador!$B$9*(1-COS(PI()*(1-(($A91-Simulador!$E$7)/Simulador!$G$7))/Simulador!$B$11))/2,Simulador!$B$9)))</f>
        <v>1.6324429162582883</v>
      </c>
      <c r="E91" s="18">
        <f>IF(OR((($A91-Simulador!$E$8)/Simulador!$G$8)&lt;=0,(($A91-Simulador!$E$8)/Simulador!$G$8)&gt;=1),0,IF((($A91-Simulador!$E$8)/Simulador!$G$8)&lt;Simulador!$B$11,Simulador!$B$10*(1-COS(PI()*(($A91-Simulador!$E$8)/Simulador!$G$8)/Simulador!$B$11))/2,IF((($A91-Simulador!$E$8)/Simulador!$G$8)&gt;1-Simulador!$B$11,Simulador!$B$10*(1-COS(PI()*(1-(($A91-Simulador!$E$8)/Simulador!$G$8))/Simulador!$B$11))/2,Simulador!$B$10)))</f>
        <v>0</v>
      </c>
      <c r="F91" s="18">
        <f>IF(OR((($A91-Simulador!$E$9)/Simulador!$G$9)&lt;=0,(($A91-Simulador!$E$9)/Simulador!$G$9)&gt;=1),0,IF((($A91-Simulador!$E$9)/Simulador!$G$9)&lt;Simulador!$B$11,Simulador!$B$10*(1-COS(PI()*(($A91-Simulador!$E$9)/Simulador!$G$9)/Simulador!$B$11))/2,IF((($A91-Simulador!$E$9)/Simulador!$G$9)&gt;1-Simulador!$B$11,Simulador!$B$10*(1-COS(PI()*(1-(($A91-Simulador!$E$9)/Simulador!$G$9))/Simulador!$B$11))/2,Simulador!$B$10)))</f>
        <v>0</v>
      </c>
      <c r="G91" s="18">
        <f>IF(OR((($A91-Simulador!$E$10)/Simulador!$G$10)&lt;=0,(($A91-Simulador!$E$10)/Simulador!$G$10)&gt;=1),0,IF((($A91-Simulador!$E$10)/Simulador!$G$10)&lt;Simulador!$B$11,Simulador!$B$10*(1-COS(PI()*(($A91-Simulador!$E$10)/Simulador!$G$10)/Simulador!$B$11))/2,IF((($A91-Simulador!$E$10)/Simulador!$G$10)&gt;1-Simulador!$B$11,Simulador!$B$10*(1-COS(PI()*(1-(($A91-Simulador!$E$10)/Simulador!$G$10))/Simulador!$B$11))/2,Simulador!$B$10)))</f>
        <v>0</v>
      </c>
    </row>
    <row r="92" spans="1:7" x14ac:dyDescent="0.25">
      <c r="A92" s="17">
        <f>A91+Simulador!$B$14</f>
        <v>180</v>
      </c>
      <c r="B92" s="18">
        <f>IF(OR((($A92-Simulador!$E$5)/Simulador!$G$5)&lt;=0,(($A92-Simulador!$E$5)/Simulador!$G$5)&gt;=1),0,IF((($A92-Simulador!$E$5)/Simulador!$G$5)&lt;Simulador!$B$11,Simulador!$B$9*(1-COS(PI()*(($A92-Simulador!$E$5)/Simulador!$G$5)/Simulador!$B$11))/2,IF((($A92-Simulador!$E$5)/Simulador!$G$5)&gt;1-Simulador!$B$11,Simulador!$B$9*(1-COS(PI()*(1-(($A92-Simulador!$E$5)/Simulador!$G$5))/Simulador!$B$11))/2,Simulador!$B$9)))</f>
        <v>5.9758881407227964</v>
      </c>
      <c r="C92" s="18">
        <f>IF(OR((($A92-Simulador!$E$6)/Simulador!$G$6)&lt;=0,(($A92-Simulador!$E$6)/Simulador!$G$6)&gt;=1),0,IF((($A92-Simulador!$E$6)/Simulador!$G$6)&lt;Simulador!$B$11,Simulador!$B$9*(1-COS(PI()*(($A92-Simulador!$E$6)/Simulador!$G$6)/Simulador!$B$11))/2,IF((($A92-Simulador!$E$6)/Simulador!$G$6)&gt;1-Simulador!$B$11,Simulador!$B$9*(1-COS(PI()*(1-(($A92-Simulador!$E$6)/Simulador!$G$6))/Simulador!$B$11))/2,Simulador!$B$9)))</f>
        <v>3.8206542433584243</v>
      </c>
      <c r="D92" s="18">
        <f>IF(OR((($A92-Simulador!$E$7)/Simulador!$G$7)&lt;=0,(($A92-Simulador!$E$7)/Simulador!$G$7)&gt;=1),0,IF((($A92-Simulador!$E$7)/Simulador!$G$7)&lt;Simulador!$B$11,Simulador!$B$9*(1-COS(PI()*(($A92-Simulador!$E$7)/Simulador!$G$7)/Simulador!$B$11))/2,IF((($A92-Simulador!$E$7)/Simulador!$G$7)&gt;1-Simulador!$B$11,Simulador!$B$9*(1-COS(PI()*(1-(($A92-Simulador!$E$7)/Simulador!$G$7))/Simulador!$B$11))/2,Simulador!$B$9)))</f>
        <v>1.8569452708627585</v>
      </c>
      <c r="E92" s="18">
        <f>IF(OR((($A92-Simulador!$E$8)/Simulador!$G$8)&lt;=0,(($A92-Simulador!$E$8)/Simulador!$G$8)&gt;=1),0,IF((($A92-Simulador!$E$8)/Simulador!$G$8)&lt;Simulador!$B$11,Simulador!$B$10*(1-COS(PI()*(($A92-Simulador!$E$8)/Simulador!$G$8)/Simulador!$B$11))/2,IF((($A92-Simulador!$E$8)/Simulador!$G$8)&gt;1-Simulador!$B$11,Simulador!$B$10*(1-COS(PI()*(1-(($A92-Simulador!$E$8)/Simulador!$G$8))/Simulador!$B$11))/2,Simulador!$B$10)))</f>
        <v>0</v>
      </c>
      <c r="F92" s="18">
        <f>IF(OR((($A92-Simulador!$E$9)/Simulador!$G$9)&lt;=0,(($A92-Simulador!$E$9)/Simulador!$G$9)&gt;=1),0,IF((($A92-Simulador!$E$9)/Simulador!$G$9)&lt;Simulador!$B$11,Simulador!$B$10*(1-COS(PI()*(($A92-Simulador!$E$9)/Simulador!$G$9)/Simulador!$B$11))/2,IF((($A92-Simulador!$E$9)/Simulador!$G$9)&gt;1-Simulador!$B$11,Simulador!$B$10*(1-COS(PI()*(1-(($A92-Simulador!$E$9)/Simulador!$G$9))/Simulador!$B$11))/2,Simulador!$B$10)))</f>
        <v>0</v>
      </c>
      <c r="G92" s="18">
        <f>IF(OR((($A92-Simulador!$E$10)/Simulador!$G$10)&lt;=0,(($A92-Simulador!$E$10)/Simulador!$G$10)&gt;=1),0,IF((($A92-Simulador!$E$10)/Simulador!$G$10)&lt;Simulador!$B$11,Simulador!$B$10*(1-COS(PI()*(($A92-Simulador!$E$10)/Simulador!$G$10)/Simulador!$B$11))/2,IF((($A92-Simulador!$E$10)/Simulador!$G$10)&gt;1-Simulador!$B$11,Simulador!$B$10*(1-COS(PI()*(1-(($A92-Simulador!$E$10)/Simulador!$G$10))/Simulador!$B$11))/2,Simulador!$B$10)))</f>
        <v>0</v>
      </c>
    </row>
    <row r="93" spans="1:7" x14ac:dyDescent="0.25">
      <c r="A93" s="17">
        <f>A92+Simulador!$B$14</f>
        <v>182</v>
      </c>
      <c r="B93" s="18">
        <f>IF(OR((($A93-Simulador!$E$5)/Simulador!$G$5)&lt;=0,(($A93-Simulador!$E$5)/Simulador!$G$5)&gt;=1),0,IF((($A93-Simulador!$E$5)/Simulador!$G$5)&lt;Simulador!$B$11,Simulador!$B$9*(1-COS(PI()*(($A93-Simulador!$E$5)/Simulador!$G$5)/Simulador!$B$11))/2,IF((($A93-Simulador!$E$5)/Simulador!$G$5)&gt;1-Simulador!$B$11,Simulador!$B$9*(1-COS(PI()*(1-(($A93-Simulador!$E$5)/Simulador!$G$5))/Simulador!$B$11))/2,Simulador!$B$9)))</f>
        <v>6.2536438954944735</v>
      </c>
      <c r="C93" s="18">
        <f>IF(OR((($A93-Simulador!$E$6)/Simulador!$G$6)&lt;=0,(($A93-Simulador!$E$6)/Simulador!$G$6)&gt;=1),0,IF((($A93-Simulador!$E$6)/Simulador!$G$6)&lt;Simulador!$B$11,Simulador!$B$9*(1-COS(PI()*(($A93-Simulador!$E$6)/Simulador!$G$6)/Simulador!$B$11))/2,IF((($A93-Simulador!$E$6)/Simulador!$G$6)&gt;1-Simulador!$B$11,Simulador!$B$9*(1-COS(PI()*(1-(($A93-Simulador!$E$6)/Simulador!$G$6))/Simulador!$B$11))/2,Simulador!$B$9)))</f>
        <v>4.1066441601387424</v>
      </c>
      <c r="D93" s="18">
        <f>IF(OR((($A93-Simulador!$E$7)/Simulador!$G$7)&lt;=0,(($A93-Simulador!$E$7)/Simulador!$G$7)&gt;=1),0,IF((($A93-Simulador!$E$7)/Simulador!$G$7)&lt;Simulador!$B$11,Simulador!$B$9*(1-COS(PI()*(($A93-Simulador!$E$7)/Simulador!$G$7)/Simulador!$B$11))/2,IF((($A93-Simulador!$E$7)/Simulador!$G$7)&gt;1-Simulador!$B$11,Simulador!$B$9*(1-COS(PI()*(1-(($A93-Simulador!$E$7)/Simulador!$G$7))/Simulador!$B$11))/2,Simulador!$B$9)))</f>
        <v>2.092230900820256</v>
      </c>
      <c r="E93" s="18">
        <f>IF(OR((($A93-Simulador!$E$8)/Simulador!$G$8)&lt;=0,(($A93-Simulador!$E$8)/Simulador!$G$8)&gt;=1),0,IF((($A93-Simulador!$E$8)/Simulador!$G$8)&lt;Simulador!$B$11,Simulador!$B$10*(1-COS(PI()*(($A93-Simulador!$E$8)/Simulador!$G$8)/Simulador!$B$11))/2,IF((($A93-Simulador!$E$8)/Simulador!$G$8)&gt;1-Simulador!$B$11,Simulador!$B$10*(1-COS(PI()*(1-(($A93-Simulador!$E$8)/Simulador!$G$8))/Simulador!$B$11))/2,Simulador!$B$10)))</f>
        <v>0</v>
      </c>
      <c r="F93" s="18">
        <f>IF(OR((($A93-Simulador!$E$9)/Simulador!$G$9)&lt;=0,(($A93-Simulador!$E$9)/Simulador!$G$9)&gt;=1),0,IF((($A93-Simulador!$E$9)/Simulador!$G$9)&lt;Simulador!$B$11,Simulador!$B$10*(1-COS(PI()*(($A93-Simulador!$E$9)/Simulador!$G$9)/Simulador!$B$11))/2,IF((($A93-Simulador!$E$9)/Simulador!$G$9)&gt;1-Simulador!$B$11,Simulador!$B$10*(1-COS(PI()*(1-(($A93-Simulador!$E$9)/Simulador!$G$9))/Simulador!$B$11))/2,Simulador!$B$10)))</f>
        <v>0</v>
      </c>
      <c r="G93" s="18">
        <f>IF(OR((($A93-Simulador!$E$10)/Simulador!$G$10)&lt;=0,(($A93-Simulador!$E$10)/Simulador!$G$10)&gt;=1),0,IF((($A93-Simulador!$E$10)/Simulador!$G$10)&lt;Simulador!$B$11,Simulador!$B$10*(1-COS(PI()*(($A93-Simulador!$E$10)/Simulador!$G$10)/Simulador!$B$11))/2,IF((($A93-Simulador!$E$10)/Simulador!$G$10)&gt;1-Simulador!$B$11,Simulador!$B$10*(1-COS(PI()*(1-(($A93-Simulador!$E$10)/Simulador!$G$10))/Simulador!$B$11))/2,Simulador!$B$10)))</f>
        <v>0</v>
      </c>
    </row>
    <row r="94" spans="1:7" x14ac:dyDescent="0.25">
      <c r="A94" s="17">
        <f>A93+Simulador!$B$14</f>
        <v>184</v>
      </c>
      <c r="B94" s="18">
        <f>IF(OR((($A94-Simulador!$E$5)/Simulador!$G$5)&lt;=0,(($A94-Simulador!$E$5)/Simulador!$G$5)&gt;=1),0,IF((($A94-Simulador!$E$5)/Simulador!$G$5)&lt;Simulador!$B$11,Simulador!$B$9*(1-COS(PI()*(($A94-Simulador!$E$5)/Simulador!$G$5)/Simulador!$B$11))/2,IF((($A94-Simulador!$E$5)/Simulador!$G$5)&gt;1-Simulador!$B$11,Simulador!$B$9*(1-COS(PI()*(1-(($A94-Simulador!$E$5)/Simulador!$G$5))/Simulador!$B$11))/2,Simulador!$B$9)))</f>
        <v>6.525795122292755</v>
      </c>
      <c r="C94" s="18">
        <f>IF(OR((($A94-Simulador!$E$6)/Simulador!$G$6)&lt;=0,(($A94-Simulador!$E$6)/Simulador!$G$6)&gt;=1),0,IF((($A94-Simulador!$E$6)/Simulador!$G$6)&lt;Simulador!$B$11,Simulador!$B$9*(1-COS(PI()*(($A94-Simulador!$E$6)/Simulador!$G$6)/Simulador!$B$11))/2,IF((($A94-Simulador!$E$6)/Simulador!$G$6)&gt;1-Simulador!$B$11,Simulador!$B$9*(1-COS(PI()*(1-(($A94-Simulador!$E$6)/Simulador!$G$6))/Simulador!$B$11))/2,Simulador!$B$9)))</f>
        <v>4.3950320554644851</v>
      </c>
      <c r="D94" s="18">
        <f>IF(OR((($A94-Simulador!$E$7)/Simulador!$G$7)&lt;=0,(($A94-Simulador!$E$7)/Simulador!$G$7)&gt;=1),0,IF((($A94-Simulador!$E$7)/Simulador!$G$7)&lt;Simulador!$B$11,Simulador!$B$9*(1-COS(PI()*(($A94-Simulador!$E$7)/Simulador!$G$7)/Simulador!$B$11))/2,IF((($A94-Simulador!$E$7)/Simulador!$G$7)&gt;1-Simulador!$B$11,Simulador!$B$9*(1-COS(PI()*(1-(($A94-Simulador!$E$7)/Simulador!$G$7))/Simulador!$B$11))/2,Simulador!$B$9)))</f>
        <v>2.3374228266153612</v>
      </c>
      <c r="E94" s="18">
        <f>IF(OR((($A94-Simulador!$E$8)/Simulador!$G$8)&lt;=0,(($A94-Simulador!$E$8)/Simulador!$G$8)&gt;=1),0,IF((($A94-Simulador!$E$8)/Simulador!$G$8)&lt;Simulador!$B$11,Simulador!$B$10*(1-COS(PI()*(($A94-Simulador!$E$8)/Simulador!$G$8)/Simulador!$B$11))/2,IF((($A94-Simulador!$E$8)/Simulador!$G$8)&gt;1-Simulador!$B$11,Simulador!$B$10*(1-COS(PI()*(1-(($A94-Simulador!$E$8)/Simulador!$G$8))/Simulador!$B$11))/2,Simulador!$B$10)))</f>
        <v>0</v>
      </c>
      <c r="F94" s="18">
        <f>IF(OR((($A94-Simulador!$E$9)/Simulador!$G$9)&lt;=0,(($A94-Simulador!$E$9)/Simulador!$G$9)&gt;=1),0,IF((($A94-Simulador!$E$9)/Simulador!$G$9)&lt;Simulador!$B$11,Simulador!$B$10*(1-COS(PI()*(($A94-Simulador!$E$9)/Simulador!$G$9)/Simulador!$B$11))/2,IF((($A94-Simulador!$E$9)/Simulador!$G$9)&gt;1-Simulador!$B$11,Simulador!$B$10*(1-COS(PI()*(1-(($A94-Simulador!$E$9)/Simulador!$G$9))/Simulador!$B$11))/2,Simulador!$B$10)))</f>
        <v>0</v>
      </c>
      <c r="G94" s="18">
        <f>IF(OR((($A94-Simulador!$E$10)/Simulador!$G$10)&lt;=0,(($A94-Simulador!$E$10)/Simulador!$G$10)&gt;=1),0,IF((($A94-Simulador!$E$10)/Simulador!$G$10)&lt;Simulador!$B$11,Simulador!$B$10*(1-COS(PI()*(($A94-Simulador!$E$10)/Simulador!$G$10)/Simulador!$B$11))/2,IF((($A94-Simulador!$E$10)/Simulador!$G$10)&gt;1-Simulador!$B$11,Simulador!$B$10*(1-COS(PI()*(1-(($A94-Simulador!$E$10)/Simulador!$G$10))/Simulador!$B$11))/2,Simulador!$B$10)))</f>
        <v>0</v>
      </c>
    </row>
    <row r="95" spans="1:7" x14ac:dyDescent="0.25">
      <c r="A95" s="17">
        <f>A94+Simulador!$B$14</f>
        <v>186</v>
      </c>
      <c r="B95" s="18">
        <f>IF(OR((($A95-Simulador!$E$5)/Simulador!$G$5)&lt;=0,(($A95-Simulador!$E$5)/Simulador!$G$5)&gt;=1),0,IF((($A95-Simulador!$E$5)/Simulador!$G$5)&lt;Simulador!$B$11,Simulador!$B$9*(1-COS(PI()*(($A95-Simulador!$E$5)/Simulador!$G$5)/Simulador!$B$11))/2,IF((($A95-Simulador!$E$5)/Simulador!$G$5)&gt;1-Simulador!$B$11,Simulador!$B$9*(1-COS(PI()*(1-(($A95-Simulador!$E$5)/Simulador!$G$5))/Simulador!$B$11))/2,Simulador!$B$9)))</f>
        <v>6.7913274325591813</v>
      </c>
      <c r="C95" s="18">
        <f>IF(OR((($A95-Simulador!$E$6)/Simulador!$G$6)&lt;=0,(($A95-Simulador!$E$6)/Simulador!$G$6)&gt;=1),0,IF((($A95-Simulador!$E$6)/Simulador!$G$6)&lt;Simulador!$B$11,Simulador!$B$9*(1-COS(PI()*(($A95-Simulador!$E$6)/Simulador!$G$6)/Simulador!$B$11))/2,IF((($A95-Simulador!$E$6)/Simulador!$G$6)&gt;1-Simulador!$B$11,Simulador!$B$9*(1-COS(PI()*(1-(($A95-Simulador!$E$6)/Simulador!$G$6))/Simulador!$B$11))/2,Simulador!$B$9)))</f>
        <v>4.6847430218848984</v>
      </c>
      <c r="D95" s="18">
        <f>IF(OR((($A95-Simulador!$E$7)/Simulador!$G$7)&lt;=0,(($A95-Simulador!$E$7)/Simulador!$G$7)&gt;=1),0,IF((($A95-Simulador!$E$7)/Simulador!$G$7)&lt;Simulador!$B$11,Simulador!$B$9*(1-COS(PI()*(($A95-Simulador!$E$7)/Simulador!$G$7)/Simulador!$B$11))/2,IF((($A95-Simulador!$E$7)/Simulador!$G$7)&gt;1-Simulador!$B$11,Simulador!$B$9*(1-COS(PI()*(1-(($A95-Simulador!$E$7)/Simulador!$G$7))/Simulador!$B$11))/2,Simulador!$B$9)))</f>
        <v>2.5916071450219924</v>
      </c>
      <c r="E95" s="18">
        <f>IF(OR((($A95-Simulador!$E$8)/Simulador!$G$8)&lt;=0,(($A95-Simulador!$E$8)/Simulador!$G$8)&gt;=1),0,IF((($A95-Simulador!$E$8)/Simulador!$G$8)&lt;Simulador!$B$11,Simulador!$B$10*(1-COS(PI()*(($A95-Simulador!$E$8)/Simulador!$G$8)/Simulador!$B$11))/2,IF((($A95-Simulador!$E$8)/Simulador!$G$8)&gt;1-Simulador!$B$11,Simulador!$B$10*(1-COS(PI()*(1-(($A95-Simulador!$E$8)/Simulador!$G$8))/Simulador!$B$11))/2,Simulador!$B$10)))</f>
        <v>0</v>
      </c>
      <c r="F95" s="18">
        <f>IF(OR((($A95-Simulador!$E$9)/Simulador!$G$9)&lt;=0,(($A95-Simulador!$E$9)/Simulador!$G$9)&gt;=1),0,IF((($A95-Simulador!$E$9)/Simulador!$G$9)&lt;Simulador!$B$11,Simulador!$B$10*(1-COS(PI()*(($A95-Simulador!$E$9)/Simulador!$G$9)/Simulador!$B$11))/2,IF((($A95-Simulador!$E$9)/Simulador!$G$9)&gt;1-Simulador!$B$11,Simulador!$B$10*(1-COS(PI()*(1-(($A95-Simulador!$E$9)/Simulador!$G$9))/Simulador!$B$11))/2,Simulador!$B$10)))</f>
        <v>0</v>
      </c>
      <c r="G95" s="18">
        <f>IF(OR((($A95-Simulador!$E$10)/Simulador!$G$10)&lt;=0,(($A95-Simulador!$E$10)/Simulador!$G$10)&gt;=1),0,IF((($A95-Simulador!$E$10)/Simulador!$G$10)&lt;Simulador!$B$11,Simulador!$B$10*(1-COS(PI()*(($A95-Simulador!$E$10)/Simulador!$G$10)/Simulador!$B$11))/2,IF((($A95-Simulador!$E$10)/Simulador!$G$10)&gt;1-Simulador!$B$11,Simulador!$B$10*(1-COS(PI()*(1-(($A95-Simulador!$E$10)/Simulador!$G$10))/Simulador!$B$11))/2,Simulador!$B$10)))</f>
        <v>0</v>
      </c>
    </row>
    <row r="96" spans="1:7" x14ac:dyDescent="0.25">
      <c r="A96" s="17">
        <f>A95+Simulador!$B$14</f>
        <v>188</v>
      </c>
      <c r="B96" s="18">
        <f>IF(OR((($A96-Simulador!$E$5)/Simulador!$G$5)&lt;=0,(($A96-Simulador!$E$5)/Simulador!$G$5)&gt;=1),0,IF((($A96-Simulador!$E$5)/Simulador!$G$5)&lt;Simulador!$B$11,Simulador!$B$9*(1-COS(PI()*(($A96-Simulador!$E$5)/Simulador!$G$5)/Simulador!$B$11))/2,IF((($A96-Simulador!$E$5)/Simulador!$G$5)&gt;1-Simulador!$B$11,Simulador!$B$9*(1-COS(PI()*(1-(($A96-Simulador!$E$5)/Simulador!$G$5))/Simulador!$B$11))/2,Simulador!$B$9)))</f>
        <v>7.0492511084056355</v>
      </c>
      <c r="C96" s="18">
        <f>IF(OR((($A96-Simulador!$E$6)/Simulador!$G$6)&lt;=0,(($A96-Simulador!$E$6)/Simulador!$G$6)&gt;=1),0,IF((($A96-Simulador!$E$6)/Simulador!$G$6)&lt;Simulador!$B$11,Simulador!$B$9*(1-COS(PI()*(($A96-Simulador!$E$6)/Simulador!$G$6)/Simulador!$B$11))/2,IF((($A96-Simulador!$E$6)/Simulador!$G$6)&gt;1-Simulador!$B$11,Simulador!$B$9*(1-COS(PI()*(1-(($A96-Simulador!$E$6)/Simulador!$G$6))/Simulador!$B$11))/2,Simulador!$B$9)))</f>
        <v>4.9746972204697899</v>
      </c>
      <c r="D96" s="18">
        <f>IF(OR((($A96-Simulador!$E$7)/Simulador!$G$7)&lt;=0,(($A96-Simulador!$E$7)/Simulador!$G$7)&gt;=1),0,IF((($A96-Simulador!$E$7)/Simulador!$G$7)&lt;Simulador!$B$11,Simulador!$B$9*(1-COS(PI()*(($A96-Simulador!$E$7)/Simulador!$G$7)/Simulador!$B$11))/2,IF((($A96-Simulador!$E$7)/Simulador!$G$7)&gt;1-Simulador!$B$11,Simulador!$B$9*(1-COS(PI()*(1-(($A96-Simulador!$E$7)/Simulador!$G$7))/Simulador!$B$11))/2,Simulador!$B$9)))</f>
        <v>2.853836435492521</v>
      </c>
      <c r="E96" s="18">
        <f>IF(OR((($A96-Simulador!$E$8)/Simulador!$G$8)&lt;=0,(($A96-Simulador!$E$8)/Simulador!$G$8)&gt;=1),0,IF((($A96-Simulador!$E$8)/Simulador!$G$8)&lt;Simulador!$B$11,Simulador!$B$10*(1-COS(PI()*(($A96-Simulador!$E$8)/Simulador!$G$8)/Simulador!$B$11))/2,IF((($A96-Simulador!$E$8)/Simulador!$G$8)&gt;1-Simulador!$B$11,Simulador!$B$10*(1-COS(PI()*(1-(($A96-Simulador!$E$8)/Simulador!$G$8))/Simulador!$B$11))/2,Simulador!$B$10)))</f>
        <v>0</v>
      </c>
      <c r="F96" s="18">
        <f>IF(OR((($A96-Simulador!$E$9)/Simulador!$G$9)&lt;=0,(($A96-Simulador!$E$9)/Simulador!$G$9)&gt;=1),0,IF((($A96-Simulador!$E$9)/Simulador!$G$9)&lt;Simulador!$B$11,Simulador!$B$10*(1-COS(PI()*(($A96-Simulador!$E$9)/Simulador!$G$9)/Simulador!$B$11))/2,IF((($A96-Simulador!$E$9)/Simulador!$G$9)&gt;1-Simulador!$B$11,Simulador!$B$10*(1-COS(PI()*(1-(($A96-Simulador!$E$9)/Simulador!$G$9))/Simulador!$B$11))/2,Simulador!$B$10)))</f>
        <v>0</v>
      </c>
      <c r="G96" s="18">
        <f>IF(OR((($A96-Simulador!$E$10)/Simulador!$G$10)&lt;=0,(($A96-Simulador!$E$10)/Simulador!$G$10)&gt;=1),0,IF((($A96-Simulador!$E$10)/Simulador!$G$10)&lt;Simulador!$B$11,Simulador!$B$10*(1-COS(PI()*(($A96-Simulador!$E$10)/Simulador!$G$10)/Simulador!$B$11))/2,IF((($A96-Simulador!$E$10)/Simulador!$G$10)&gt;1-Simulador!$B$11,Simulador!$B$10*(1-COS(PI()*(1-(($A96-Simulador!$E$10)/Simulador!$G$10))/Simulador!$B$11))/2,Simulador!$B$10)))</f>
        <v>0</v>
      </c>
    </row>
    <row r="97" spans="1:7" x14ac:dyDescent="0.25">
      <c r="A97" s="17">
        <f>A96+Simulador!$B$14</f>
        <v>190</v>
      </c>
      <c r="B97" s="18">
        <f>IF(OR((($A97-Simulador!$E$5)/Simulador!$G$5)&lt;=0,(($A97-Simulador!$E$5)/Simulador!$G$5)&gt;=1),0,IF((($A97-Simulador!$E$5)/Simulador!$G$5)&lt;Simulador!$B$11,Simulador!$B$9*(1-COS(PI()*(($A97-Simulador!$E$5)/Simulador!$G$5)/Simulador!$B$11))/2,IF((($A97-Simulador!$E$5)/Simulador!$G$5)&gt;1-Simulador!$B$11,Simulador!$B$9*(1-COS(PI()*(1-(($A97-Simulador!$E$5)/Simulador!$G$5))/Simulador!$B$11))/2,Simulador!$B$9)))</f>
        <v>7.2986047915872501</v>
      </c>
      <c r="C97" s="18">
        <f>IF(OR((($A97-Simulador!$E$6)/Simulador!$G$6)&lt;=0,(($A97-Simulador!$E$6)/Simulador!$G$6)&gt;=1),0,IF((($A97-Simulador!$E$6)/Simulador!$G$6)&lt;Simulador!$B$11,Simulador!$B$9*(1-COS(PI()*(($A97-Simulador!$E$6)/Simulador!$G$6)/Simulador!$B$11))/2,IF((($A97-Simulador!$E$6)/Simulador!$G$6)&gt;1-Simulador!$B$11,Simulador!$B$9*(1-COS(PI()*(1-(($A97-Simulador!$E$6)/Simulador!$G$6))/Simulador!$B$11))/2,Simulador!$B$9)))</f>
        <v>5.263813905690351</v>
      </c>
      <c r="D97" s="18">
        <f>IF(OR((($A97-Simulador!$E$7)/Simulador!$G$7)&lt;=0,(($A97-Simulador!$E$7)/Simulador!$G$7)&gt;=1),0,IF((($A97-Simulador!$E$7)/Simulador!$G$7)&lt;Simulador!$B$11,Simulador!$B$9*(1-COS(PI()*(($A97-Simulador!$E$7)/Simulador!$G$7)/Simulador!$B$11))/2,IF((($A97-Simulador!$E$7)/Simulador!$G$7)&gt;1-Simulador!$B$11,Simulador!$B$9*(1-COS(PI()*(1-(($A97-Simulador!$E$7)/Simulador!$G$7))/Simulador!$B$11))/2,Simulador!$B$9)))</f>
        <v>3.1231332914759085</v>
      </c>
      <c r="E97" s="18">
        <f>IF(OR((($A97-Simulador!$E$8)/Simulador!$G$8)&lt;=0,(($A97-Simulador!$E$8)/Simulador!$G$8)&gt;=1),0,IF((($A97-Simulador!$E$8)/Simulador!$G$8)&lt;Simulador!$B$11,Simulador!$B$10*(1-COS(PI()*(($A97-Simulador!$E$8)/Simulador!$G$8)/Simulador!$B$11))/2,IF((($A97-Simulador!$E$8)/Simulador!$G$8)&gt;1-Simulador!$B$11,Simulador!$B$10*(1-COS(PI()*(1-(($A97-Simulador!$E$8)/Simulador!$G$8))/Simulador!$B$11))/2,Simulador!$B$10)))</f>
        <v>0</v>
      </c>
      <c r="F97" s="18">
        <f>IF(OR((($A97-Simulador!$E$9)/Simulador!$G$9)&lt;=0,(($A97-Simulador!$E$9)/Simulador!$G$9)&gt;=1),0,IF((($A97-Simulador!$E$9)/Simulador!$G$9)&lt;Simulador!$B$11,Simulador!$B$10*(1-COS(PI()*(($A97-Simulador!$E$9)/Simulador!$G$9)/Simulador!$B$11))/2,IF((($A97-Simulador!$E$9)/Simulador!$G$9)&gt;1-Simulador!$B$11,Simulador!$B$10*(1-COS(PI()*(1-(($A97-Simulador!$E$9)/Simulador!$G$9))/Simulador!$B$11))/2,Simulador!$B$10)))</f>
        <v>0</v>
      </c>
      <c r="G97" s="18">
        <f>IF(OR((($A97-Simulador!$E$10)/Simulador!$G$10)&lt;=0,(($A97-Simulador!$E$10)/Simulador!$G$10)&gt;=1),0,IF((($A97-Simulador!$E$10)/Simulador!$G$10)&lt;Simulador!$B$11,Simulador!$B$10*(1-COS(PI()*(($A97-Simulador!$E$10)/Simulador!$G$10)/Simulador!$B$11))/2,IF((($A97-Simulador!$E$10)/Simulador!$G$10)&gt;1-Simulador!$B$11,Simulador!$B$10*(1-COS(PI()*(1-(($A97-Simulador!$E$10)/Simulador!$G$10))/Simulador!$B$11))/2,Simulador!$B$10)))</f>
        <v>0</v>
      </c>
    </row>
    <row r="98" spans="1:7" x14ac:dyDescent="0.25">
      <c r="A98" s="17">
        <f>A97+Simulador!$B$14</f>
        <v>192</v>
      </c>
      <c r="B98" s="18">
        <f>IF(OR((($A98-Simulador!$E$5)/Simulador!$G$5)&lt;=0,(($A98-Simulador!$E$5)/Simulador!$G$5)&gt;=1),0,IF((($A98-Simulador!$E$5)/Simulador!$G$5)&lt;Simulador!$B$11,Simulador!$B$9*(1-COS(PI()*(($A98-Simulador!$E$5)/Simulador!$G$5)/Simulador!$B$11))/2,IF((($A98-Simulador!$E$5)/Simulador!$G$5)&gt;1-Simulador!$B$11,Simulador!$B$9*(1-COS(PI()*(1-(($A98-Simulador!$E$5)/Simulador!$G$5))/Simulador!$B$11))/2,Simulador!$B$9)))</f>
        <v>7.5384590667704785</v>
      </c>
      <c r="C98" s="18">
        <f>IF(OR((($A98-Simulador!$E$6)/Simulador!$G$6)&lt;=0,(($A98-Simulador!$E$6)/Simulador!$G$6)&gt;=1),0,IF((($A98-Simulador!$E$6)/Simulador!$G$6)&lt;Simulador!$B$11,Simulador!$B$9*(1-COS(PI()*(($A98-Simulador!$E$6)/Simulador!$G$6)/Simulador!$B$11))/2,IF((($A98-Simulador!$E$6)/Simulador!$G$6)&gt;1-Simulador!$B$11,Simulador!$B$9*(1-COS(PI()*(1-(($A98-Simulador!$E$6)/Simulador!$G$6))/Simulador!$B$11))/2,Simulador!$B$9)))</f>
        <v>5.5510154536791605</v>
      </c>
      <c r="D98" s="18">
        <f>IF(OR((($A98-Simulador!$E$7)/Simulador!$G$7)&lt;=0,(($A98-Simulador!$E$7)/Simulador!$G$7)&gt;=1),0,IF((($A98-Simulador!$E$7)/Simulador!$G$7)&lt;Simulador!$B$11,Simulador!$B$9*(1-COS(PI()*(($A98-Simulador!$E$7)/Simulador!$G$7)/Simulador!$B$11))/2,IF((($A98-Simulador!$E$7)/Simulador!$G$7)&gt;1-Simulador!$B$11,Simulador!$B$9*(1-COS(PI()*(1-(($A98-Simulador!$E$7)/Simulador!$G$7))/Simulador!$B$11))/2,Simulador!$B$9)))</f>
        <v>3.3984939635025961</v>
      </c>
      <c r="E98" s="18">
        <f>IF(OR((($A98-Simulador!$E$8)/Simulador!$G$8)&lt;=0,(($A98-Simulador!$E$8)/Simulador!$G$8)&gt;=1),0,IF((($A98-Simulador!$E$8)/Simulador!$G$8)&lt;Simulador!$B$11,Simulador!$B$10*(1-COS(PI()*(($A98-Simulador!$E$8)/Simulador!$G$8)/Simulador!$B$11))/2,IF((($A98-Simulador!$E$8)/Simulador!$G$8)&gt;1-Simulador!$B$11,Simulador!$B$10*(1-COS(PI()*(1-(($A98-Simulador!$E$8)/Simulador!$G$8))/Simulador!$B$11))/2,Simulador!$B$10)))</f>
        <v>0</v>
      </c>
      <c r="F98" s="18">
        <f>IF(OR((($A98-Simulador!$E$9)/Simulador!$G$9)&lt;=0,(($A98-Simulador!$E$9)/Simulador!$G$9)&gt;=1),0,IF((($A98-Simulador!$E$9)/Simulador!$G$9)&lt;Simulador!$B$11,Simulador!$B$10*(1-COS(PI()*(($A98-Simulador!$E$9)/Simulador!$G$9)/Simulador!$B$11))/2,IF((($A98-Simulador!$E$9)/Simulador!$G$9)&gt;1-Simulador!$B$11,Simulador!$B$10*(1-COS(PI()*(1-(($A98-Simulador!$E$9)/Simulador!$G$9))/Simulador!$B$11))/2,Simulador!$B$10)))</f>
        <v>0</v>
      </c>
      <c r="G98" s="18">
        <f>IF(OR((($A98-Simulador!$E$10)/Simulador!$G$10)&lt;=0,(($A98-Simulador!$E$10)/Simulador!$G$10)&gt;=1),0,IF((($A98-Simulador!$E$10)/Simulador!$G$10)&lt;Simulador!$B$11,Simulador!$B$10*(1-COS(PI()*(($A98-Simulador!$E$10)/Simulador!$G$10)/Simulador!$B$11))/2,IF((($A98-Simulador!$E$10)/Simulador!$G$10)&gt;1-Simulador!$B$11,Simulador!$B$10*(1-COS(PI()*(1-(($A98-Simulador!$E$10)/Simulador!$G$10))/Simulador!$B$11))/2,Simulador!$B$10)))</f>
        <v>0</v>
      </c>
    </row>
    <row r="99" spans="1:7" x14ac:dyDescent="0.25">
      <c r="A99" s="17">
        <f>A98+Simulador!$B$14</f>
        <v>194</v>
      </c>
      <c r="B99" s="18">
        <f>IF(OR((($A99-Simulador!$E$5)/Simulador!$G$5)&lt;=0,(($A99-Simulador!$E$5)/Simulador!$G$5)&gt;=1),0,IF((($A99-Simulador!$E$5)/Simulador!$G$5)&lt;Simulador!$B$11,Simulador!$B$9*(1-COS(PI()*(($A99-Simulador!$E$5)/Simulador!$G$5)/Simulador!$B$11))/2,IF((($A99-Simulador!$E$5)/Simulador!$G$5)&gt;1-Simulador!$B$11,Simulador!$B$9*(1-COS(PI()*(1-(($A99-Simulador!$E$5)/Simulador!$G$5))/Simulador!$B$11))/2,Simulador!$B$9)))</f>
        <v>7.7679199257404585</v>
      </c>
      <c r="C99" s="18">
        <f>IF(OR((($A99-Simulador!$E$6)/Simulador!$G$6)&lt;=0,(($A99-Simulador!$E$6)/Simulador!$G$6)&gt;=1),0,IF((($A99-Simulador!$E$6)/Simulador!$G$6)&lt;Simulador!$B$11,Simulador!$B$9*(1-COS(PI()*(($A99-Simulador!$E$6)/Simulador!$G$6)/Simulador!$B$11))/2,IF((($A99-Simulador!$E$6)/Simulador!$G$6)&gt;1-Simulador!$B$11,Simulador!$B$9*(1-COS(PI()*(1-(($A99-Simulador!$E$6)/Simulador!$G$6))/Simulador!$B$11))/2,Simulador!$B$9)))</f>
        <v>5.8352313788548029</v>
      </c>
      <c r="D99" s="18">
        <f>IF(OR((($A99-Simulador!$E$7)/Simulador!$G$7)&lt;=0,(($A99-Simulador!$E$7)/Simulador!$G$7)&gt;=1),0,IF((($A99-Simulador!$E$7)/Simulador!$G$7)&lt;Simulador!$B$11,Simulador!$B$9*(1-COS(PI()*(($A99-Simulador!$E$7)/Simulador!$G$7)/Simulador!$B$11))/2,IF((($A99-Simulador!$E$7)/Simulador!$G$7)&gt;1-Simulador!$B$11,Simulador!$B$9*(1-COS(PI()*(1-(($A99-Simulador!$E$7)/Simulador!$G$7))/Simulador!$B$11))/2,Simulador!$B$9)))</f>
        <v>3.6788921004572885</v>
      </c>
      <c r="E99" s="18">
        <f>IF(OR((($A99-Simulador!$E$8)/Simulador!$G$8)&lt;=0,(($A99-Simulador!$E$8)/Simulador!$G$8)&gt;=1),0,IF((($A99-Simulador!$E$8)/Simulador!$G$8)&lt;Simulador!$B$11,Simulador!$B$10*(1-COS(PI()*(($A99-Simulador!$E$8)/Simulador!$G$8)/Simulador!$B$11))/2,IF((($A99-Simulador!$E$8)/Simulador!$G$8)&gt;1-Simulador!$B$11,Simulador!$B$10*(1-COS(PI()*(1-(($A99-Simulador!$E$8)/Simulador!$G$8))/Simulador!$B$11))/2,Simulador!$B$10)))</f>
        <v>0</v>
      </c>
      <c r="F99" s="18">
        <f>IF(OR((($A99-Simulador!$E$9)/Simulador!$G$9)&lt;=0,(($A99-Simulador!$E$9)/Simulador!$G$9)&gt;=1),0,IF((($A99-Simulador!$E$9)/Simulador!$G$9)&lt;Simulador!$B$11,Simulador!$B$10*(1-COS(PI()*(($A99-Simulador!$E$9)/Simulador!$G$9)/Simulador!$B$11))/2,IF((($A99-Simulador!$E$9)/Simulador!$G$9)&gt;1-Simulador!$B$11,Simulador!$B$10*(1-COS(PI()*(1-(($A99-Simulador!$E$9)/Simulador!$G$9))/Simulador!$B$11))/2,Simulador!$B$10)))</f>
        <v>0</v>
      </c>
      <c r="G99" s="18">
        <f>IF(OR((($A99-Simulador!$E$10)/Simulador!$G$10)&lt;=0,(($A99-Simulador!$E$10)/Simulador!$G$10)&gt;=1),0,IF((($A99-Simulador!$E$10)/Simulador!$G$10)&lt;Simulador!$B$11,Simulador!$B$10*(1-COS(PI()*(($A99-Simulador!$E$10)/Simulador!$G$10)/Simulador!$B$11))/2,IF((($A99-Simulador!$E$10)/Simulador!$G$10)&gt;1-Simulador!$B$11,Simulador!$B$10*(1-COS(PI()*(1-(($A99-Simulador!$E$10)/Simulador!$G$10))/Simulador!$B$11))/2,Simulador!$B$10)))</f>
        <v>0</v>
      </c>
    </row>
    <row r="100" spans="1:7" x14ac:dyDescent="0.25">
      <c r="A100" s="17">
        <f>A99+Simulador!$B$14</f>
        <v>196</v>
      </c>
      <c r="B100" s="18">
        <f>IF(OR((($A100-Simulador!$E$5)/Simulador!$G$5)&lt;=0,(($A100-Simulador!$E$5)/Simulador!$G$5)&gt;=1),0,IF((($A100-Simulador!$E$5)/Simulador!$G$5)&lt;Simulador!$B$11,Simulador!$B$9*(1-COS(PI()*(($A100-Simulador!$E$5)/Simulador!$G$5)/Simulador!$B$11))/2,IF((($A100-Simulador!$E$5)/Simulador!$G$5)&gt;1-Simulador!$B$11,Simulador!$B$9*(1-COS(PI()*(1-(($A100-Simulador!$E$5)/Simulador!$G$5))/Simulador!$B$11))/2,Simulador!$B$9)))</f>
        <v>7.9861320996354905</v>
      </c>
      <c r="C100" s="18">
        <f>IF(OR((($A100-Simulador!$E$6)/Simulador!$G$6)&lt;=0,(($A100-Simulador!$E$6)/Simulador!$G$6)&gt;=1),0,IF((($A100-Simulador!$E$6)/Simulador!$G$6)&lt;Simulador!$B$11,Simulador!$B$9*(1-COS(PI()*(($A100-Simulador!$E$6)/Simulador!$G$6)/Simulador!$B$11))/2,IF((($A100-Simulador!$E$6)/Simulador!$G$6)&gt;1-Simulador!$B$11,Simulador!$B$9*(1-COS(PI()*(1-(($A100-Simulador!$E$6)/Simulador!$G$6))/Simulador!$B$11))/2,Simulador!$B$9)))</f>
        <v>6.1154023239399962</v>
      </c>
      <c r="D100" s="18">
        <f>IF(OR((($A100-Simulador!$E$7)/Simulador!$G$7)&lt;=0,(($A100-Simulador!$E$7)/Simulador!$G$7)&gt;=1),0,IF((($A100-Simulador!$E$7)/Simulador!$G$7)&lt;Simulador!$B$11,Simulador!$B$9*(1-COS(PI()*(($A100-Simulador!$E$7)/Simulador!$G$7)/Simulador!$B$11))/2,IF((($A100-Simulador!$E$7)/Simulador!$G$7)&gt;1-Simulador!$B$11,Simulador!$B$9*(1-COS(PI()*(1-(($A100-Simulador!$E$7)/Simulador!$G$7))/Simulador!$B$11))/2,Simulador!$B$9)))</f>
        <v>3.9632825750947958</v>
      </c>
      <c r="E100" s="18">
        <f>IF(OR((($A100-Simulador!$E$8)/Simulador!$G$8)&lt;=0,(($A100-Simulador!$E$8)/Simulador!$G$8)&gt;=1),0,IF((($A100-Simulador!$E$8)/Simulador!$G$8)&lt;Simulador!$B$11,Simulador!$B$10*(1-COS(PI()*(($A100-Simulador!$E$8)/Simulador!$G$8)/Simulador!$B$11))/2,IF((($A100-Simulador!$E$8)/Simulador!$G$8)&gt;1-Simulador!$B$11,Simulador!$B$10*(1-COS(PI()*(1-(($A100-Simulador!$E$8)/Simulador!$G$8))/Simulador!$B$11))/2,Simulador!$B$10)))</f>
        <v>0</v>
      </c>
      <c r="F100" s="18">
        <f>IF(OR((($A100-Simulador!$E$9)/Simulador!$G$9)&lt;=0,(($A100-Simulador!$E$9)/Simulador!$G$9)&gt;=1),0,IF((($A100-Simulador!$E$9)/Simulador!$G$9)&lt;Simulador!$B$11,Simulador!$B$10*(1-COS(PI()*(($A100-Simulador!$E$9)/Simulador!$G$9)/Simulador!$B$11))/2,IF((($A100-Simulador!$E$9)/Simulador!$G$9)&gt;1-Simulador!$B$11,Simulador!$B$10*(1-COS(PI()*(1-(($A100-Simulador!$E$9)/Simulador!$G$9))/Simulador!$B$11))/2,Simulador!$B$10)))</f>
        <v>0</v>
      </c>
      <c r="G100" s="18">
        <f>IF(OR((($A100-Simulador!$E$10)/Simulador!$G$10)&lt;=0,(($A100-Simulador!$E$10)/Simulador!$G$10)&gt;=1),0,IF((($A100-Simulador!$E$10)/Simulador!$G$10)&lt;Simulador!$B$11,Simulador!$B$10*(1-COS(PI()*(($A100-Simulador!$E$10)/Simulador!$G$10)/Simulador!$B$11))/2,IF((($A100-Simulador!$E$10)/Simulador!$G$10)&gt;1-Simulador!$B$11,Simulador!$B$10*(1-COS(PI()*(1-(($A100-Simulador!$E$10)/Simulador!$G$10))/Simulador!$B$11))/2,Simulador!$B$10)))</f>
        <v>0</v>
      </c>
    </row>
    <row r="101" spans="1:7" x14ac:dyDescent="0.25">
      <c r="A101" s="17">
        <f>A100+Simulador!$B$14</f>
        <v>198</v>
      </c>
      <c r="B101" s="18">
        <f>IF(OR((($A101-Simulador!$E$5)/Simulador!$G$5)&lt;=0,(($A101-Simulador!$E$5)/Simulador!$G$5)&gt;=1),0,IF((($A101-Simulador!$E$5)/Simulador!$G$5)&lt;Simulador!$B$11,Simulador!$B$9*(1-COS(PI()*(($A101-Simulador!$E$5)/Simulador!$G$5)/Simulador!$B$11))/2,IF((($A101-Simulador!$E$5)/Simulador!$G$5)&gt;1-Simulador!$B$11,Simulador!$B$9*(1-COS(PI()*(1-(($A101-Simulador!$E$5)/Simulador!$G$5))/Simulador!$B$11))/2,Simulador!$B$9)))</f>
        <v>8.192282246788448</v>
      </c>
      <c r="C101" s="18">
        <f>IF(OR((($A101-Simulador!$E$6)/Simulador!$G$6)&lt;=0,(($A101-Simulador!$E$6)/Simulador!$G$6)&gt;=1),0,IF((($A101-Simulador!$E$6)/Simulador!$G$6)&lt;Simulador!$B$11,Simulador!$B$9*(1-COS(PI()*(($A101-Simulador!$E$6)/Simulador!$G$6)/Simulador!$B$11))/2,IF((($A101-Simulador!$E$6)/Simulador!$G$6)&gt;1-Simulador!$B$11,Simulador!$B$9*(1-COS(PI()*(1-(($A101-Simulador!$E$6)/Simulador!$G$6))/Simulador!$B$11))/2,Simulador!$B$9)))</f>
        <v>6.3904840085012093</v>
      </c>
      <c r="D101" s="18">
        <f>IF(OR((($A101-Simulador!$E$7)/Simulador!$G$7)&lt;=0,(($A101-Simulador!$E$7)/Simulador!$G$7)&gt;=1),0,IF((($A101-Simulador!$E$7)/Simulador!$G$7)&lt;Simulador!$B$11,Simulador!$B$9*(1-COS(PI()*(($A101-Simulador!$E$7)/Simulador!$G$7)/Simulador!$B$11))/2,IF((($A101-Simulador!$E$7)/Simulador!$G$7)&gt;1-Simulador!$B$11,Simulador!$B$9*(1-COS(PI()*(1-(($A101-Simulador!$E$7)/Simulador!$G$7))/Simulador!$B$11))/2,Simulador!$B$9)))</f>
        <v>4.2506053795400769</v>
      </c>
      <c r="E101" s="18">
        <f>IF(OR((($A101-Simulador!$E$8)/Simulador!$G$8)&lt;=0,(($A101-Simulador!$E$8)/Simulador!$G$8)&gt;=1),0,IF((($A101-Simulador!$E$8)/Simulador!$G$8)&lt;Simulador!$B$11,Simulador!$B$10*(1-COS(PI()*(($A101-Simulador!$E$8)/Simulador!$G$8)/Simulador!$B$11))/2,IF((($A101-Simulador!$E$8)/Simulador!$G$8)&gt;1-Simulador!$B$11,Simulador!$B$10*(1-COS(PI()*(1-(($A101-Simulador!$E$8)/Simulador!$G$8))/Simulador!$B$11))/2,Simulador!$B$10)))</f>
        <v>0</v>
      </c>
      <c r="F101" s="18">
        <f>IF(OR((($A101-Simulador!$E$9)/Simulador!$G$9)&lt;=0,(($A101-Simulador!$E$9)/Simulador!$G$9)&gt;=1),0,IF((($A101-Simulador!$E$9)/Simulador!$G$9)&lt;Simulador!$B$11,Simulador!$B$10*(1-COS(PI()*(($A101-Simulador!$E$9)/Simulador!$G$9)/Simulador!$B$11))/2,IF((($A101-Simulador!$E$9)/Simulador!$G$9)&gt;1-Simulador!$B$11,Simulador!$B$10*(1-COS(PI()*(1-(($A101-Simulador!$E$9)/Simulador!$G$9))/Simulador!$B$11))/2,Simulador!$B$10)))</f>
        <v>0</v>
      </c>
      <c r="G101" s="18">
        <f>IF(OR((($A101-Simulador!$E$10)/Simulador!$G$10)&lt;=0,(($A101-Simulador!$E$10)/Simulador!$G$10)&gt;=1),0,IF((($A101-Simulador!$E$10)/Simulador!$G$10)&lt;Simulador!$B$11,Simulador!$B$10*(1-COS(PI()*(($A101-Simulador!$E$10)/Simulador!$G$10)/Simulador!$B$11))/2,IF((($A101-Simulador!$E$10)/Simulador!$G$10)&gt;1-Simulador!$B$11,Simulador!$B$10*(1-COS(PI()*(1-(($A101-Simulador!$E$10)/Simulador!$G$10))/Simulador!$B$11))/2,Simulador!$B$10)))</f>
        <v>0</v>
      </c>
    </row>
    <row r="102" spans="1:7" x14ac:dyDescent="0.25">
      <c r="A102" s="17">
        <f>A101+Simulador!$B$14</f>
        <v>200</v>
      </c>
      <c r="B102" s="18">
        <f>IF(OR((($A102-Simulador!$E$5)/Simulador!$G$5)&lt;=0,(($A102-Simulador!$E$5)/Simulador!$G$5)&gt;=1),0,IF((($A102-Simulador!$E$5)/Simulador!$G$5)&lt;Simulador!$B$11,Simulador!$B$9*(1-COS(PI()*(($A102-Simulador!$E$5)/Simulador!$G$5)/Simulador!$B$11))/2,IF((($A102-Simulador!$E$5)/Simulador!$G$5)&gt;1-Simulador!$B$11,Simulador!$B$9*(1-COS(PI()*(1-(($A102-Simulador!$E$5)/Simulador!$G$5))/Simulador!$B$11))/2,Simulador!$B$9)))</f>
        <v>8.3856019842930483</v>
      </c>
      <c r="C102" s="18">
        <f>IF(OR((($A102-Simulador!$E$6)/Simulador!$G$6)&lt;=0,(($A102-Simulador!$E$6)/Simulador!$G$6)&gt;=1),0,IF((($A102-Simulador!$E$6)/Simulador!$G$6)&lt;Simulador!$B$11,Simulador!$B$9*(1-COS(PI()*(($A102-Simulador!$E$6)/Simulador!$G$6)/Simulador!$B$11))/2,IF((($A102-Simulador!$E$6)/Simulador!$G$6)&gt;1-Simulador!$B$11,Simulador!$B$9*(1-COS(PI()*(1-(($A102-Simulador!$E$6)/Simulador!$G$6))/Simulador!$B$11))/2,Simulador!$B$9)))</f>
        <v>6.6594511212924061</v>
      </c>
      <c r="D102" s="18">
        <f>IF(OR((($A102-Simulador!$E$7)/Simulador!$G$7)&lt;=0,(($A102-Simulador!$E$7)/Simulador!$G$7)&gt;=1),0,IF((($A102-Simulador!$E$7)/Simulador!$G$7)&lt;Simulador!$B$11,Simulador!$B$9*(1-COS(PI()*(($A102-Simulador!$E$7)/Simulador!$G$7)/Simulador!$B$11))/2,IF((($A102-Simulador!$E$7)/Simulador!$G$7)&gt;1-Simulador!$B$11,Simulador!$B$9*(1-COS(PI()*(1-(($A102-Simulador!$E$7)/Simulador!$G$7))/Simulador!$B$11))/2,Simulador!$B$9)))</f>
        <v>4.5397895762528488</v>
      </c>
      <c r="E102" s="18">
        <f>IF(OR((($A102-Simulador!$E$8)/Simulador!$G$8)&lt;=0,(($A102-Simulador!$E$8)/Simulador!$G$8)&gt;=1),0,IF((($A102-Simulador!$E$8)/Simulador!$G$8)&lt;Simulador!$B$11,Simulador!$B$10*(1-COS(PI()*(($A102-Simulador!$E$8)/Simulador!$G$8)/Simulador!$B$11))/2,IF((($A102-Simulador!$E$8)/Simulador!$G$8)&gt;1-Simulador!$B$11,Simulador!$B$10*(1-COS(PI()*(1-(($A102-Simulador!$E$8)/Simulador!$G$8))/Simulador!$B$11))/2,Simulador!$B$10)))</f>
        <v>0</v>
      </c>
      <c r="F102" s="18">
        <f>IF(OR((($A102-Simulador!$E$9)/Simulador!$G$9)&lt;=0,(($A102-Simulador!$E$9)/Simulador!$G$9)&gt;=1),0,IF((($A102-Simulador!$E$9)/Simulador!$G$9)&lt;Simulador!$B$11,Simulador!$B$10*(1-COS(PI()*(($A102-Simulador!$E$9)/Simulador!$G$9)/Simulador!$B$11))/2,IF((($A102-Simulador!$E$9)/Simulador!$G$9)&gt;1-Simulador!$B$11,Simulador!$B$10*(1-COS(PI()*(1-(($A102-Simulador!$E$9)/Simulador!$G$9))/Simulador!$B$11))/2,Simulador!$B$10)))</f>
        <v>0</v>
      </c>
      <c r="G102" s="18">
        <f>IF(OR((($A102-Simulador!$E$10)/Simulador!$G$10)&lt;=0,(($A102-Simulador!$E$10)/Simulador!$G$10)&gt;=1),0,IF((($A102-Simulador!$E$10)/Simulador!$G$10)&lt;Simulador!$B$11,Simulador!$B$10*(1-COS(PI()*(($A102-Simulador!$E$10)/Simulador!$G$10)/Simulador!$B$11))/2,IF((($A102-Simulador!$E$10)/Simulador!$G$10)&gt;1-Simulador!$B$11,Simulador!$B$10*(1-COS(PI()*(1-(($A102-Simulador!$E$10)/Simulador!$G$10))/Simulador!$B$11))/2,Simulador!$B$10)))</f>
        <v>0</v>
      </c>
    </row>
    <row r="103" spans="1:7" x14ac:dyDescent="0.25">
      <c r="A103" s="17">
        <f>A102+Simulador!$B$14</f>
        <v>202</v>
      </c>
      <c r="B103" s="18">
        <f>IF(OR((($A103-Simulador!$E$5)/Simulador!$G$5)&lt;=0,(($A103-Simulador!$E$5)/Simulador!$G$5)&gt;=1),0,IF((($A103-Simulador!$E$5)/Simulador!$G$5)&lt;Simulador!$B$11,Simulador!$B$9*(1-COS(PI()*(($A103-Simulador!$E$5)/Simulador!$G$5)/Simulador!$B$11))/2,IF((($A103-Simulador!$E$5)/Simulador!$G$5)&gt;1-Simulador!$B$11,Simulador!$B$9*(1-COS(PI()*(1-(($A103-Simulador!$E$5)/Simulador!$G$5))/Simulador!$B$11))/2,Simulador!$B$9)))</f>
        <v>8.565370751995447</v>
      </c>
      <c r="C103" s="18">
        <f>IF(OR((($A103-Simulador!$E$6)/Simulador!$G$6)&lt;=0,(($A103-Simulador!$E$6)/Simulador!$G$6)&gt;=1),0,IF((($A103-Simulador!$E$6)/Simulador!$G$6)&lt;Simulador!$B$11,Simulador!$B$9*(1-COS(PI()*(($A103-Simulador!$E$6)/Simulador!$G$6)/Simulador!$B$11))/2,IF((($A103-Simulador!$E$6)/Simulador!$G$6)&gt;1-Simulador!$B$11,Simulador!$B$9*(1-COS(PI()*(1-(($A103-Simulador!$E$6)/Simulador!$G$6))/Simulador!$B$11))/2,Simulador!$B$9)))</f>
        <v>6.9213011418949639</v>
      </c>
      <c r="D103" s="18">
        <f>IF(OR((($A103-Simulador!$E$7)/Simulador!$G$7)&lt;=0,(($A103-Simulador!$E$7)/Simulador!$G$7)&gt;=1),0,IF((($A103-Simulador!$E$7)/Simulador!$G$7)&lt;Simulador!$B$11,Simulador!$B$9*(1-COS(PI()*(($A103-Simulador!$E$7)/Simulador!$G$7)/Simulador!$B$11))/2,IF((($A103-Simulador!$E$7)/Simulador!$G$7)&gt;1-Simulador!$B$11,Simulador!$B$9*(1-COS(PI()*(1-(($A103-Simulador!$E$7)/Simulador!$G$7))/Simulador!$B$11))/2,Simulador!$B$9)))</f>
        <v>4.8297572897302725</v>
      </c>
      <c r="E103" s="18">
        <f>IF(OR((($A103-Simulador!$E$8)/Simulador!$G$8)&lt;=0,(($A103-Simulador!$E$8)/Simulador!$G$8)&gt;=1),0,IF((($A103-Simulador!$E$8)/Simulador!$G$8)&lt;Simulador!$B$11,Simulador!$B$10*(1-COS(PI()*(($A103-Simulador!$E$8)/Simulador!$G$8)/Simulador!$B$11))/2,IF((($A103-Simulador!$E$8)/Simulador!$G$8)&gt;1-Simulador!$B$11,Simulador!$B$10*(1-COS(PI()*(1-(($A103-Simulador!$E$8)/Simulador!$G$8))/Simulador!$B$11))/2,Simulador!$B$10)))</f>
        <v>0</v>
      </c>
      <c r="F103" s="18">
        <f>IF(OR((($A103-Simulador!$E$9)/Simulador!$G$9)&lt;=0,(($A103-Simulador!$E$9)/Simulador!$G$9)&gt;=1),0,IF((($A103-Simulador!$E$9)/Simulador!$G$9)&lt;Simulador!$B$11,Simulador!$B$10*(1-COS(PI()*(($A103-Simulador!$E$9)/Simulador!$G$9)/Simulador!$B$11))/2,IF((($A103-Simulador!$E$9)/Simulador!$G$9)&gt;1-Simulador!$B$11,Simulador!$B$10*(1-COS(PI()*(1-(($A103-Simulador!$E$9)/Simulador!$G$9))/Simulador!$B$11))/2,Simulador!$B$10)))</f>
        <v>0</v>
      </c>
      <c r="G103" s="18">
        <f>IF(OR((($A103-Simulador!$E$10)/Simulador!$G$10)&lt;=0,(($A103-Simulador!$E$10)/Simulador!$G$10)&gt;=1),0,IF((($A103-Simulador!$E$10)/Simulador!$G$10)&lt;Simulador!$B$11,Simulador!$B$10*(1-COS(PI()*(($A103-Simulador!$E$10)/Simulador!$G$10)/Simulador!$B$11))/2,IF((($A103-Simulador!$E$10)/Simulador!$G$10)&gt;1-Simulador!$B$11,Simulador!$B$10*(1-COS(PI()*(1-(($A103-Simulador!$E$10)/Simulador!$G$10))/Simulador!$B$11))/2,Simulador!$B$10)))</f>
        <v>0</v>
      </c>
    </row>
    <row r="104" spans="1:7" x14ac:dyDescent="0.25">
      <c r="A104" s="17">
        <f>A103+Simulador!$B$14</f>
        <v>204</v>
      </c>
      <c r="B104" s="18">
        <f>IF(OR((($A104-Simulador!$E$5)/Simulador!$G$5)&lt;=0,(($A104-Simulador!$E$5)/Simulador!$G$5)&gt;=1),0,IF((($A104-Simulador!$E$5)/Simulador!$G$5)&lt;Simulador!$B$11,Simulador!$B$9*(1-COS(PI()*(($A104-Simulador!$E$5)/Simulador!$G$5)/Simulador!$B$11))/2,IF((($A104-Simulador!$E$5)/Simulador!$G$5)&gt;1-Simulador!$B$11,Simulador!$B$9*(1-COS(PI()*(1-(($A104-Simulador!$E$5)/Simulador!$G$5))/Simulador!$B$11))/2,Simulador!$B$9)))</f>
        <v>8.7309184982362424</v>
      </c>
      <c r="C104" s="18">
        <f>IF(OR((($A104-Simulador!$E$6)/Simulador!$G$6)&lt;=0,(($A104-Simulador!$E$6)/Simulador!$G$6)&gt;=1),0,IF((($A104-Simulador!$E$6)/Simulador!$G$6)&lt;Simulador!$B$11,Simulador!$B$9*(1-COS(PI()*(($A104-Simulador!$E$6)/Simulador!$G$6)/Simulador!$B$11))/2,IF((($A104-Simulador!$E$6)/Simulador!$G$6)&gt;1-Simulador!$B$11,Simulador!$B$9*(1-COS(PI()*(1-(($A104-Simulador!$E$6)/Simulador!$G$6))/Simulador!$B$11))/2,Simulador!$B$9)))</f>
        <v>7.1750580774094326</v>
      </c>
      <c r="D104" s="18">
        <f>IF(OR((($A104-Simulador!$E$7)/Simulador!$G$7)&lt;=0,(($A104-Simulador!$E$7)/Simulador!$G$7)&gt;=1),0,IF((($A104-Simulador!$E$7)/Simulador!$G$7)&lt;Simulador!$B$11,Simulador!$B$9*(1-COS(PI()*(($A104-Simulador!$E$7)/Simulador!$G$7)/Simulador!$B$11))/2,IF((($A104-Simulador!$E$7)/Simulador!$G$7)&gt;1-Simulador!$B$11,Simulador!$B$9*(1-COS(PI()*(1-(($A104-Simulador!$E$7)/Simulador!$G$7))/Simulador!$B$11))/2,Simulador!$B$9)))</f>
        <v>5.1194277240695252</v>
      </c>
      <c r="E104" s="18">
        <f>IF(OR((($A104-Simulador!$E$8)/Simulador!$G$8)&lt;=0,(($A104-Simulador!$E$8)/Simulador!$G$8)&gt;=1),0,IF((($A104-Simulador!$E$8)/Simulador!$G$8)&lt;Simulador!$B$11,Simulador!$B$10*(1-COS(PI()*(($A104-Simulador!$E$8)/Simulador!$G$8)/Simulador!$B$11))/2,IF((($A104-Simulador!$E$8)/Simulador!$G$8)&gt;1-Simulador!$B$11,Simulador!$B$10*(1-COS(PI()*(1-(($A104-Simulador!$E$8)/Simulador!$G$8))/Simulador!$B$11))/2,Simulador!$B$10)))</f>
        <v>0</v>
      </c>
      <c r="F104" s="18">
        <f>IF(OR((($A104-Simulador!$E$9)/Simulador!$G$9)&lt;=0,(($A104-Simulador!$E$9)/Simulador!$G$9)&gt;=1),0,IF((($A104-Simulador!$E$9)/Simulador!$G$9)&lt;Simulador!$B$11,Simulador!$B$10*(1-COS(PI()*(($A104-Simulador!$E$9)/Simulador!$G$9)/Simulador!$B$11))/2,IF((($A104-Simulador!$E$9)/Simulador!$G$9)&gt;1-Simulador!$B$11,Simulador!$B$10*(1-COS(PI()*(1-(($A104-Simulador!$E$9)/Simulador!$G$9))/Simulador!$B$11))/2,Simulador!$B$10)))</f>
        <v>0</v>
      </c>
      <c r="G104" s="18">
        <f>IF(OR((($A104-Simulador!$E$10)/Simulador!$G$10)&lt;=0,(($A104-Simulador!$E$10)/Simulador!$G$10)&gt;=1),0,IF((($A104-Simulador!$E$10)/Simulador!$G$10)&lt;Simulador!$B$11,Simulador!$B$10*(1-COS(PI()*(($A104-Simulador!$E$10)/Simulador!$G$10)/Simulador!$B$11))/2,IF((($A104-Simulador!$E$10)/Simulador!$G$10)&gt;1-Simulador!$B$11,Simulador!$B$10*(1-COS(PI()*(1-(($A104-Simulador!$E$10)/Simulador!$G$10))/Simulador!$B$11))/2,Simulador!$B$10)))</f>
        <v>0</v>
      </c>
    </row>
    <row r="105" spans="1:7" x14ac:dyDescent="0.25">
      <c r="A105" s="17">
        <f>A104+Simulador!$B$14</f>
        <v>206</v>
      </c>
      <c r="B105" s="18">
        <f>IF(OR((($A105-Simulador!$E$5)/Simulador!$G$5)&lt;=0,(($A105-Simulador!$E$5)/Simulador!$G$5)&gt;=1),0,IF((($A105-Simulador!$E$5)/Simulador!$G$5)&lt;Simulador!$B$11,Simulador!$B$9*(1-COS(PI()*(($A105-Simulador!$E$5)/Simulador!$G$5)/Simulador!$B$11))/2,IF((($A105-Simulador!$E$5)/Simulador!$G$5)&gt;1-Simulador!$B$11,Simulador!$B$9*(1-COS(PI()*(1-(($A105-Simulador!$E$5)/Simulador!$G$5))/Simulador!$B$11))/2,Simulador!$B$9)))</f>
        <v>8.8816281773322654</v>
      </c>
      <c r="C105" s="18">
        <f>IF(OR((($A105-Simulador!$E$6)/Simulador!$G$6)&lt;=0,(($A105-Simulador!$E$6)/Simulador!$G$6)&gt;=1),0,IF((($A105-Simulador!$E$6)/Simulador!$G$6)&lt;Simulador!$B$11,Simulador!$B$9*(1-COS(PI()*(($A105-Simulador!$E$6)/Simulador!$G$6)/Simulador!$B$11))/2,IF((($A105-Simulador!$E$6)/Simulador!$G$6)&gt;1-Simulador!$B$11,Simulador!$B$9*(1-COS(PI()*(1-(($A105-Simulador!$E$6)/Simulador!$G$6))/Simulador!$B$11))/2,Simulador!$B$9)))</f>
        <v>7.4197761002713296</v>
      </c>
      <c r="D105" s="18">
        <f>IF(OR((($A105-Simulador!$E$7)/Simulador!$G$7)&lt;=0,(($A105-Simulador!$E$7)/Simulador!$G$7)&gt;=1),0,IF((($A105-Simulador!$E$7)/Simulador!$G$7)&lt;Simulador!$B$11,Simulador!$B$9*(1-COS(PI()*(($A105-Simulador!$E$7)/Simulador!$G$7)/Simulador!$B$11))/2,IF((($A105-Simulador!$E$7)/Simulador!$G$7)&gt;1-Simulador!$B$11,Simulador!$B$9*(1-COS(PI()*(1-(($A105-Simulador!$E$7)/Simulador!$G$7))/Simulador!$B$11))/2,Simulador!$B$9)))</f>
        <v>5.4077211914155265</v>
      </c>
      <c r="E105" s="18">
        <f>IF(OR((($A105-Simulador!$E$8)/Simulador!$G$8)&lt;=0,(($A105-Simulador!$E$8)/Simulador!$G$8)&gt;=1),0,IF((($A105-Simulador!$E$8)/Simulador!$G$8)&lt;Simulador!$B$11,Simulador!$B$10*(1-COS(PI()*(($A105-Simulador!$E$8)/Simulador!$G$8)/Simulador!$B$11))/2,IF((($A105-Simulador!$E$8)/Simulador!$G$8)&gt;1-Simulador!$B$11,Simulador!$B$10*(1-COS(PI()*(1-(($A105-Simulador!$E$8)/Simulador!$G$8))/Simulador!$B$11))/2,Simulador!$B$10)))</f>
        <v>0</v>
      </c>
      <c r="F105" s="18">
        <f>IF(OR((($A105-Simulador!$E$9)/Simulador!$G$9)&lt;=0,(($A105-Simulador!$E$9)/Simulador!$G$9)&gt;=1),0,IF((($A105-Simulador!$E$9)/Simulador!$G$9)&lt;Simulador!$B$11,Simulador!$B$10*(1-COS(PI()*(($A105-Simulador!$E$9)/Simulador!$G$9)/Simulador!$B$11))/2,IF((($A105-Simulador!$E$9)/Simulador!$G$9)&gt;1-Simulador!$B$11,Simulador!$B$10*(1-COS(PI()*(1-(($A105-Simulador!$E$9)/Simulador!$G$9))/Simulador!$B$11))/2,Simulador!$B$10)))</f>
        <v>0</v>
      </c>
      <c r="G105" s="18">
        <f>IF(OR((($A105-Simulador!$E$10)/Simulador!$G$10)&lt;=0,(($A105-Simulador!$E$10)/Simulador!$G$10)&gt;=1),0,IF((($A105-Simulador!$E$10)/Simulador!$G$10)&lt;Simulador!$B$11,Simulador!$B$10*(1-COS(PI()*(($A105-Simulador!$E$10)/Simulador!$G$10)/Simulador!$B$11))/2,IF((($A105-Simulador!$E$10)/Simulador!$G$10)&gt;1-Simulador!$B$11,Simulador!$B$10*(1-COS(PI()*(1-(($A105-Simulador!$E$10)/Simulador!$G$10))/Simulador!$B$11))/2,Simulador!$B$10)))</f>
        <v>0</v>
      </c>
    </row>
    <row r="106" spans="1:7" x14ac:dyDescent="0.25">
      <c r="A106" s="17">
        <f>A105+Simulador!$B$14</f>
        <v>208</v>
      </c>
      <c r="B106" s="18">
        <f>IF(OR((($A106-Simulador!$E$5)/Simulador!$G$5)&lt;=0,(($A106-Simulador!$E$5)/Simulador!$G$5)&gt;=1),0,IF((($A106-Simulador!$E$5)/Simulador!$G$5)&lt;Simulador!$B$11,Simulador!$B$9*(1-COS(PI()*(($A106-Simulador!$E$5)/Simulador!$G$5)/Simulador!$B$11))/2,IF((($A106-Simulador!$E$5)/Simulador!$G$5)&gt;1-Simulador!$B$11,Simulador!$B$9*(1-COS(PI()*(1-(($A106-Simulador!$E$5)/Simulador!$G$5))/Simulador!$B$11))/2,Simulador!$B$9)))</f>
        <v>9.0169380494893474</v>
      </c>
      <c r="C106" s="18">
        <f>IF(OR((($A106-Simulador!$E$6)/Simulador!$G$6)&lt;=0,(($A106-Simulador!$E$6)/Simulador!$G$6)&gt;=1),0,IF((($A106-Simulador!$E$6)/Simulador!$G$6)&lt;Simulador!$B$11,Simulador!$B$9*(1-COS(PI()*(($A106-Simulador!$E$6)/Simulador!$G$6)/Simulador!$B$11))/2,IF((($A106-Simulador!$E$6)/Simulador!$G$6)&gt;1-Simulador!$B$11,Simulador!$B$9*(1-COS(PI()*(1-(($A106-Simulador!$E$6)/Simulador!$G$6))/Simulador!$B$11))/2,Simulador!$B$9)))</f>
        <v>7.6545430736317392</v>
      </c>
      <c r="D106" s="18">
        <f>IF(OR((($A106-Simulador!$E$7)/Simulador!$G$7)&lt;=0,(($A106-Simulador!$E$7)/Simulador!$G$7)&gt;=1),0,IF((($A106-Simulador!$E$7)/Simulador!$G$7)&lt;Simulador!$B$11,Simulador!$B$9*(1-COS(PI()*(($A106-Simulador!$E$7)/Simulador!$G$7)/Simulador!$B$11))/2,IF((($A106-Simulador!$E$7)/Simulador!$G$7)&gt;1-Simulador!$B$11,Simulador!$B$9*(1-COS(PI()*(1-(($A106-Simulador!$E$7)/Simulador!$G$7))/Simulador!$B$11))/2,Simulador!$B$9)))</f>
        <v>5.6935631362786925</v>
      </c>
      <c r="E106" s="18">
        <f>IF(OR((($A106-Simulador!$E$8)/Simulador!$G$8)&lt;=0,(($A106-Simulador!$E$8)/Simulador!$G$8)&gt;=1),0,IF((($A106-Simulador!$E$8)/Simulador!$G$8)&lt;Simulador!$B$11,Simulador!$B$10*(1-COS(PI()*(($A106-Simulador!$E$8)/Simulador!$G$8)/Simulador!$B$11))/2,IF((($A106-Simulador!$E$8)/Simulador!$G$8)&gt;1-Simulador!$B$11,Simulador!$B$10*(1-COS(PI()*(1-(($A106-Simulador!$E$8)/Simulador!$G$8))/Simulador!$B$11))/2,Simulador!$B$10)))</f>
        <v>0</v>
      </c>
      <c r="F106" s="18">
        <f>IF(OR((($A106-Simulador!$E$9)/Simulador!$G$9)&lt;=0,(($A106-Simulador!$E$9)/Simulador!$G$9)&gt;=1),0,IF((($A106-Simulador!$E$9)/Simulador!$G$9)&lt;Simulador!$B$11,Simulador!$B$10*(1-COS(PI()*(($A106-Simulador!$E$9)/Simulador!$G$9)/Simulador!$B$11))/2,IF((($A106-Simulador!$E$9)/Simulador!$G$9)&gt;1-Simulador!$B$11,Simulador!$B$10*(1-COS(PI()*(1-(($A106-Simulador!$E$9)/Simulador!$G$9))/Simulador!$B$11))/2,Simulador!$B$10)))</f>
        <v>0</v>
      </c>
      <c r="G106" s="18">
        <f>IF(OR((($A106-Simulador!$E$10)/Simulador!$G$10)&lt;=0,(($A106-Simulador!$E$10)/Simulador!$G$10)&gt;=1),0,IF((($A106-Simulador!$E$10)/Simulador!$G$10)&lt;Simulador!$B$11,Simulador!$B$10*(1-COS(PI()*(($A106-Simulador!$E$10)/Simulador!$G$10)/Simulador!$B$11))/2,IF((($A106-Simulador!$E$10)/Simulador!$G$10)&gt;1-Simulador!$B$11,Simulador!$B$10*(1-COS(PI()*(1-(($A106-Simulador!$E$10)/Simulador!$G$10))/Simulador!$B$11))/2,Simulador!$B$10)))</f>
        <v>0</v>
      </c>
    </row>
    <row r="107" spans="1:7" x14ac:dyDescent="0.25">
      <c r="A107" s="17">
        <f>A106+Simulador!$B$14</f>
        <v>210</v>
      </c>
      <c r="B107" s="18">
        <f>IF(OR((($A107-Simulador!$E$5)/Simulador!$G$5)&lt;=0,(($A107-Simulador!$E$5)/Simulador!$G$5)&gt;=1),0,IF((($A107-Simulador!$E$5)/Simulador!$G$5)&lt;Simulador!$B$11,Simulador!$B$9*(1-COS(PI()*(($A107-Simulador!$E$5)/Simulador!$G$5)/Simulador!$B$11))/2,IF((($A107-Simulador!$E$5)/Simulador!$G$5)&gt;1-Simulador!$B$11,Simulador!$B$9*(1-COS(PI()*(1-(($A107-Simulador!$E$5)/Simulador!$G$5))/Simulador!$B$11))/2,Simulador!$B$9)))</f>
        <v>9.1363437745735983</v>
      </c>
      <c r="C107" s="18">
        <f>IF(OR((($A107-Simulador!$E$6)/Simulador!$G$6)&lt;=0,(($A107-Simulador!$E$6)/Simulador!$G$6)&gt;=1),0,IF((($A107-Simulador!$E$6)/Simulador!$G$6)&lt;Simulador!$B$11,Simulador!$B$9*(1-COS(PI()*(($A107-Simulador!$E$6)/Simulador!$G$6)/Simulador!$B$11))/2,IF((($A107-Simulador!$E$6)/Simulador!$G$6)&gt;1-Simulador!$B$11,Simulador!$B$9*(1-COS(PI()*(1-(($A107-Simulador!$E$6)/Simulador!$G$6))/Simulador!$B$11))/2,Simulador!$B$9)))</f>
        <v>7.8784839511626208</v>
      </c>
      <c r="D107" s="18">
        <f>IF(OR((($A107-Simulador!$E$7)/Simulador!$G$7)&lt;=0,(($A107-Simulador!$E$7)/Simulador!$G$7)&gt;=1),0,IF((($A107-Simulador!$E$7)/Simulador!$G$7)&lt;Simulador!$B$11,Simulador!$B$9*(1-COS(PI()*(($A107-Simulador!$E$7)/Simulador!$G$7)/Simulador!$B$11))/2,IF((($A107-Simulador!$E$7)/Simulador!$G$7)&gt;1-Simulador!$B$11,Simulador!$B$9*(1-COS(PI()*(1-(($A107-Simulador!$E$7)/Simulador!$G$7))/Simulador!$B$11))/2,Simulador!$B$9)))</f>
        <v>5.9758881407227964</v>
      </c>
      <c r="E107" s="18">
        <f>IF(OR((($A107-Simulador!$E$8)/Simulador!$G$8)&lt;=0,(($A107-Simulador!$E$8)/Simulador!$G$8)&gt;=1),0,IF((($A107-Simulador!$E$8)/Simulador!$G$8)&lt;Simulador!$B$11,Simulador!$B$10*(1-COS(PI()*(($A107-Simulador!$E$8)/Simulador!$G$8)/Simulador!$B$11))/2,IF((($A107-Simulador!$E$8)/Simulador!$G$8)&gt;1-Simulador!$B$11,Simulador!$B$10*(1-COS(PI()*(1-(($A107-Simulador!$E$8)/Simulador!$G$8))/Simulador!$B$11))/2,Simulador!$B$10)))</f>
        <v>0</v>
      </c>
      <c r="F107" s="18">
        <f>IF(OR((($A107-Simulador!$E$9)/Simulador!$G$9)&lt;=0,(($A107-Simulador!$E$9)/Simulador!$G$9)&gt;=1),0,IF((($A107-Simulador!$E$9)/Simulador!$G$9)&lt;Simulador!$B$11,Simulador!$B$10*(1-COS(PI()*(($A107-Simulador!$E$9)/Simulador!$G$9)/Simulador!$B$11))/2,IF((($A107-Simulador!$E$9)/Simulador!$G$9)&gt;1-Simulador!$B$11,Simulador!$B$10*(1-COS(PI()*(1-(($A107-Simulador!$E$9)/Simulador!$G$9))/Simulador!$B$11))/2,Simulador!$B$10)))</f>
        <v>0</v>
      </c>
      <c r="G107" s="18">
        <f>IF(OR((($A107-Simulador!$E$10)/Simulador!$G$10)&lt;=0,(($A107-Simulador!$E$10)/Simulador!$G$10)&gt;=1),0,IF((($A107-Simulador!$E$10)/Simulador!$G$10)&lt;Simulador!$B$11,Simulador!$B$10*(1-COS(PI()*(($A107-Simulador!$E$10)/Simulador!$G$10)/Simulador!$B$11))/2,IF((($A107-Simulador!$E$10)/Simulador!$G$10)&gt;1-Simulador!$B$11,Simulador!$B$10*(1-COS(PI()*(1-(($A107-Simulador!$E$10)/Simulador!$G$10))/Simulador!$B$11))/2,Simulador!$B$10)))</f>
        <v>0</v>
      </c>
    </row>
    <row r="108" spans="1:7" x14ac:dyDescent="0.25">
      <c r="A108" s="17">
        <f>A107+Simulador!$B$14</f>
        <v>212</v>
      </c>
      <c r="B108" s="18">
        <f>IF(OR((($A108-Simulador!$E$5)/Simulador!$G$5)&lt;=0,(($A108-Simulador!$E$5)/Simulador!$G$5)&gt;=1),0,IF((($A108-Simulador!$E$5)/Simulador!$G$5)&lt;Simulador!$B$11,Simulador!$B$9*(1-COS(PI()*(($A108-Simulador!$E$5)/Simulador!$G$5)/Simulador!$B$11))/2,IF((($A108-Simulador!$E$5)/Simulador!$G$5)&gt;1-Simulador!$B$11,Simulador!$B$9*(1-COS(PI()*(1-(($A108-Simulador!$E$5)/Simulador!$G$5))/Simulador!$B$11))/2,Simulador!$B$9)))</f>
        <v>9.2394002919370628</v>
      </c>
      <c r="C108" s="18">
        <f>IF(OR((($A108-Simulador!$E$6)/Simulador!$G$6)&lt;=0,(($A108-Simulador!$E$6)/Simulador!$G$6)&gt;=1),0,IF((($A108-Simulador!$E$6)/Simulador!$G$6)&lt;Simulador!$B$11,Simulador!$B$9*(1-COS(PI()*(($A108-Simulador!$E$6)/Simulador!$G$6)/Simulador!$B$11))/2,IF((($A108-Simulador!$E$6)/Simulador!$G$6)&gt;1-Simulador!$B$11,Simulador!$B$9*(1-COS(PI()*(1-(($A108-Simulador!$E$6)/Simulador!$G$6))/Simulador!$B$11))/2,Simulador!$B$9)))</f>
        <v>8.0907640386147186</v>
      </c>
      <c r="D108" s="18">
        <f>IF(OR((($A108-Simulador!$E$7)/Simulador!$G$7)&lt;=0,(($A108-Simulador!$E$7)/Simulador!$G$7)&gt;=1),0,IF((($A108-Simulador!$E$7)/Simulador!$G$7)&lt;Simulador!$B$11,Simulador!$B$9*(1-COS(PI()*(($A108-Simulador!$E$7)/Simulador!$G$7)/Simulador!$B$11))/2,IF((($A108-Simulador!$E$7)/Simulador!$G$7)&gt;1-Simulador!$B$11,Simulador!$B$9*(1-COS(PI()*(1-(($A108-Simulador!$E$7)/Simulador!$G$7))/Simulador!$B$11))/2,Simulador!$B$9)))</f>
        <v>6.2536438954944735</v>
      </c>
      <c r="E108" s="18">
        <f>IF(OR((($A108-Simulador!$E$8)/Simulador!$G$8)&lt;=0,(($A108-Simulador!$E$8)/Simulador!$G$8)&gt;=1),0,IF((($A108-Simulador!$E$8)/Simulador!$G$8)&lt;Simulador!$B$11,Simulador!$B$10*(1-COS(PI()*(($A108-Simulador!$E$8)/Simulador!$G$8)/Simulador!$B$11))/2,IF((($A108-Simulador!$E$8)/Simulador!$G$8)&gt;1-Simulador!$B$11,Simulador!$B$10*(1-COS(PI()*(1-(($A108-Simulador!$E$8)/Simulador!$G$8))/Simulador!$B$11))/2,Simulador!$B$10)))</f>
        <v>0</v>
      </c>
      <c r="F108" s="18">
        <f>IF(OR((($A108-Simulador!$E$9)/Simulador!$G$9)&lt;=0,(($A108-Simulador!$E$9)/Simulador!$G$9)&gt;=1),0,IF((($A108-Simulador!$E$9)/Simulador!$G$9)&lt;Simulador!$B$11,Simulador!$B$10*(1-COS(PI()*(($A108-Simulador!$E$9)/Simulador!$G$9)/Simulador!$B$11))/2,IF((($A108-Simulador!$E$9)/Simulador!$G$9)&gt;1-Simulador!$B$11,Simulador!$B$10*(1-COS(PI()*(1-(($A108-Simulador!$E$9)/Simulador!$G$9))/Simulador!$B$11))/2,Simulador!$B$10)))</f>
        <v>0</v>
      </c>
      <c r="G108" s="18">
        <f>IF(OR((($A108-Simulador!$E$10)/Simulador!$G$10)&lt;=0,(($A108-Simulador!$E$10)/Simulador!$G$10)&gt;=1),0,IF((($A108-Simulador!$E$10)/Simulador!$G$10)&lt;Simulador!$B$11,Simulador!$B$10*(1-COS(PI()*(($A108-Simulador!$E$10)/Simulador!$G$10)/Simulador!$B$11))/2,IF((($A108-Simulador!$E$10)/Simulador!$G$10)&gt;1-Simulador!$B$11,Simulador!$B$10*(1-COS(PI()*(1-(($A108-Simulador!$E$10)/Simulador!$G$10))/Simulador!$B$11))/2,Simulador!$B$10)))</f>
        <v>0</v>
      </c>
    </row>
    <row r="109" spans="1:7" x14ac:dyDescent="0.25">
      <c r="A109" s="17">
        <f>A108+Simulador!$B$14</f>
        <v>214</v>
      </c>
      <c r="B109" s="18">
        <f>IF(OR((($A109-Simulador!$E$5)/Simulador!$G$5)&lt;=0,(($A109-Simulador!$E$5)/Simulador!$G$5)&gt;=1),0,IF((($A109-Simulador!$E$5)/Simulador!$G$5)&lt;Simulador!$B$11,Simulador!$B$9*(1-COS(PI()*(($A109-Simulador!$E$5)/Simulador!$G$5)/Simulador!$B$11))/2,IF((($A109-Simulador!$E$5)/Simulador!$G$5)&gt;1-Simulador!$B$11,Simulador!$B$9*(1-COS(PI()*(1-(($A109-Simulador!$E$5)/Simulador!$G$5))/Simulador!$B$11))/2,Simulador!$B$9)))</f>
        <v>9.3257234792911223</v>
      </c>
      <c r="C109" s="18">
        <f>IF(OR((($A109-Simulador!$E$6)/Simulador!$G$6)&lt;=0,(($A109-Simulador!$E$6)/Simulador!$G$6)&gt;=1),0,IF((($A109-Simulador!$E$6)/Simulador!$G$6)&lt;Simulador!$B$11,Simulador!$B$9*(1-COS(PI()*(($A109-Simulador!$E$6)/Simulador!$G$6)/Simulador!$B$11))/2,IF((($A109-Simulador!$E$6)/Simulador!$G$6)&gt;1-Simulador!$B$11,Simulador!$B$9*(1-COS(PI()*(1-(($A109-Simulador!$E$6)/Simulador!$G$6))/Simulador!$B$11))/2,Simulador!$B$9)))</f>
        <v>8.2905921049712372</v>
      </c>
      <c r="D109" s="18">
        <f>IF(OR((($A109-Simulador!$E$7)/Simulador!$G$7)&lt;=0,(($A109-Simulador!$E$7)/Simulador!$G$7)&gt;=1),0,IF((($A109-Simulador!$E$7)/Simulador!$G$7)&lt;Simulador!$B$11,Simulador!$B$9*(1-COS(PI()*(($A109-Simulador!$E$7)/Simulador!$G$7)/Simulador!$B$11))/2,IF((($A109-Simulador!$E$7)/Simulador!$G$7)&gt;1-Simulador!$B$11,Simulador!$B$9*(1-COS(PI()*(1-(($A109-Simulador!$E$7)/Simulador!$G$7))/Simulador!$B$11))/2,Simulador!$B$9)))</f>
        <v>6.525795122292755</v>
      </c>
      <c r="E109" s="18">
        <f>IF(OR((($A109-Simulador!$E$8)/Simulador!$G$8)&lt;=0,(($A109-Simulador!$E$8)/Simulador!$G$8)&gt;=1),0,IF((($A109-Simulador!$E$8)/Simulador!$G$8)&lt;Simulador!$B$11,Simulador!$B$10*(1-COS(PI()*(($A109-Simulador!$E$8)/Simulador!$G$8)/Simulador!$B$11))/2,IF((($A109-Simulador!$E$8)/Simulador!$G$8)&gt;1-Simulador!$B$11,Simulador!$B$10*(1-COS(PI()*(1-(($A109-Simulador!$E$8)/Simulador!$G$8))/Simulador!$B$11))/2,Simulador!$B$10)))</f>
        <v>0</v>
      </c>
      <c r="F109" s="18">
        <f>IF(OR((($A109-Simulador!$E$9)/Simulador!$G$9)&lt;=0,(($A109-Simulador!$E$9)/Simulador!$G$9)&gt;=1),0,IF((($A109-Simulador!$E$9)/Simulador!$G$9)&lt;Simulador!$B$11,Simulador!$B$10*(1-COS(PI()*(($A109-Simulador!$E$9)/Simulador!$G$9)/Simulador!$B$11))/2,IF((($A109-Simulador!$E$9)/Simulador!$G$9)&gt;1-Simulador!$B$11,Simulador!$B$10*(1-COS(PI()*(1-(($A109-Simulador!$E$9)/Simulador!$G$9))/Simulador!$B$11))/2,Simulador!$B$10)))</f>
        <v>0</v>
      </c>
      <c r="G109" s="18">
        <f>IF(OR((($A109-Simulador!$E$10)/Simulador!$G$10)&lt;=0,(($A109-Simulador!$E$10)/Simulador!$G$10)&gt;=1),0,IF((($A109-Simulador!$E$10)/Simulador!$G$10)&lt;Simulador!$B$11,Simulador!$B$10*(1-COS(PI()*(($A109-Simulador!$E$10)/Simulador!$G$10)/Simulador!$B$11))/2,IF((($A109-Simulador!$E$10)/Simulador!$G$10)&gt;1-Simulador!$B$11,Simulador!$B$10*(1-COS(PI()*(1-(($A109-Simulador!$E$10)/Simulador!$G$10))/Simulador!$B$11))/2,Simulador!$B$10)))</f>
        <v>0</v>
      </c>
    </row>
    <row r="110" spans="1:7" x14ac:dyDescent="0.25">
      <c r="A110" s="17">
        <f>A109+Simulador!$B$14</f>
        <v>216</v>
      </c>
      <c r="B110" s="18">
        <f>IF(OR((($A110-Simulador!$E$5)/Simulador!$G$5)&lt;=0,(($A110-Simulador!$E$5)/Simulador!$G$5)&gt;=1),0,IF((($A110-Simulador!$E$5)/Simulador!$G$5)&lt;Simulador!$B$11,Simulador!$B$9*(1-COS(PI()*(($A110-Simulador!$E$5)/Simulador!$G$5)/Simulador!$B$11))/2,IF((($A110-Simulador!$E$5)/Simulador!$G$5)&gt;1-Simulador!$B$11,Simulador!$B$9*(1-COS(PI()*(1-(($A110-Simulador!$E$5)/Simulador!$G$5))/Simulador!$B$11))/2,Simulador!$B$9)))</f>
        <v>9.3949915844445009</v>
      </c>
      <c r="C110" s="18">
        <f>IF(OR((($A110-Simulador!$E$6)/Simulador!$G$6)&lt;=0,(($A110-Simulador!$E$6)/Simulador!$G$6)&gt;=1),0,IF((($A110-Simulador!$E$6)/Simulador!$G$6)&lt;Simulador!$B$11,Simulador!$B$9*(1-COS(PI()*(($A110-Simulador!$E$6)/Simulador!$G$6)/Simulador!$B$11))/2,IF((($A110-Simulador!$E$6)/Simulador!$G$6)&gt;1-Simulador!$B$11,Simulador!$B$9*(1-COS(PI()*(1-(($A110-Simulador!$E$6)/Simulador!$G$6))/Simulador!$B$11))/2,Simulador!$B$9)))</f>
        <v>8.4772233316011736</v>
      </c>
      <c r="D110" s="18">
        <f>IF(OR((($A110-Simulador!$E$7)/Simulador!$G$7)&lt;=0,(($A110-Simulador!$E$7)/Simulador!$G$7)&gt;=1),0,IF((($A110-Simulador!$E$7)/Simulador!$G$7)&lt;Simulador!$B$11,Simulador!$B$9*(1-COS(PI()*(($A110-Simulador!$E$7)/Simulador!$G$7)/Simulador!$B$11))/2,IF((($A110-Simulador!$E$7)/Simulador!$G$7)&gt;1-Simulador!$B$11,Simulador!$B$9*(1-COS(PI()*(1-(($A110-Simulador!$E$7)/Simulador!$G$7))/Simulador!$B$11))/2,Simulador!$B$9)))</f>
        <v>6.7913274325591813</v>
      </c>
      <c r="E110" s="18">
        <f>IF(OR((($A110-Simulador!$E$8)/Simulador!$G$8)&lt;=0,(($A110-Simulador!$E$8)/Simulador!$G$8)&gt;=1),0,IF((($A110-Simulador!$E$8)/Simulador!$G$8)&lt;Simulador!$B$11,Simulador!$B$10*(1-COS(PI()*(($A110-Simulador!$E$8)/Simulador!$G$8)/Simulador!$B$11))/2,IF((($A110-Simulador!$E$8)/Simulador!$G$8)&gt;1-Simulador!$B$11,Simulador!$B$10*(1-COS(PI()*(1-(($A110-Simulador!$E$8)/Simulador!$G$8))/Simulador!$B$11))/2,Simulador!$B$10)))</f>
        <v>0</v>
      </c>
      <c r="F110" s="18">
        <f>IF(OR((($A110-Simulador!$E$9)/Simulador!$G$9)&lt;=0,(($A110-Simulador!$E$9)/Simulador!$G$9)&gt;=1),0,IF((($A110-Simulador!$E$9)/Simulador!$G$9)&lt;Simulador!$B$11,Simulador!$B$10*(1-COS(PI()*(($A110-Simulador!$E$9)/Simulador!$G$9)/Simulador!$B$11))/2,IF((($A110-Simulador!$E$9)/Simulador!$G$9)&gt;1-Simulador!$B$11,Simulador!$B$10*(1-COS(PI()*(1-(($A110-Simulador!$E$9)/Simulador!$G$9))/Simulador!$B$11))/2,Simulador!$B$10)))</f>
        <v>0</v>
      </c>
      <c r="G110" s="18">
        <f>IF(OR((($A110-Simulador!$E$10)/Simulador!$G$10)&lt;=0,(($A110-Simulador!$E$10)/Simulador!$G$10)&gt;=1),0,IF((($A110-Simulador!$E$10)/Simulador!$G$10)&lt;Simulador!$B$11,Simulador!$B$10*(1-COS(PI()*(($A110-Simulador!$E$10)/Simulador!$G$10)/Simulador!$B$11))/2,IF((($A110-Simulador!$E$10)/Simulador!$G$10)&gt;1-Simulador!$B$11,Simulador!$B$10*(1-COS(PI()*(1-(($A110-Simulador!$E$10)/Simulador!$G$10))/Simulador!$B$11))/2,Simulador!$B$10)))</f>
        <v>0</v>
      </c>
    </row>
    <row r="111" spans="1:7" x14ac:dyDescent="0.25">
      <c r="A111" s="17">
        <f>A110+Simulador!$B$14</f>
        <v>218</v>
      </c>
      <c r="B111" s="18">
        <f>IF(OR((($A111-Simulador!$E$5)/Simulador!$G$5)&lt;=0,(($A111-Simulador!$E$5)/Simulador!$G$5)&gt;=1),0,IF((($A111-Simulador!$E$5)/Simulador!$G$5)&lt;Simulador!$B$11,Simulador!$B$9*(1-COS(PI()*(($A111-Simulador!$E$5)/Simulador!$G$5)/Simulador!$B$11))/2,IF((($A111-Simulador!$E$5)/Simulador!$G$5)&gt;1-Simulador!$B$11,Simulador!$B$9*(1-COS(PI()*(1-(($A111-Simulador!$E$5)/Simulador!$G$5))/Simulador!$B$11))/2,Simulador!$B$9)))</f>
        <v>9.4469464245693597</v>
      </c>
      <c r="C111" s="18">
        <f>IF(OR((($A111-Simulador!$E$6)/Simulador!$G$6)&lt;=0,(($A111-Simulador!$E$6)/Simulador!$G$6)&gt;=1),0,IF((($A111-Simulador!$E$6)/Simulador!$G$6)&lt;Simulador!$B$11,Simulador!$B$9*(1-COS(PI()*(($A111-Simulador!$E$6)/Simulador!$G$6)/Simulador!$B$11))/2,IF((($A111-Simulador!$E$6)/Simulador!$G$6)&gt;1-Simulador!$B$11,Simulador!$B$9*(1-COS(PI()*(1-(($A111-Simulador!$E$6)/Simulador!$G$6))/Simulador!$B$11))/2,Simulador!$B$9)))</f>
        <v>8.6499620884198407</v>
      </c>
      <c r="D111" s="18">
        <f>IF(OR((($A111-Simulador!$E$7)/Simulador!$G$7)&lt;=0,(($A111-Simulador!$E$7)/Simulador!$G$7)&gt;=1),0,IF((($A111-Simulador!$E$7)/Simulador!$G$7)&lt;Simulador!$B$11,Simulador!$B$9*(1-COS(PI()*(($A111-Simulador!$E$7)/Simulador!$G$7)/Simulador!$B$11))/2,IF((($A111-Simulador!$E$7)/Simulador!$G$7)&gt;1-Simulador!$B$11,Simulador!$B$9*(1-COS(PI()*(1-(($A111-Simulador!$E$7)/Simulador!$G$7))/Simulador!$B$11))/2,Simulador!$B$9)))</f>
        <v>7.0492511084056355</v>
      </c>
      <c r="E111" s="18">
        <f>IF(OR((($A111-Simulador!$E$8)/Simulador!$G$8)&lt;=0,(($A111-Simulador!$E$8)/Simulador!$G$8)&gt;=1),0,IF((($A111-Simulador!$E$8)/Simulador!$G$8)&lt;Simulador!$B$11,Simulador!$B$10*(1-COS(PI()*(($A111-Simulador!$E$8)/Simulador!$G$8)/Simulador!$B$11))/2,IF((($A111-Simulador!$E$8)/Simulador!$G$8)&gt;1-Simulador!$B$11,Simulador!$B$10*(1-COS(PI()*(1-(($A111-Simulador!$E$8)/Simulador!$G$8))/Simulador!$B$11))/2,Simulador!$B$10)))</f>
        <v>0</v>
      </c>
      <c r="F111" s="18">
        <f>IF(OR((($A111-Simulador!$E$9)/Simulador!$G$9)&lt;=0,(($A111-Simulador!$E$9)/Simulador!$G$9)&gt;=1),0,IF((($A111-Simulador!$E$9)/Simulador!$G$9)&lt;Simulador!$B$11,Simulador!$B$10*(1-COS(PI()*(($A111-Simulador!$E$9)/Simulador!$G$9)/Simulador!$B$11))/2,IF((($A111-Simulador!$E$9)/Simulador!$G$9)&gt;1-Simulador!$B$11,Simulador!$B$10*(1-COS(PI()*(1-(($A111-Simulador!$E$9)/Simulador!$G$9))/Simulador!$B$11))/2,Simulador!$B$10)))</f>
        <v>0</v>
      </c>
      <c r="G111" s="18">
        <f>IF(OR((($A111-Simulador!$E$10)/Simulador!$G$10)&lt;=0,(($A111-Simulador!$E$10)/Simulador!$G$10)&gt;=1),0,IF((($A111-Simulador!$E$10)/Simulador!$G$10)&lt;Simulador!$B$11,Simulador!$B$10*(1-COS(PI()*(($A111-Simulador!$E$10)/Simulador!$G$10)/Simulador!$B$11))/2,IF((($A111-Simulador!$E$10)/Simulador!$G$10)&gt;1-Simulador!$B$11,Simulador!$B$10*(1-COS(PI()*(1-(($A111-Simulador!$E$10)/Simulador!$G$10))/Simulador!$B$11))/2,Simulador!$B$10)))</f>
        <v>0</v>
      </c>
    </row>
    <row r="112" spans="1:7" x14ac:dyDescent="0.25">
      <c r="A112" s="17">
        <f>A111+Simulador!$B$14</f>
        <v>220</v>
      </c>
      <c r="B112" s="18">
        <f>IF(OR((($A112-Simulador!$E$5)/Simulador!$G$5)&lt;=0,(($A112-Simulador!$E$5)/Simulador!$G$5)&gt;=1),0,IF((($A112-Simulador!$E$5)/Simulador!$G$5)&lt;Simulador!$B$11,Simulador!$B$9*(1-COS(PI()*(($A112-Simulador!$E$5)/Simulador!$G$5)/Simulador!$B$11))/2,IF((($A112-Simulador!$E$5)/Simulador!$G$5)&gt;1-Simulador!$B$11,Simulador!$B$9*(1-COS(PI()*(1-(($A112-Simulador!$E$5)/Simulador!$G$5))/Simulador!$B$11))/2,Simulador!$B$9)))</f>
        <v>9.4813943485254928</v>
      </c>
      <c r="C112" s="18">
        <f>IF(OR((($A112-Simulador!$E$6)/Simulador!$G$6)&lt;=0,(($A112-Simulador!$E$6)/Simulador!$G$6)&gt;=1),0,IF((($A112-Simulador!$E$6)/Simulador!$G$6)&lt;Simulador!$B$11,Simulador!$B$9*(1-COS(PI()*(($A112-Simulador!$E$6)/Simulador!$G$6)/Simulador!$B$11))/2,IF((($A112-Simulador!$E$6)/Simulador!$G$6)&gt;1-Simulador!$B$11,Simulador!$B$9*(1-COS(PI()*(1-(($A112-Simulador!$E$6)/Simulador!$G$6))/Simulador!$B$11))/2,Simulador!$B$9)))</f>
        <v>8.8081645267090813</v>
      </c>
      <c r="D112" s="18">
        <f>IF(OR((($A112-Simulador!$E$7)/Simulador!$G$7)&lt;=0,(($A112-Simulador!$E$7)/Simulador!$G$7)&gt;=1),0,IF((($A112-Simulador!$E$7)/Simulador!$G$7)&lt;Simulador!$B$11,Simulador!$B$9*(1-COS(PI()*(($A112-Simulador!$E$7)/Simulador!$G$7)/Simulador!$B$11))/2,IF((($A112-Simulador!$E$7)/Simulador!$G$7)&gt;1-Simulador!$B$11,Simulador!$B$9*(1-COS(PI()*(1-(($A112-Simulador!$E$7)/Simulador!$G$7))/Simulador!$B$11))/2,Simulador!$B$9)))</f>
        <v>7.2986047915872501</v>
      </c>
      <c r="E112" s="18">
        <f>IF(OR((($A112-Simulador!$E$8)/Simulador!$G$8)&lt;=0,(($A112-Simulador!$E$8)/Simulador!$G$8)&gt;=1),0,IF((($A112-Simulador!$E$8)/Simulador!$G$8)&lt;Simulador!$B$11,Simulador!$B$10*(1-COS(PI()*(($A112-Simulador!$E$8)/Simulador!$G$8)/Simulador!$B$11))/2,IF((($A112-Simulador!$E$8)/Simulador!$G$8)&gt;1-Simulador!$B$11,Simulador!$B$10*(1-COS(PI()*(1-(($A112-Simulador!$E$8)/Simulador!$G$8))/Simulador!$B$11))/2,Simulador!$B$10)))</f>
        <v>0</v>
      </c>
      <c r="F112" s="18">
        <f>IF(OR((($A112-Simulador!$E$9)/Simulador!$G$9)&lt;=0,(($A112-Simulador!$E$9)/Simulador!$G$9)&gt;=1),0,IF((($A112-Simulador!$E$9)/Simulador!$G$9)&lt;Simulador!$B$11,Simulador!$B$10*(1-COS(PI()*(($A112-Simulador!$E$9)/Simulador!$G$9)/Simulador!$B$11))/2,IF((($A112-Simulador!$E$9)/Simulador!$G$9)&gt;1-Simulador!$B$11,Simulador!$B$10*(1-COS(PI()*(1-(($A112-Simulador!$E$9)/Simulador!$G$9))/Simulador!$B$11))/2,Simulador!$B$10)))</f>
        <v>0</v>
      </c>
      <c r="G112" s="18">
        <f>IF(OR((($A112-Simulador!$E$10)/Simulador!$G$10)&lt;=0,(($A112-Simulador!$E$10)/Simulador!$G$10)&gt;=1),0,IF((($A112-Simulador!$E$10)/Simulador!$G$10)&lt;Simulador!$B$11,Simulador!$B$10*(1-COS(PI()*(($A112-Simulador!$E$10)/Simulador!$G$10)/Simulador!$B$11))/2,IF((($A112-Simulador!$E$10)/Simulador!$G$10)&gt;1-Simulador!$B$11,Simulador!$B$10*(1-COS(PI()*(1-(($A112-Simulador!$E$10)/Simulador!$G$10))/Simulador!$B$11))/2,Simulador!$B$10)))</f>
        <v>0</v>
      </c>
    </row>
    <row r="113" spans="1:7" x14ac:dyDescent="0.25">
      <c r="A113" s="17">
        <f>A112+Simulador!$B$14</f>
        <v>222</v>
      </c>
      <c r="B113" s="18">
        <f>IF(OR((($A113-Simulador!$E$5)/Simulador!$G$5)&lt;=0,(($A113-Simulador!$E$5)/Simulador!$G$5)&gt;=1),0,IF((($A113-Simulador!$E$5)/Simulador!$G$5)&lt;Simulador!$B$11,Simulador!$B$9*(1-COS(PI()*(($A113-Simulador!$E$5)/Simulador!$G$5)/Simulador!$B$11))/2,IF((($A113-Simulador!$E$5)/Simulador!$G$5)&gt;1-Simulador!$B$11,Simulador!$B$9*(1-COS(PI()*(1-(($A113-Simulador!$E$5)/Simulador!$G$5))/Simulador!$B$11))/2,Simulador!$B$9)))</f>
        <v>9.4982069586556985</v>
      </c>
      <c r="C113" s="18">
        <f>IF(OR((($A113-Simulador!$E$6)/Simulador!$G$6)&lt;=0,(($A113-Simulador!$E$6)/Simulador!$G$6)&gt;=1),0,IF((($A113-Simulador!$E$6)/Simulador!$G$6)&lt;Simulador!$B$11,Simulador!$B$9*(1-COS(PI()*(($A113-Simulador!$E$6)/Simulador!$G$6)/Simulador!$B$11))/2,IF((($A113-Simulador!$E$6)/Simulador!$G$6)&gt;1-Simulador!$B$11,Simulador!$B$9*(1-COS(PI()*(1-(($A113-Simulador!$E$6)/Simulador!$G$6))/Simulador!$B$11))/2,Simulador!$B$9)))</f>
        <v>8.9512409789329155</v>
      </c>
      <c r="D113" s="18">
        <f>IF(OR((($A113-Simulador!$E$7)/Simulador!$G$7)&lt;=0,(($A113-Simulador!$E$7)/Simulador!$G$7)&gt;=1),0,IF((($A113-Simulador!$E$7)/Simulador!$G$7)&lt;Simulador!$B$11,Simulador!$B$9*(1-COS(PI()*(($A113-Simulador!$E$7)/Simulador!$G$7)/Simulador!$B$11))/2,IF((($A113-Simulador!$E$7)/Simulador!$G$7)&gt;1-Simulador!$B$11,Simulador!$B$9*(1-COS(PI()*(1-(($A113-Simulador!$E$7)/Simulador!$G$7))/Simulador!$B$11))/2,Simulador!$B$9)))</f>
        <v>7.5384590667704785</v>
      </c>
      <c r="E113" s="18">
        <f>IF(OR((($A113-Simulador!$E$8)/Simulador!$G$8)&lt;=0,(($A113-Simulador!$E$8)/Simulador!$G$8)&gt;=1),0,IF((($A113-Simulador!$E$8)/Simulador!$G$8)&lt;Simulador!$B$11,Simulador!$B$10*(1-COS(PI()*(($A113-Simulador!$E$8)/Simulador!$G$8)/Simulador!$B$11))/2,IF((($A113-Simulador!$E$8)/Simulador!$G$8)&gt;1-Simulador!$B$11,Simulador!$B$10*(1-COS(PI()*(1-(($A113-Simulador!$E$8)/Simulador!$G$8))/Simulador!$B$11))/2,Simulador!$B$10)))</f>
        <v>0</v>
      </c>
      <c r="F113" s="18">
        <f>IF(OR((($A113-Simulador!$E$9)/Simulador!$G$9)&lt;=0,(($A113-Simulador!$E$9)/Simulador!$G$9)&gt;=1),0,IF((($A113-Simulador!$E$9)/Simulador!$G$9)&lt;Simulador!$B$11,Simulador!$B$10*(1-COS(PI()*(($A113-Simulador!$E$9)/Simulador!$G$9)/Simulador!$B$11))/2,IF((($A113-Simulador!$E$9)/Simulador!$G$9)&gt;1-Simulador!$B$11,Simulador!$B$10*(1-COS(PI()*(1-(($A113-Simulador!$E$9)/Simulador!$G$9))/Simulador!$B$11))/2,Simulador!$B$10)))</f>
        <v>0</v>
      </c>
      <c r="G113" s="18">
        <f>IF(OR((($A113-Simulador!$E$10)/Simulador!$G$10)&lt;=0,(($A113-Simulador!$E$10)/Simulador!$G$10)&gt;=1),0,IF((($A113-Simulador!$E$10)/Simulador!$G$10)&lt;Simulador!$B$11,Simulador!$B$10*(1-COS(PI()*(($A113-Simulador!$E$10)/Simulador!$G$10)/Simulador!$B$11))/2,IF((($A113-Simulador!$E$10)/Simulador!$G$10)&gt;1-Simulador!$B$11,Simulador!$B$10*(1-COS(PI()*(1-(($A113-Simulador!$E$10)/Simulador!$G$10))/Simulador!$B$11))/2,Simulador!$B$10)))</f>
        <v>0</v>
      </c>
    </row>
    <row r="114" spans="1:7" x14ac:dyDescent="0.25">
      <c r="A114" s="17">
        <f>A113+Simulador!$B$14</f>
        <v>224</v>
      </c>
      <c r="B114" s="18">
        <f>IF(OR((($A114-Simulador!$E$5)/Simulador!$G$5)&lt;=0,(($A114-Simulador!$E$5)/Simulador!$G$5)&gt;=1),0,IF((($A114-Simulador!$E$5)/Simulador!$G$5)&lt;Simulador!$B$11,Simulador!$B$9*(1-COS(PI()*(($A114-Simulador!$E$5)/Simulador!$G$5)/Simulador!$B$11))/2,IF((($A114-Simulador!$E$5)/Simulador!$G$5)&gt;1-Simulador!$B$11,Simulador!$B$9*(1-COS(PI()*(1-(($A114-Simulador!$E$5)/Simulador!$G$5))/Simulador!$B$11))/2,Simulador!$B$9)))</f>
        <v>9.5</v>
      </c>
      <c r="C114" s="18">
        <f>IF(OR((($A114-Simulador!$E$6)/Simulador!$G$6)&lt;=0,(($A114-Simulador!$E$6)/Simulador!$G$6)&gt;=1),0,IF((($A114-Simulador!$E$6)/Simulador!$G$6)&lt;Simulador!$B$11,Simulador!$B$9*(1-COS(PI()*(($A114-Simulador!$E$6)/Simulador!$G$6)/Simulador!$B$11))/2,IF((($A114-Simulador!$E$6)/Simulador!$G$6)&gt;1-Simulador!$B$11,Simulador!$B$9*(1-COS(PI()*(1-(($A114-Simulador!$E$6)/Simulador!$G$6))/Simulador!$B$11))/2,Simulador!$B$9)))</f>
        <v>9.0786581566038063</v>
      </c>
      <c r="D114" s="18">
        <f>IF(OR((($A114-Simulador!$E$7)/Simulador!$G$7)&lt;=0,(($A114-Simulador!$E$7)/Simulador!$G$7)&gt;=1),0,IF((($A114-Simulador!$E$7)/Simulador!$G$7)&lt;Simulador!$B$11,Simulador!$B$9*(1-COS(PI()*(($A114-Simulador!$E$7)/Simulador!$G$7)/Simulador!$B$11))/2,IF((($A114-Simulador!$E$7)/Simulador!$G$7)&gt;1-Simulador!$B$11,Simulador!$B$9*(1-COS(PI()*(1-(($A114-Simulador!$E$7)/Simulador!$G$7))/Simulador!$B$11))/2,Simulador!$B$9)))</f>
        <v>7.7679199257404585</v>
      </c>
      <c r="E114" s="18">
        <f>IF(OR((($A114-Simulador!$E$8)/Simulador!$G$8)&lt;=0,(($A114-Simulador!$E$8)/Simulador!$G$8)&gt;=1),0,IF((($A114-Simulador!$E$8)/Simulador!$G$8)&lt;Simulador!$B$11,Simulador!$B$10*(1-COS(PI()*(($A114-Simulador!$E$8)/Simulador!$G$8)/Simulador!$B$11))/2,IF((($A114-Simulador!$E$8)/Simulador!$G$8)&gt;1-Simulador!$B$11,Simulador!$B$10*(1-COS(PI()*(1-(($A114-Simulador!$E$8)/Simulador!$G$8))/Simulador!$B$11))/2,Simulador!$B$10)))</f>
        <v>0</v>
      </c>
      <c r="F114" s="18">
        <f>IF(OR((($A114-Simulador!$E$9)/Simulador!$G$9)&lt;=0,(($A114-Simulador!$E$9)/Simulador!$G$9)&gt;=1),0,IF((($A114-Simulador!$E$9)/Simulador!$G$9)&lt;Simulador!$B$11,Simulador!$B$10*(1-COS(PI()*(($A114-Simulador!$E$9)/Simulador!$G$9)/Simulador!$B$11))/2,IF((($A114-Simulador!$E$9)/Simulador!$G$9)&gt;1-Simulador!$B$11,Simulador!$B$10*(1-COS(PI()*(1-(($A114-Simulador!$E$9)/Simulador!$G$9))/Simulador!$B$11))/2,Simulador!$B$10)))</f>
        <v>0</v>
      </c>
      <c r="G114" s="18">
        <f>IF(OR((($A114-Simulador!$E$10)/Simulador!$G$10)&lt;=0,(($A114-Simulador!$E$10)/Simulador!$G$10)&gt;=1),0,IF((($A114-Simulador!$E$10)/Simulador!$G$10)&lt;Simulador!$B$11,Simulador!$B$10*(1-COS(PI()*(($A114-Simulador!$E$10)/Simulador!$G$10)/Simulador!$B$11))/2,IF((($A114-Simulador!$E$10)/Simulador!$G$10)&gt;1-Simulador!$B$11,Simulador!$B$10*(1-COS(PI()*(1-(($A114-Simulador!$E$10)/Simulador!$G$10))/Simulador!$B$11))/2,Simulador!$B$10)))</f>
        <v>0</v>
      </c>
    </row>
    <row r="115" spans="1:7" x14ac:dyDescent="0.25">
      <c r="A115" s="17">
        <f>A114+Simulador!$B$14</f>
        <v>226</v>
      </c>
      <c r="B115" s="18">
        <f>IF(OR((($A115-Simulador!$E$5)/Simulador!$G$5)&lt;=0,(($A115-Simulador!$E$5)/Simulador!$G$5)&gt;=1),0,IF((($A115-Simulador!$E$5)/Simulador!$G$5)&lt;Simulador!$B$11,Simulador!$B$9*(1-COS(PI()*(($A115-Simulador!$E$5)/Simulador!$G$5)/Simulador!$B$11))/2,IF((($A115-Simulador!$E$5)/Simulador!$G$5)&gt;1-Simulador!$B$11,Simulador!$B$9*(1-COS(PI()*(1-(($A115-Simulador!$E$5)/Simulador!$G$5))/Simulador!$B$11))/2,Simulador!$B$9)))</f>
        <v>9.5</v>
      </c>
      <c r="C115" s="18">
        <f>IF(OR((($A115-Simulador!$E$6)/Simulador!$G$6)&lt;=0,(($A115-Simulador!$E$6)/Simulador!$G$6)&gt;=1),0,IF((($A115-Simulador!$E$6)/Simulador!$G$6)&lt;Simulador!$B$11,Simulador!$B$9*(1-COS(PI()*(($A115-Simulador!$E$6)/Simulador!$G$6)/Simulador!$B$11))/2,IF((($A115-Simulador!$E$6)/Simulador!$G$6)&gt;1-Simulador!$B$11,Simulador!$B$9*(1-COS(PI()*(1-(($A115-Simulador!$E$6)/Simulador!$G$6))/Simulador!$B$11))/2,Simulador!$B$9)))</f>
        <v>9.1899411380074483</v>
      </c>
      <c r="D115" s="18">
        <f>IF(OR((($A115-Simulador!$E$7)/Simulador!$G$7)&lt;=0,(($A115-Simulador!$E$7)/Simulador!$G$7)&gt;=1),0,IF((($A115-Simulador!$E$7)/Simulador!$G$7)&lt;Simulador!$B$11,Simulador!$B$9*(1-COS(PI()*(($A115-Simulador!$E$7)/Simulador!$G$7)/Simulador!$B$11))/2,IF((($A115-Simulador!$E$7)/Simulador!$G$7)&gt;1-Simulador!$B$11,Simulador!$B$9*(1-COS(PI()*(1-(($A115-Simulador!$E$7)/Simulador!$G$7))/Simulador!$B$11))/2,Simulador!$B$9)))</f>
        <v>7.9861320996354905</v>
      </c>
      <c r="E115" s="18">
        <f>IF(OR((($A115-Simulador!$E$8)/Simulador!$G$8)&lt;=0,(($A115-Simulador!$E$8)/Simulador!$G$8)&gt;=1),0,IF((($A115-Simulador!$E$8)/Simulador!$G$8)&lt;Simulador!$B$11,Simulador!$B$10*(1-COS(PI()*(($A115-Simulador!$E$8)/Simulador!$G$8)/Simulador!$B$11))/2,IF((($A115-Simulador!$E$8)/Simulador!$G$8)&gt;1-Simulador!$B$11,Simulador!$B$10*(1-COS(PI()*(1-(($A115-Simulador!$E$8)/Simulador!$G$8))/Simulador!$B$11))/2,Simulador!$B$10)))</f>
        <v>0</v>
      </c>
      <c r="F115" s="18">
        <f>IF(OR((($A115-Simulador!$E$9)/Simulador!$G$9)&lt;=0,(($A115-Simulador!$E$9)/Simulador!$G$9)&gt;=1),0,IF((($A115-Simulador!$E$9)/Simulador!$G$9)&lt;Simulador!$B$11,Simulador!$B$10*(1-COS(PI()*(($A115-Simulador!$E$9)/Simulador!$G$9)/Simulador!$B$11))/2,IF((($A115-Simulador!$E$9)/Simulador!$G$9)&gt;1-Simulador!$B$11,Simulador!$B$10*(1-COS(PI()*(1-(($A115-Simulador!$E$9)/Simulador!$G$9))/Simulador!$B$11))/2,Simulador!$B$10)))</f>
        <v>0</v>
      </c>
      <c r="G115" s="18">
        <f>IF(OR((($A115-Simulador!$E$10)/Simulador!$G$10)&lt;=0,(($A115-Simulador!$E$10)/Simulador!$G$10)&gt;=1),0,IF((($A115-Simulador!$E$10)/Simulador!$G$10)&lt;Simulador!$B$11,Simulador!$B$10*(1-COS(PI()*(($A115-Simulador!$E$10)/Simulador!$G$10)/Simulador!$B$11))/2,IF((($A115-Simulador!$E$10)/Simulador!$G$10)&gt;1-Simulador!$B$11,Simulador!$B$10*(1-COS(PI()*(1-(($A115-Simulador!$E$10)/Simulador!$G$10))/Simulador!$B$11))/2,Simulador!$B$10)))</f>
        <v>0</v>
      </c>
    </row>
    <row r="116" spans="1:7" x14ac:dyDescent="0.25">
      <c r="A116" s="17">
        <f>A115+Simulador!$B$14</f>
        <v>228</v>
      </c>
      <c r="B116" s="18">
        <f>IF(OR((($A116-Simulador!$E$5)/Simulador!$G$5)&lt;=0,(($A116-Simulador!$E$5)/Simulador!$G$5)&gt;=1),0,IF((($A116-Simulador!$E$5)/Simulador!$G$5)&lt;Simulador!$B$11,Simulador!$B$9*(1-COS(PI()*(($A116-Simulador!$E$5)/Simulador!$G$5)/Simulador!$B$11))/2,IF((($A116-Simulador!$E$5)/Simulador!$G$5)&gt;1-Simulador!$B$11,Simulador!$B$9*(1-COS(PI()*(1-(($A116-Simulador!$E$5)/Simulador!$G$5))/Simulador!$B$11))/2,Simulador!$B$9)))</f>
        <v>9.5</v>
      </c>
      <c r="C116" s="18">
        <f>IF(OR((($A116-Simulador!$E$6)/Simulador!$G$6)&lt;=0,(($A116-Simulador!$E$6)/Simulador!$G$6)&gt;=1),0,IF((($A116-Simulador!$E$6)/Simulador!$G$6)&lt;Simulador!$B$11,Simulador!$B$9*(1-COS(PI()*(($A116-Simulador!$E$6)/Simulador!$G$6)/Simulador!$B$11))/2,IF((($A116-Simulador!$E$6)/Simulador!$G$6)&gt;1-Simulador!$B$11,Simulador!$B$9*(1-COS(PI()*(1-(($A116-Simulador!$E$6)/Simulador!$G$6))/Simulador!$B$11))/2,Simulador!$B$9)))</f>
        <v>9.2846751383772457</v>
      </c>
      <c r="D116" s="18">
        <f>IF(OR((($A116-Simulador!$E$7)/Simulador!$G$7)&lt;=0,(($A116-Simulador!$E$7)/Simulador!$G$7)&gt;=1),0,IF((($A116-Simulador!$E$7)/Simulador!$G$7)&lt;Simulador!$B$11,Simulador!$B$9*(1-COS(PI()*(($A116-Simulador!$E$7)/Simulador!$G$7)/Simulador!$B$11))/2,IF((($A116-Simulador!$E$7)/Simulador!$G$7)&gt;1-Simulador!$B$11,Simulador!$B$9*(1-COS(PI()*(1-(($A116-Simulador!$E$7)/Simulador!$G$7))/Simulador!$B$11))/2,Simulador!$B$9)))</f>
        <v>8.192282246788448</v>
      </c>
      <c r="E116" s="18">
        <f>IF(OR((($A116-Simulador!$E$8)/Simulador!$G$8)&lt;=0,(($A116-Simulador!$E$8)/Simulador!$G$8)&gt;=1),0,IF((($A116-Simulador!$E$8)/Simulador!$G$8)&lt;Simulador!$B$11,Simulador!$B$10*(1-COS(PI()*(($A116-Simulador!$E$8)/Simulador!$G$8)/Simulador!$B$11))/2,IF((($A116-Simulador!$E$8)/Simulador!$G$8)&gt;1-Simulador!$B$11,Simulador!$B$10*(1-COS(PI()*(1-(($A116-Simulador!$E$8)/Simulador!$G$8))/Simulador!$B$11))/2,Simulador!$B$10)))</f>
        <v>0</v>
      </c>
      <c r="F116" s="18">
        <f>IF(OR((($A116-Simulador!$E$9)/Simulador!$G$9)&lt;=0,(($A116-Simulador!$E$9)/Simulador!$G$9)&gt;=1),0,IF((($A116-Simulador!$E$9)/Simulador!$G$9)&lt;Simulador!$B$11,Simulador!$B$10*(1-COS(PI()*(($A116-Simulador!$E$9)/Simulador!$G$9)/Simulador!$B$11))/2,IF((($A116-Simulador!$E$9)/Simulador!$G$9)&gt;1-Simulador!$B$11,Simulador!$B$10*(1-COS(PI()*(1-(($A116-Simulador!$E$9)/Simulador!$G$9))/Simulador!$B$11))/2,Simulador!$B$10)))</f>
        <v>0</v>
      </c>
      <c r="G116" s="18">
        <f>IF(OR((($A116-Simulador!$E$10)/Simulador!$G$10)&lt;=0,(($A116-Simulador!$E$10)/Simulador!$G$10)&gt;=1),0,IF((($A116-Simulador!$E$10)/Simulador!$G$10)&lt;Simulador!$B$11,Simulador!$B$10*(1-COS(PI()*(($A116-Simulador!$E$10)/Simulador!$G$10)/Simulador!$B$11))/2,IF((($A116-Simulador!$E$10)/Simulador!$G$10)&gt;1-Simulador!$B$11,Simulador!$B$10*(1-COS(PI()*(1-(($A116-Simulador!$E$10)/Simulador!$G$10))/Simulador!$B$11))/2,Simulador!$B$10)))</f>
        <v>0</v>
      </c>
    </row>
    <row r="117" spans="1:7" x14ac:dyDescent="0.25">
      <c r="A117" s="17">
        <f>A116+Simulador!$B$14</f>
        <v>230</v>
      </c>
      <c r="B117" s="18">
        <f>IF(OR((($A117-Simulador!$E$5)/Simulador!$G$5)&lt;=0,(($A117-Simulador!$E$5)/Simulador!$G$5)&gt;=1),0,IF((($A117-Simulador!$E$5)/Simulador!$G$5)&lt;Simulador!$B$11,Simulador!$B$9*(1-COS(PI()*(($A117-Simulador!$E$5)/Simulador!$G$5)/Simulador!$B$11))/2,IF((($A117-Simulador!$E$5)/Simulador!$G$5)&gt;1-Simulador!$B$11,Simulador!$B$9*(1-COS(PI()*(1-(($A117-Simulador!$E$5)/Simulador!$G$5))/Simulador!$B$11))/2,Simulador!$B$9)))</f>
        <v>9.5</v>
      </c>
      <c r="C117" s="18">
        <f>IF(OR((($A117-Simulador!$E$6)/Simulador!$G$6)&lt;=0,(($A117-Simulador!$E$6)/Simulador!$G$6)&gt;=1),0,IF((($A117-Simulador!$E$6)/Simulador!$G$6)&lt;Simulador!$B$11,Simulador!$B$9*(1-COS(PI()*(($A117-Simulador!$E$6)/Simulador!$G$6)/Simulador!$B$11))/2,IF((($A117-Simulador!$E$6)/Simulador!$G$6)&gt;1-Simulador!$B$11,Simulador!$B$9*(1-COS(PI()*(1-(($A117-Simulador!$E$6)/Simulador!$G$6))/Simulador!$B$11))/2,Simulador!$B$9)))</f>
        <v>9.3625070559204797</v>
      </c>
      <c r="D117" s="18">
        <f>IF(OR((($A117-Simulador!$E$7)/Simulador!$G$7)&lt;=0,(($A117-Simulador!$E$7)/Simulador!$G$7)&gt;=1),0,IF((($A117-Simulador!$E$7)/Simulador!$G$7)&lt;Simulador!$B$11,Simulador!$B$9*(1-COS(PI()*(($A117-Simulador!$E$7)/Simulador!$G$7)/Simulador!$B$11))/2,IF((($A117-Simulador!$E$7)/Simulador!$G$7)&gt;1-Simulador!$B$11,Simulador!$B$9*(1-COS(PI()*(1-(($A117-Simulador!$E$7)/Simulador!$G$7))/Simulador!$B$11))/2,Simulador!$B$9)))</f>
        <v>8.3856019842930483</v>
      </c>
      <c r="E117" s="18">
        <f>IF(OR((($A117-Simulador!$E$8)/Simulador!$G$8)&lt;=0,(($A117-Simulador!$E$8)/Simulador!$G$8)&gt;=1),0,IF((($A117-Simulador!$E$8)/Simulador!$G$8)&lt;Simulador!$B$11,Simulador!$B$10*(1-COS(PI()*(($A117-Simulador!$E$8)/Simulador!$G$8)/Simulador!$B$11))/2,IF((($A117-Simulador!$E$8)/Simulador!$G$8)&gt;1-Simulador!$B$11,Simulador!$B$10*(1-COS(PI()*(1-(($A117-Simulador!$E$8)/Simulador!$G$8))/Simulador!$B$11))/2,Simulador!$B$10)))</f>
        <v>0</v>
      </c>
      <c r="F117" s="18">
        <f>IF(OR((($A117-Simulador!$E$9)/Simulador!$G$9)&lt;=0,(($A117-Simulador!$E$9)/Simulador!$G$9)&gt;=1),0,IF((($A117-Simulador!$E$9)/Simulador!$G$9)&lt;Simulador!$B$11,Simulador!$B$10*(1-COS(PI()*(($A117-Simulador!$E$9)/Simulador!$G$9)/Simulador!$B$11))/2,IF((($A117-Simulador!$E$9)/Simulador!$G$9)&gt;1-Simulador!$B$11,Simulador!$B$10*(1-COS(PI()*(1-(($A117-Simulador!$E$9)/Simulador!$G$9))/Simulador!$B$11))/2,Simulador!$B$10)))</f>
        <v>0</v>
      </c>
      <c r="G117" s="18">
        <f>IF(OR((($A117-Simulador!$E$10)/Simulador!$G$10)&lt;=0,(($A117-Simulador!$E$10)/Simulador!$G$10)&gt;=1),0,IF((($A117-Simulador!$E$10)/Simulador!$G$10)&lt;Simulador!$B$11,Simulador!$B$10*(1-COS(PI()*(($A117-Simulador!$E$10)/Simulador!$G$10)/Simulador!$B$11))/2,IF((($A117-Simulador!$E$10)/Simulador!$G$10)&gt;1-Simulador!$B$11,Simulador!$B$10*(1-COS(PI()*(1-(($A117-Simulador!$E$10)/Simulador!$G$10))/Simulador!$B$11))/2,Simulador!$B$10)))</f>
        <v>0</v>
      </c>
    </row>
    <row r="118" spans="1:7" x14ac:dyDescent="0.25">
      <c r="A118" s="17">
        <f>A117+Simulador!$B$14</f>
        <v>232</v>
      </c>
      <c r="B118" s="18">
        <f>IF(OR((($A118-Simulador!$E$5)/Simulador!$G$5)&lt;=0,(($A118-Simulador!$E$5)/Simulador!$G$5)&gt;=1),0,IF((($A118-Simulador!$E$5)/Simulador!$G$5)&lt;Simulador!$B$11,Simulador!$B$9*(1-COS(PI()*(($A118-Simulador!$E$5)/Simulador!$G$5)/Simulador!$B$11))/2,IF((($A118-Simulador!$E$5)/Simulador!$G$5)&gt;1-Simulador!$B$11,Simulador!$B$9*(1-COS(PI()*(1-(($A118-Simulador!$E$5)/Simulador!$G$5))/Simulador!$B$11))/2,Simulador!$B$9)))</f>
        <v>9.5</v>
      </c>
      <c r="C118" s="18">
        <f>IF(OR((($A118-Simulador!$E$6)/Simulador!$G$6)&lt;=0,(($A118-Simulador!$E$6)/Simulador!$G$6)&gt;=1),0,IF((($A118-Simulador!$E$6)/Simulador!$G$6)&lt;Simulador!$B$11,Simulador!$B$9*(1-COS(PI()*(($A118-Simulador!$E$6)/Simulador!$G$6)/Simulador!$B$11))/2,IF((($A118-Simulador!$E$6)/Simulador!$G$6)&gt;1-Simulador!$B$11,Simulador!$B$9*(1-COS(PI()*(1-(($A118-Simulador!$E$6)/Simulador!$G$6))/Simulador!$B$11))/2,Simulador!$B$9)))</f>
        <v>9.4231467879337156</v>
      </c>
      <c r="D118" s="18">
        <f>IF(OR((($A118-Simulador!$E$7)/Simulador!$G$7)&lt;=0,(($A118-Simulador!$E$7)/Simulador!$G$7)&gt;=1),0,IF((($A118-Simulador!$E$7)/Simulador!$G$7)&lt;Simulador!$B$11,Simulador!$B$9*(1-COS(PI()*(($A118-Simulador!$E$7)/Simulador!$G$7)/Simulador!$B$11))/2,IF((($A118-Simulador!$E$7)/Simulador!$G$7)&gt;1-Simulador!$B$11,Simulador!$B$9*(1-COS(PI()*(1-(($A118-Simulador!$E$7)/Simulador!$G$7))/Simulador!$B$11))/2,Simulador!$B$9)))</f>
        <v>8.565370751995447</v>
      </c>
      <c r="E118" s="18">
        <f>IF(OR((($A118-Simulador!$E$8)/Simulador!$G$8)&lt;=0,(($A118-Simulador!$E$8)/Simulador!$G$8)&gt;=1),0,IF((($A118-Simulador!$E$8)/Simulador!$G$8)&lt;Simulador!$B$11,Simulador!$B$10*(1-COS(PI()*(($A118-Simulador!$E$8)/Simulador!$G$8)/Simulador!$B$11))/2,IF((($A118-Simulador!$E$8)/Simulador!$G$8)&gt;1-Simulador!$B$11,Simulador!$B$10*(1-COS(PI()*(1-(($A118-Simulador!$E$8)/Simulador!$G$8))/Simulador!$B$11))/2,Simulador!$B$10)))</f>
        <v>0</v>
      </c>
      <c r="F118" s="18">
        <f>IF(OR((($A118-Simulador!$E$9)/Simulador!$G$9)&lt;=0,(($A118-Simulador!$E$9)/Simulador!$G$9)&gt;=1),0,IF((($A118-Simulador!$E$9)/Simulador!$G$9)&lt;Simulador!$B$11,Simulador!$B$10*(1-COS(PI()*(($A118-Simulador!$E$9)/Simulador!$G$9)/Simulador!$B$11))/2,IF((($A118-Simulador!$E$9)/Simulador!$G$9)&gt;1-Simulador!$B$11,Simulador!$B$10*(1-COS(PI()*(1-(($A118-Simulador!$E$9)/Simulador!$G$9))/Simulador!$B$11))/2,Simulador!$B$10)))</f>
        <v>0</v>
      </c>
      <c r="G118" s="18">
        <f>IF(OR((($A118-Simulador!$E$10)/Simulador!$G$10)&lt;=0,(($A118-Simulador!$E$10)/Simulador!$G$10)&gt;=1),0,IF((($A118-Simulador!$E$10)/Simulador!$G$10)&lt;Simulador!$B$11,Simulador!$B$10*(1-COS(PI()*(($A118-Simulador!$E$10)/Simulador!$G$10)/Simulador!$B$11))/2,IF((($A118-Simulador!$E$10)/Simulador!$G$10)&gt;1-Simulador!$B$11,Simulador!$B$10*(1-COS(PI()*(1-(($A118-Simulador!$E$10)/Simulador!$G$10))/Simulador!$B$11))/2,Simulador!$B$10)))</f>
        <v>0</v>
      </c>
    </row>
    <row r="119" spans="1:7" x14ac:dyDescent="0.25">
      <c r="A119" s="17">
        <f>A118+Simulador!$B$14</f>
        <v>234</v>
      </c>
      <c r="B119" s="18">
        <f>IF(OR((($A119-Simulador!$E$5)/Simulador!$G$5)&lt;=0,(($A119-Simulador!$E$5)/Simulador!$G$5)&gt;=1),0,IF((($A119-Simulador!$E$5)/Simulador!$G$5)&lt;Simulador!$B$11,Simulador!$B$9*(1-COS(PI()*(($A119-Simulador!$E$5)/Simulador!$G$5)/Simulador!$B$11))/2,IF((($A119-Simulador!$E$5)/Simulador!$G$5)&gt;1-Simulador!$B$11,Simulador!$B$9*(1-COS(PI()*(1-(($A119-Simulador!$E$5)/Simulador!$G$5))/Simulador!$B$11))/2,Simulador!$B$9)))</f>
        <v>9.5</v>
      </c>
      <c r="C119" s="18">
        <f>IF(OR((($A119-Simulador!$E$6)/Simulador!$G$6)&lt;=0,(($A119-Simulador!$E$6)/Simulador!$G$6)&gt;=1),0,IF((($A119-Simulador!$E$6)/Simulador!$G$6)&lt;Simulador!$B$11,Simulador!$B$9*(1-COS(PI()*(($A119-Simulador!$E$6)/Simulador!$G$6)/Simulador!$B$11))/2,IF((($A119-Simulador!$E$6)/Simulador!$G$6)&gt;1-Simulador!$B$11,Simulador!$B$9*(1-COS(PI()*(1-(($A119-Simulador!$E$6)/Simulador!$G$6))/Simulador!$B$11))/2,Simulador!$B$9)))</f>
        <v>9.4663683121018369</v>
      </c>
      <c r="D119" s="18">
        <f>IF(OR((($A119-Simulador!$E$7)/Simulador!$G$7)&lt;=0,(($A119-Simulador!$E$7)/Simulador!$G$7)&gt;=1),0,IF((($A119-Simulador!$E$7)/Simulador!$G$7)&lt;Simulador!$B$11,Simulador!$B$9*(1-COS(PI()*(($A119-Simulador!$E$7)/Simulador!$G$7)/Simulador!$B$11))/2,IF((($A119-Simulador!$E$7)/Simulador!$G$7)&gt;1-Simulador!$B$11,Simulador!$B$9*(1-COS(PI()*(1-(($A119-Simulador!$E$7)/Simulador!$G$7))/Simulador!$B$11))/2,Simulador!$B$9)))</f>
        <v>8.7309184982362424</v>
      </c>
      <c r="E119" s="18">
        <f>IF(OR((($A119-Simulador!$E$8)/Simulador!$G$8)&lt;=0,(($A119-Simulador!$E$8)/Simulador!$G$8)&gt;=1),0,IF((($A119-Simulador!$E$8)/Simulador!$G$8)&lt;Simulador!$B$11,Simulador!$B$10*(1-COS(PI()*(($A119-Simulador!$E$8)/Simulador!$G$8)/Simulador!$B$11))/2,IF((($A119-Simulador!$E$8)/Simulador!$G$8)&gt;1-Simulador!$B$11,Simulador!$B$10*(1-COS(PI()*(1-(($A119-Simulador!$E$8)/Simulador!$G$8))/Simulador!$B$11))/2,Simulador!$B$10)))</f>
        <v>0</v>
      </c>
      <c r="F119" s="18">
        <f>IF(OR((($A119-Simulador!$E$9)/Simulador!$G$9)&lt;=0,(($A119-Simulador!$E$9)/Simulador!$G$9)&gt;=1),0,IF((($A119-Simulador!$E$9)/Simulador!$G$9)&lt;Simulador!$B$11,Simulador!$B$10*(1-COS(PI()*(($A119-Simulador!$E$9)/Simulador!$G$9)/Simulador!$B$11))/2,IF((($A119-Simulador!$E$9)/Simulador!$G$9)&gt;1-Simulador!$B$11,Simulador!$B$10*(1-COS(PI()*(1-(($A119-Simulador!$E$9)/Simulador!$G$9))/Simulador!$B$11))/2,Simulador!$B$10)))</f>
        <v>0</v>
      </c>
      <c r="G119" s="18">
        <f>IF(OR((($A119-Simulador!$E$10)/Simulador!$G$10)&lt;=0,(($A119-Simulador!$E$10)/Simulador!$G$10)&gt;=1),0,IF((($A119-Simulador!$E$10)/Simulador!$G$10)&lt;Simulador!$B$11,Simulador!$B$10*(1-COS(PI()*(($A119-Simulador!$E$10)/Simulador!$G$10)/Simulador!$B$11))/2,IF((($A119-Simulador!$E$10)/Simulador!$G$10)&gt;1-Simulador!$B$11,Simulador!$B$10*(1-COS(PI()*(1-(($A119-Simulador!$E$10)/Simulador!$G$10))/Simulador!$B$11))/2,Simulador!$B$10)))</f>
        <v>0</v>
      </c>
    </row>
    <row r="120" spans="1:7" x14ac:dyDescent="0.25">
      <c r="A120" s="17">
        <f>A119+Simulador!$B$14</f>
        <v>236</v>
      </c>
      <c r="B120" s="18">
        <f>IF(OR((($A120-Simulador!$E$5)/Simulador!$G$5)&lt;=0,(($A120-Simulador!$E$5)/Simulador!$G$5)&gt;=1),0,IF((($A120-Simulador!$E$5)/Simulador!$G$5)&lt;Simulador!$B$11,Simulador!$B$9*(1-COS(PI()*(($A120-Simulador!$E$5)/Simulador!$G$5)/Simulador!$B$11))/2,IF((($A120-Simulador!$E$5)/Simulador!$G$5)&gt;1-Simulador!$B$11,Simulador!$B$9*(1-COS(PI()*(1-(($A120-Simulador!$E$5)/Simulador!$G$5))/Simulador!$B$11))/2,Simulador!$B$9)))</f>
        <v>9.5</v>
      </c>
      <c r="C120" s="18">
        <f>IF(OR((($A120-Simulador!$E$6)/Simulador!$G$6)&lt;=0,(($A120-Simulador!$E$6)/Simulador!$G$6)&gt;=1),0,IF((($A120-Simulador!$E$6)/Simulador!$G$6)&lt;Simulador!$B$11,Simulador!$B$9*(1-COS(PI()*(($A120-Simulador!$E$6)/Simulador!$G$6)/Simulador!$B$11))/2,IF((($A120-Simulador!$E$6)/Simulador!$G$6)&gt;1-Simulador!$B$11,Simulador!$B$9*(1-COS(PI()*(1-(($A120-Simulador!$E$6)/Simulador!$G$6))/Simulador!$B$11))/2,Simulador!$B$9)))</f>
        <v>9.4920105289504395</v>
      </c>
      <c r="D120" s="18">
        <f>IF(OR((($A120-Simulador!$E$7)/Simulador!$G$7)&lt;=0,(($A120-Simulador!$E$7)/Simulador!$G$7)&gt;=1),0,IF((($A120-Simulador!$E$7)/Simulador!$G$7)&lt;Simulador!$B$11,Simulador!$B$9*(1-COS(PI()*(($A120-Simulador!$E$7)/Simulador!$G$7)/Simulador!$B$11))/2,IF((($A120-Simulador!$E$7)/Simulador!$G$7)&gt;1-Simulador!$B$11,Simulador!$B$9*(1-COS(PI()*(1-(($A120-Simulador!$E$7)/Simulador!$G$7))/Simulador!$B$11))/2,Simulador!$B$9)))</f>
        <v>8.8816281773322654</v>
      </c>
      <c r="E120" s="18">
        <f>IF(OR((($A120-Simulador!$E$8)/Simulador!$G$8)&lt;=0,(($A120-Simulador!$E$8)/Simulador!$G$8)&gt;=1),0,IF((($A120-Simulador!$E$8)/Simulador!$G$8)&lt;Simulador!$B$11,Simulador!$B$10*(1-COS(PI()*(($A120-Simulador!$E$8)/Simulador!$G$8)/Simulador!$B$11))/2,IF((($A120-Simulador!$E$8)/Simulador!$G$8)&gt;1-Simulador!$B$11,Simulador!$B$10*(1-COS(PI()*(1-(($A120-Simulador!$E$8)/Simulador!$G$8))/Simulador!$B$11))/2,Simulador!$B$10)))</f>
        <v>0</v>
      </c>
      <c r="F120" s="18">
        <f>IF(OR((($A120-Simulador!$E$9)/Simulador!$G$9)&lt;=0,(($A120-Simulador!$E$9)/Simulador!$G$9)&gt;=1),0,IF((($A120-Simulador!$E$9)/Simulador!$G$9)&lt;Simulador!$B$11,Simulador!$B$10*(1-COS(PI()*(($A120-Simulador!$E$9)/Simulador!$G$9)/Simulador!$B$11))/2,IF((($A120-Simulador!$E$9)/Simulador!$G$9)&gt;1-Simulador!$B$11,Simulador!$B$10*(1-COS(PI()*(1-(($A120-Simulador!$E$9)/Simulador!$G$9))/Simulador!$B$11))/2,Simulador!$B$10)))</f>
        <v>0</v>
      </c>
      <c r="G120" s="18">
        <f>IF(OR((($A120-Simulador!$E$10)/Simulador!$G$10)&lt;=0,(($A120-Simulador!$E$10)/Simulador!$G$10)&gt;=1),0,IF((($A120-Simulador!$E$10)/Simulador!$G$10)&lt;Simulador!$B$11,Simulador!$B$10*(1-COS(PI()*(($A120-Simulador!$E$10)/Simulador!$G$10)/Simulador!$B$11))/2,IF((($A120-Simulador!$E$10)/Simulador!$G$10)&gt;1-Simulador!$B$11,Simulador!$B$10*(1-COS(PI()*(1-(($A120-Simulador!$E$10)/Simulador!$G$10))/Simulador!$B$11))/2,Simulador!$B$10)))</f>
        <v>0</v>
      </c>
    </row>
    <row r="121" spans="1:7" x14ac:dyDescent="0.25">
      <c r="A121" s="17">
        <f>A120+Simulador!$B$14</f>
        <v>238</v>
      </c>
      <c r="B121" s="18">
        <f>IF(OR((($A121-Simulador!$E$5)/Simulador!$G$5)&lt;=0,(($A121-Simulador!$E$5)/Simulador!$G$5)&gt;=1),0,IF((($A121-Simulador!$E$5)/Simulador!$G$5)&lt;Simulador!$B$11,Simulador!$B$9*(1-COS(PI()*(($A121-Simulador!$E$5)/Simulador!$G$5)/Simulador!$B$11))/2,IF((($A121-Simulador!$E$5)/Simulador!$G$5)&gt;1-Simulador!$B$11,Simulador!$B$9*(1-COS(PI()*(1-(($A121-Simulador!$E$5)/Simulador!$G$5))/Simulador!$B$11))/2,Simulador!$B$9)))</f>
        <v>9.5</v>
      </c>
      <c r="C121" s="18">
        <f>IF(OR((($A121-Simulador!$E$6)/Simulador!$G$6)&lt;=0,(($A121-Simulador!$E$6)/Simulador!$G$6)&gt;=1),0,IF((($A121-Simulador!$E$6)/Simulador!$G$6)&lt;Simulador!$B$11,Simulador!$B$9*(1-COS(PI()*(($A121-Simulador!$E$6)/Simulador!$G$6)/Simulador!$B$11))/2,IF((($A121-Simulador!$E$6)/Simulador!$G$6)&gt;1-Simulador!$B$11,Simulador!$B$9*(1-COS(PI()*(1-(($A121-Simulador!$E$6)/Simulador!$G$6))/Simulador!$B$11))/2,Simulador!$B$9)))</f>
        <v>9.5</v>
      </c>
      <c r="D121" s="18">
        <f>IF(OR((($A121-Simulador!$E$7)/Simulador!$G$7)&lt;=0,(($A121-Simulador!$E$7)/Simulador!$G$7)&gt;=1),0,IF((($A121-Simulador!$E$7)/Simulador!$G$7)&lt;Simulador!$B$11,Simulador!$B$9*(1-COS(PI()*(($A121-Simulador!$E$7)/Simulador!$G$7)/Simulador!$B$11))/2,IF((($A121-Simulador!$E$7)/Simulador!$G$7)&gt;1-Simulador!$B$11,Simulador!$B$9*(1-COS(PI()*(1-(($A121-Simulador!$E$7)/Simulador!$G$7))/Simulador!$B$11))/2,Simulador!$B$9)))</f>
        <v>9.0169380494893474</v>
      </c>
      <c r="E121" s="18">
        <f>IF(OR((($A121-Simulador!$E$8)/Simulador!$G$8)&lt;=0,(($A121-Simulador!$E$8)/Simulador!$G$8)&gt;=1),0,IF((($A121-Simulador!$E$8)/Simulador!$G$8)&lt;Simulador!$B$11,Simulador!$B$10*(1-COS(PI()*(($A121-Simulador!$E$8)/Simulador!$G$8)/Simulador!$B$11))/2,IF((($A121-Simulador!$E$8)/Simulador!$G$8)&gt;1-Simulador!$B$11,Simulador!$B$10*(1-COS(PI()*(1-(($A121-Simulador!$E$8)/Simulador!$G$8))/Simulador!$B$11))/2,Simulador!$B$10)))</f>
        <v>0</v>
      </c>
      <c r="F121" s="18">
        <f>IF(OR((($A121-Simulador!$E$9)/Simulador!$G$9)&lt;=0,(($A121-Simulador!$E$9)/Simulador!$G$9)&gt;=1),0,IF((($A121-Simulador!$E$9)/Simulador!$G$9)&lt;Simulador!$B$11,Simulador!$B$10*(1-COS(PI()*(($A121-Simulador!$E$9)/Simulador!$G$9)/Simulador!$B$11))/2,IF((($A121-Simulador!$E$9)/Simulador!$G$9)&gt;1-Simulador!$B$11,Simulador!$B$10*(1-COS(PI()*(1-(($A121-Simulador!$E$9)/Simulador!$G$9))/Simulador!$B$11))/2,Simulador!$B$10)))</f>
        <v>0</v>
      </c>
      <c r="G121" s="18">
        <f>IF(OR((($A121-Simulador!$E$10)/Simulador!$G$10)&lt;=0,(($A121-Simulador!$E$10)/Simulador!$G$10)&gt;=1),0,IF((($A121-Simulador!$E$10)/Simulador!$G$10)&lt;Simulador!$B$11,Simulador!$B$10*(1-COS(PI()*(($A121-Simulador!$E$10)/Simulador!$G$10)/Simulador!$B$11))/2,IF((($A121-Simulador!$E$10)/Simulador!$G$10)&gt;1-Simulador!$B$11,Simulador!$B$10*(1-COS(PI()*(1-(($A121-Simulador!$E$10)/Simulador!$G$10))/Simulador!$B$11))/2,Simulador!$B$10)))</f>
        <v>0</v>
      </c>
    </row>
    <row r="122" spans="1:7" x14ac:dyDescent="0.25">
      <c r="A122" s="17">
        <f>A121+Simulador!$B$14</f>
        <v>240</v>
      </c>
      <c r="B122" s="18">
        <f>IF(OR((($A122-Simulador!$E$5)/Simulador!$G$5)&lt;=0,(($A122-Simulador!$E$5)/Simulador!$G$5)&gt;=1),0,IF((($A122-Simulador!$E$5)/Simulador!$G$5)&lt;Simulador!$B$11,Simulador!$B$9*(1-COS(PI()*(($A122-Simulador!$E$5)/Simulador!$G$5)/Simulador!$B$11))/2,IF((($A122-Simulador!$E$5)/Simulador!$G$5)&gt;1-Simulador!$B$11,Simulador!$B$9*(1-COS(PI()*(1-(($A122-Simulador!$E$5)/Simulador!$G$5))/Simulador!$B$11))/2,Simulador!$B$9)))</f>
        <v>9.5</v>
      </c>
      <c r="C122" s="18">
        <f>IF(OR((($A122-Simulador!$E$6)/Simulador!$G$6)&lt;=0,(($A122-Simulador!$E$6)/Simulador!$G$6)&gt;=1),0,IF((($A122-Simulador!$E$6)/Simulador!$G$6)&lt;Simulador!$B$11,Simulador!$B$9*(1-COS(PI()*(($A122-Simulador!$E$6)/Simulador!$G$6)/Simulador!$B$11))/2,IF((($A122-Simulador!$E$6)/Simulador!$G$6)&gt;1-Simulador!$B$11,Simulador!$B$9*(1-COS(PI()*(1-(($A122-Simulador!$E$6)/Simulador!$G$6))/Simulador!$B$11))/2,Simulador!$B$9)))</f>
        <v>9.5</v>
      </c>
      <c r="D122" s="18">
        <f>IF(OR((($A122-Simulador!$E$7)/Simulador!$G$7)&lt;=0,(($A122-Simulador!$E$7)/Simulador!$G$7)&gt;=1),0,IF((($A122-Simulador!$E$7)/Simulador!$G$7)&lt;Simulador!$B$11,Simulador!$B$9*(1-COS(PI()*(($A122-Simulador!$E$7)/Simulador!$G$7)/Simulador!$B$11))/2,IF((($A122-Simulador!$E$7)/Simulador!$G$7)&gt;1-Simulador!$B$11,Simulador!$B$9*(1-COS(PI()*(1-(($A122-Simulador!$E$7)/Simulador!$G$7))/Simulador!$B$11))/2,Simulador!$B$9)))</f>
        <v>9.1363437745735983</v>
      </c>
      <c r="E122" s="18">
        <f>IF(OR((($A122-Simulador!$E$8)/Simulador!$G$8)&lt;=0,(($A122-Simulador!$E$8)/Simulador!$G$8)&gt;=1),0,IF((($A122-Simulador!$E$8)/Simulador!$G$8)&lt;Simulador!$B$11,Simulador!$B$10*(1-COS(PI()*(($A122-Simulador!$E$8)/Simulador!$G$8)/Simulador!$B$11))/2,IF((($A122-Simulador!$E$8)/Simulador!$G$8)&gt;1-Simulador!$B$11,Simulador!$B$10*(1-COS(PI()*(1-(($A122-Simulador!$E$8)/Simulador!$G$8))/Simulador!$B$11))/2,Simulador!$B$10)))</f>
        <v>0</v>
      </c>
      <c r="F122" s="18">
        <f>IF(OR((($A122-Simulador!$E$9)/Simulador!$G$9)&lt;=0,(($A122-Simulador!$E$9)/Simulador!$G$9)&gt;=1),0,IF((($A122-Simulador!$E$9)/Simulador!$G$9)&lt;Simulador!$B$11,Simulador!$B$10*(1-COS(PI()*(($A122-Simulador!$E$9)/Simulador!$G$9)/Simulador!$B$11))/2,IF((($A122-Simulador!$E$9)/Simulador!$G$9)&gt;1-Simulador!$B$11,Simulador!$B$10*(1-COS(PI()*(1-(($A122-Simulador!$E$9)/Simulador!$G$9))/Simulador!$B$11))/2,Simulador!$B$10)))</f>
        <v>0</v>
      </c>
      <c r="G122" s="18">
        <f>IF(OR((($A122-Simulador!$E$10)/Simulador!$G$10)&lt;=0,(($A122-Simulador!$E$10)/Simulador!$G$10)&gt;=1),0,IF((($A122-Simulador!$E$10)/Simulador!$G$10)&lt;Simulador!$B$11,Simulador!$B$10*(1-COS(PI()*(($A122-Simulador!$E$10)/Simulador!$G$10)/Simulador!$B$11))/2,IF((($A122-Simulador!$E$10)/Simulador!$G$10)&gt;1-Simulador!$B$11,Simulador!$B$10*(1-COS(PI()*(1-(($A122-Simulador!$E$10)/Simulador!$G$10))/Simulador!$B$11))/2,Simulador!$B$10)))</f>
        <v>0</v>
      </c>
    </row>
    <row r="123" spans="1:7" x14ac:dyDescent="0.25">
      <c r="A123" s="17">
        <f>A122+Simulador!$B$14</f>
        <v>242</v>
      </c>
      <c r="B123" s="18">
        <f>IF(OR((($A123-Simulador!$E$5)/Simulador!$G$5)&lt;=0,(($A123-Simulador!$E$5)/Simulador!$G$5)&gt;=1),0,IF((($A123-Simulador!$E$5)/Simulador!$G$5)&lt;Simulador!$B$11,Simulador!$B$9*(1-COS(PI()*(($A123-Simulador!$E$5)/Simulador!$G$5)/Simulador!$B$11))/2,IF((($A123-Simulador!$E$5)/Simulador!$G$5)&gt;1-Simulador!$B$11,Simulador!$B$9*(1-COS(PI()*(1-(($A123-Simulador!$E$5)/Simulador!$G$5))/Simulador!$B$11))/2,Simulador!$B$9)))</f>
        <v>9.5</v>
      </c>
      <c r="C123" s="18">
        <f>IF(OR((($A123-Simulador!$E$6)/Simulador!$G$6)&lt;=0,(($A123-Simulador!$E$6)/Simulador!$G$6)&gt;=1),0,IF((($A123-Simulador!$E$6)/Simulador!$G$6)&lt;Simulador!$B$11,Simulador!$B$9*(1-COS(PI()*(($A123-Simulador!$E$6)/Simulador!$G$6)/Simulador!$B$11))/2,IF((($A123-Simulador!$E$6)/Simulador!$G$6)&gt;1-Simulador!$B$11,Simulador!$B$9*(1-COS(PI()*(1-(($A123-Simulador!$E$6)/Simulador!$G$6))/Simulador!$B$11))/2,Simulador!$B$9)))</f>
        <v>9.5</v>
      </c>
      <c r="D123" s="18">
        <f>IF(OR((($A123-Simulador!$E$7)/Simulador!$G$7)&lt;=0,(($A123-Simulador!$E$7)/Simulador!$G$7)&gt;=1),0,IF((($A123-Simulador!$E$7)/Simulador!$G$7)&lt;Simulador!$B$11,Simulador!$B$9*(1-COS(PI()*(($A123-Simulador!$E$7)/Simulador!$G$7)/Simulador!$B$11))/2,IF((($A123-Simulador!$E$7)/Simulador!$G$7)&gt;1-Simulador!$B$11,Simulador!$B$9*(1-COS(PI()*(1-(($A123-Simulador!$E$7)/Simulador!$G$7))/Simulador!$B$11))/2,Simulador!$B$9)))</f>
        <v>9.2394002919370628</v>
      </c>
      <c r="E123" s="18">
        <f>IF(OR((($A123-Simulador!$E$8)/Simulador!$G$8)&lt;=0,(($A123-Simulador!$E$8)/Simulador!$G$8)&gt;=1),0,IF((($A123-Simulador!$E$8)/Simulador!$G$8)&lt;Simulador!$B$11,Simulador!$B$10*(1-COS(PI()*(($A123-Simulador!$E$8)/Simulador!$G$8)/Simulador!$B$11))/2,IF((($A123-Simulador!$E$8)/Simulador!$G$8)&gt;1-Simulador!$B$11,Simulador!$B$10*(1-COS(PI()*(1-(($A123-Simulador!$E$8)/Simulador!$G$8))/Simulador!$B$11))/2,Simulador!$B$10)))</f>
        <v>0</v>
      </c>
      <c r="F123" s="18">
        <f>IF(OR((($A123-Simulador!$E$9)/Simulador!$G$9)&lt;=0,(($A123-Simulador!$E$9)/Simulador!$G$9)&gt;=1),0,IF((($A123-Simulador!$E$9)/Simulador!$G$9)&lt;Simulador!$B$11,Simulador!$B$10*(1-COS(PI()*(($A123-Simulador!$E$9)/Simulador!$G$9)/Simulador!$B$11))/2,IF((($A123-Simulador!$E$9)/Simulador!$G$9)&gt;1-Simulador!$B$11,Simulador!$B$10*(1-COS(PI()*(1-(($A123-Simulador!$E$9)/Simulador!$G$9))/Simulador!$B$11))/2,Simulador!$B$10)))</f>
        <v>0</v>
      </c>
      <c r="G123" s="18">
        <f>IF(OR((($A123-Simulador!$E$10)/Simulador!$G$10)&lt;=0,(($A123-Simulador!$E$10)/Simulador!$G$10)&gt;=1),0,IF((($A123-Simulador!$E$10)/Simulador!$G$10)&lt;Simulador!$B$11,Simulador!$B$10*(1-COS(PI()*(($A123-Simulador!$E$10)/Simulador!$G$10)/Simulador!$B$11))/2,IF((($A123-Simulador!$E$10)/Simulador!$G$10)&gt;1-Simulador!$B$11,Simulador!$B$10*(1-COS(PI()*(1-(($A123-Simulador!$E$10)/Simulador!$G$10))/Simulador!$B$11))/2,Simulador!$B$10)))</f>
        <v>0</v>
      </c>
    </row>
    <row r="124" spans="1:7" x14ac:dyDescent="0.25">
      <c r="A124" s="17">
        <f>A123+Simulador!$B$14</f>
        <v>244</v>
      </c>
      <c r="B124" s="18">
        <f>IF(OR((($A124-Simulador!$E$5)/Simulador!$G$5)&lt;=0,(($A124-Simulador!$E$5)/Simulador!$G$5)&gt;=1),0,IF((($A124-Simulador!$E$5)/Simulador!$G$5)&lt;Simulador!$B$11,Simulador!$B$9*(1-COS(PI()*(($A124-Simulador!$E$5)/Simulador!$G$5)/Simulador!$B$11))/2,IF((($A124-Simulador!$E$5)/Simulador!$G$5)&gt;1-Simulador!$B$11,Simulador!$B$9*(1-COS(PI()*(1-(($A124-Simulador!$E$5)/Simulador!$G$5))/Simulador!$B$11))/2,Simulador!$B$9)))</f>
        <v>9.5</v>
      </c>
      <c r="C124" s="18">
        <f>IF(OR((($A124-Simulador!$E$6)/Simulador!$G$6)&lt;=0,(($A124-Simulador!$E$6)/Simulador!$G$6)&gt;=1),0,IF((($A124-Simulador!$E$6)/Simulador!$G$6)&lt;Simulador!$B$11,Simulador!$B$9*(1-COS(PI()*(($A124-Simulador!$E$6)/Simulador!$G$6)/Simulador!$B$11))/2,IF((($A124-Simulador!$E$6)/Simulador!$G$6)&gt;1-Simulador!$B$11,Simulador!$B$9*(1-COS(PI()*(1-(($A124-Simulador!$E$6)/Simulador!$G$6))/Simulador!$B$11))/2,Simulador!$B$9)))</f>
        <v>9.5</v>
      </c>
      <c r="D124" s="18">
        <f>IF(OR((($A124-Simulador!$E$7)/Simulador!$G$7)&lt;=0,(($A124-Simulador!$E$7)/Simulador!$G$7)&gt;=1),0,IF((($A124-Simulador!$E$7)/Simulador!$G$7)&lt;Simulador!$B$11,Simulador!$B$9*(1-COS(PI()*(($A124-Simulador!$E$7)/Simulador!$G$7)/Simulador!$B$11))/2,IF((($A124-Simulador!$E$7)/Simulador!$G$7)&gt;1-Simulador!$B$11,Simulador!$B$9*(1-COS(PI()*(1-(($A124-Simulador!$E$7)/Simulador!$G$7))/Simulador!$B$11))/2,Simulador!$B$9)))</f>
        <v>9.3257234792911223</v>
      </c>
      <c r="E124" s="18">
        <f>IF(OR((($A124-Simulador!$E$8)/Simulador!$G$8)&lt;=0,(($A124-Simulador!$E$8)/Simulador!$G$8)&gt;=1),0,IF((($A124-Simulador!$E$8)/Simulador!$G$8)&lt;Simulador!$B$11,Simulador!$B$10*(1-COS(PI()*(($A124-Simulador!$E$8)/Simulador!$G$8)/Simulador!$B$11))/2,IF((($A124-Simulador!$E$8)/Simulador!$G$8)&gt;1-Simulador!$B$11,Simulador!$B$10*(1-COS(PI()*(1-(($A124-Simulador!$E$8)/Simulador!$G$8))/Simulador!$B$11))/2,Simulador!$B$10)))</f>
        <v>0</v>
      </c>
      <c r="F124" s="18">
        <f>IF(OR((($A124-Simulador!$E$9)/Simulador!$G$9)&lt;=0,(($A124-Simulador!$E$9)/Simulador!$G$9)&gt;=1),0,IF((($A124-Simulador!$E$9)/Simulador!$G$9)&lt;Simulador!$B$11,Simulador!$B$10*(1-COS(PI()*(($A124-Simulador!$E$9)/Simulador!$G$9)/Simulador!$B$11))/2,IF((($A124-Simulador!$E$9)/Simulador!$G$9)&gt;1-Simulador!$B$11,Simulador!$B$10*(1-COS(PI()*(1-(($A124-Simulador!$E$9)/Simulador!$G$9))/Simulador!$B$11))/2,Simulador!$B$10)))</f>
        <v>0</v>
      </c>
      <c r="G124" s="18">
        <f>IF(OR((($A124-Simulador!$E$10)/Simulador!$G$10)&lt;=0,(($A124-Simulador!$E$10)/Simulador!$G$10)&gt;=1),0,IF((($A124-Simulador!$E$10)/Simulador!$G$10)&lt;Simulador!$B$11,Simulador!$B$10*(1-COS(PI()*(($A124-Simulador!$E$10)/Simulador!$G$10)/Simulador!$B$11))/2,IF((($A124-Simulador!$E$10)/Simulador!$G$10)&gt;1-Simulador!$B$11,Simulador!$B$10*(1-COS(PI()*(1-(($A124-Simulador!$E$10)/Simulador!$G$10))/Simulador!$B$11))/2,Simulador!$B$10)))</f>
        <v>0</v>
      </c>
    </row>
    <row r="125" spans="1:7" x14ac:dyDescent="0.25">
      <c r="A125" s="17">
        <f>A124+Simulador!$B$14</f>
        <v>246</v>
      </c>
      <c r="B125" s="18">
        <f>IF(OR((($A125-Simulador!$E$5)/Simulador!$G$5)&lt;=0,(($A125-Simulador!$E$5)/Simulador!$G$5)&gt;=1),0,IF((($A125-Simulador!$E$5)/Simulador!$G$5)&lt;Simulador!$B$11,Simulador!$B$9*(1-COS(PI()*(($A125-Simulador!$E$5)/Simulador!$G$5)/Simulador!$B$11))/2,IF((($A125-Simulador!$E$5)/Simulador!$G$5)&gt;1-Simulador!$B$11,Simulador!$B$9*(1-COS(PI()*(1-(($A125-Simulador!$E$5)/Simulador!$G$5))/Simulador!$B$11))/2,Simulador!$B$9)))</f>
        <v>9.5</v>
      </c>
      <c r="C125" s="18">
        <f>IF(OR((($A125-Simulador!$E$6)/Simulador!$G$6)&lt;=0,(($A125-Simulador!$E$6)/Simulador!$G$6)&gt;=1),0,IF((($A125-Simulador!$E$6)/Simulador!$G$6)&lt;Simulador!$B$11,Simulador!$B$9*(1-COS(PI()*(($A125-Simulador!$E$6)/Simulador!$G$6)/Simulador!$B$11))/2,IF((($A125-Simulador!$E$6)/Simulador!$G$6)&gt;1-Simulador!$B$11,Simulador!$B$9*(1-COS(PI()*(1-(($A125-Simulador!$E$6)/Simulador!$G$6))/Simulador!$B$11))/2,Simulador!$B$9)))</f>
        <v>9.5</v>
      </c>
      <c r="D125" s="18">
        <f>IF(OR((($A125-Simulador!$E$7)/Simulador!$G$7)&lt;=0,(($A125-Simulador!$E$7)/Simulador!$G$7)&gt;=1),0,IF((($A125-Simulador!$E$7)/Simulador!$G$7)&lt;Simulador!$B$11,Simulador!$B$9*(1-COS(PI()*(($A125-Simulador!$E$7)/Simulador!$G$7)/Simulador!$B$11))/2,IF((($A125-Simulador!$E$7)/Simulador!$G$7)&gt;1-Simulador!$B$11,Simulador!$B$9*(1-COS(PI()*(1-(($A125-Simulador!$E$7)/Simulador!$G$7))/Simulador!$B$11))/2,Simulador!$B$9)))</f>
        <v>9.3949915844445009</v>
      </c>
      <c r="E125" s="18">
        <f>IF(OR((($A125-Simulador!$E$8)/Simulador!$G$8)&lt;=0,(($A125-Simulador!$E$8)/Simulador!$G$8)&gt;=1),0,IF((($A125-Simulador!$E$8)/Simulador!$G$8)&lt;Simulador!$B$11,Simulador!$B$10*(1-COS(PI()*(($A125-Simulador!$E$8)/Simulador!$G$8)/Simulador!$B$11))/2,IF((($A125-Simulador!$E$8)/Simulador!$G$8)&gt;1-Simulador!$B$11,Simulador!$B$10*(1-COS(PI()*(1-(($A125-Simulador!$E$8)/Simulador!$G$8))/Simulador!$B$11))/2,Simulador!$B$10)))</f>
        <v>0</v>
      </c>
      <c r="F125" s="18">
        <f>IF(OR((($A125-Simulador!$E$9)/Simulador!$G$9)&lt;=0,(($A125-Simulador!$E$9)/Simulador!$G$9)&gt;=1),0,IF((($A125-Simulador!$E$9)/Simulador!$G$9)&lt;Simulador!$B$11,Simulador!$B$10*(1-COS(PI()*(($A125-Simulador!$E$9)/Simulador!$G$9)/Simulador!$B$11))/2,IF((($A125-Simulador!$E$9)/Simulador!$G$9)&gt;1-Simulador!$B$11,Simulador!$B$10*(1-COS(PI()*(1-(($A125-Simulador!$E$9)/Simulador!$G$9))/Simulador!$B$11))/2,Simulador!$B$10)))</f>
        <v>0</v>
      </c>
      <c r="G125" s="18">
        <f>IF(OR((($A125-Simulador!$E$10)/Simulador!$G$10)&lt;=0,(($A125-Simulador!$E$10)/Simulador!$G$10)&gt;=1),0,IF((($A125-Simulador!$E$10)/Simulador!$G$10)&lt;Simulador!$B$11,Simulador!$B$10*(1-COS(PI()*(($A125-Simulador!$E$10)/Simulador!$G$10)/Simulador!$B$11))/2,IF((($A125-Simulador!$E$10)/Simulador!$G$10)&gt;1-Simulador!$B$11,Simulador!$B$10*(1-COS(PI()*(1-(($A125-Simulador!$E$10)/Simulador!$G$10))/Simulador!$B$11))/2,Simulador!$B$10)))</f>
        <v>0</v>
      </c>
    </row>
    <row r="126" spans="1:7" x14ac:dyDescent="0.25">
      <c r="A126" s="17">
        <f>A125+Simulador!$B$14</f>
        <v>248</v>
      </c>
      <c r="B126" s="18">
        <f>IF(OR((($A126-Simulador!$E$5)/Simulador!$G$5)&lt;=0,(($A126-Simulador!$E$5)/Simulador!$G$5)&gt;=1),0,IF((($A126-Simulador!$E$5)/Simulador!$G$5)&lt;Simulador!$B$11,Simulador!$B$9*(1-COS(PI()*(($A126-Simulador!$E$5)/Simulador!$G$5)/Simulador!$B$11))/2,IF((($A126-Simulador!$E$5)/Simulador!$G$5)&gt;1-Simulador!$B$11,Simulador!$B$9*(1-COS(PI()*(1-(($A126-Simulador!$E$5)/Simulador!$G$5))/Simulador!$B$11))/2,Simulador!$B$9)))</f>
        <v>9.5</v>
      </c>
      <c r="C126" s="18">
        <f>IF(OR((($A126-Simulador!$E$6)/Simulador!$G$6)&lt;=0,(($A126-Simulador!$E$6)/Simulador!$G$6)&gt;=1),0,IF((($A126-Simulador!$E$6)/Simulador!$G$6)&lt;Simulador!$B$11,Simulador!$B$9*(1-COS(PI()*(($A126-Simulador!$E$6)/Simulador!$G$6)/Simulador!$B$11))/2,IF((($A126-Simulador!$E$6)/Simulador!$G$6)&gt;1-Simulador!$B$11,Simulador!$B$9*(1-COS(PI()*(1-(($A126-Simulador!$E$6)/Simulador!$G$6))/Simulador!$B$11))/2,Simulador!$B$9)))</f>
        <v>9.5</v>
      </c>
      <c r="D126" s="18">
        <f>IF(OR((($A126-Simulador!$E$7)/Simulador!$G$7)&lt;=0,(($A126-Simulador!$E$7)/Simulador!$G$7)&gt;=1),0,IF((($A126-Simulador!$E$7)/Simulador!$G$7)&lt;Simulador!$B$11,Simulador!$B$9*(1-COS(PI()*(($A126-Simulador!$E$7)/Simulador!$G$7)/Simulador!$B$11))/2,IF((($A126-Simulador!$E$7)/Simulador!$G$7)&gt;1-Simulador!$B$11,Simulador!$B$9*(1-COS(PI()*(1-(($A126-Simulador!$E$7)/Simulador!$G$7))/Simulador!$B$11))/2,Simulador!$B$9)))</f>
        <v>9.4469464245693597</v>
      </c>
      <c r="E126" s="18">
        <f>IF(OR((($A126-Simulador!$E$8)/Simulador!$G$8)&lt;=0,(($A126-Simulador!$E$8)/Simulador!$G$8)&gt;=1),0,IF((($A126-Simulador!$E$8)/Simulador!$G$8)&lt;Simulador!$B$11,Simulador!$B$10*(1-COS(PI()*(($A126-Simulador!$E$8)/Simulador!$G$8)/Simulador!$B$11))/2,IF((($A126-Simulador!$E$8)/Simulador!$G$8)&gt;1-Simulador!$B$11,Simulador!$B$10*(1-COS(PI()*(1-(($A126-Simulador!$E$8)/Simulador!$G$8))/Simulador!$B$11))/2,Simulador!$B$10)))</f>
        <v>0</v>
      </c>
      <c r="F126" s="18">
        <f>IF(OR((($A126-Simulador!$E$9)/Simulador!$G$9)&lt;=0,(($A126-Simulador!$E$9)/Simulador!$G$9)&gt;=1),0,IF((($A126-Simulador!$E$9)/Simulador!$G$9)&lt;Simulador!$B$11,Simulador!$B$10*(1-COS(PI()*(($A126-Simulador!$E$9)/Simulador!$G$9)/Simulador!$B$11))/2,IF((($A126-Simulador!$E$9)/Simulador!$G$9)&gt;1-Simulador!$B$11,Simulador!$B$10*(1-COS(PI()*(1-(($A126-Simulador!$E$9)/Simulador!$G$9))/Simulador!$B$11))/2,Simulador!$B$10)))</f>
        <v>0</v>
      </c>
      <c r="G126" s="18">
        <f>IF(OR((($A126-Simulador!$E$10)/Simulador!$G$10)&lt;=0,(($A126-Simulador!$E$10)/Simulador!$G$10)&gt;=1),0,IF((($A126-Simulador!$E$10)/Simulador!$G$10)&lt;Simulador!$B$11,Simulador!$B$10*(1-COS(PI()*(($A126-Simulador!$E$10)/Simulador!$G$10)/Simulador!$B$11))/2,IF((($A126-Simulador!$E$10)/Simulador!$G$10)&gt;1-Simulador!$B$11,Simulador!$B$10*(1-COS(PI()*(1-(($A126-Simulador!$E$10)/Simulador!$G$10))/Simulador!$B$11))/2,Simulador!$B$10)))</f>
        <v>0</v>
      </c>
    </row>
    <row r="127" spans="1:7" x14ac:dyDescent="0.25">
      <c r="A127" s="17">
        <f>A126+Simulador!$B$14</f>
        <v>250</v>
      </c>
      <c r="B127" s="18">
        <f>IF(OR((($A127-Simulador!$E$5)/Simulador!$G$5)&lt;=0,(($A127-Simulador!$E$5)/Simulador!$G$5)&gt;=1),0,IF((($A127-Simulador!$E$5)/Simulador!$G$5)&lt;Simulador!$B$11,Simulador!$B$9*(1-COS(PI()*(($A127-Simulador!$E$5)/Simulador!$G$5)/Simulador!$B$11))/2,IF((($A127-Simulador!$E$5)/Simulador!$G$5)&gt;1-Simulador!$B$11,Simulador!$B$9*(1-COS(PI()*(1-(($A127-Simulador!$E$5)/Simulador!$G$5))/Simulador!$B$11))/2,Simulador!$B$9)))</f>
        <v>9.5</v>
      </c>
      <c r="C127" s="18">
        <f>IF(OR((($A127-Simulador!$E$6)/Simulador!$G$6)&lt;=0,(($A127-Simulador!$E$6)/Simulador!$G$6)&gt;=1),0,IF((($A127-Simulador!$E$6)/Simulador!$G$6)&lt;Simulador!$B$11,Simulador!$B$9*(1-COS(PI()*(($A127-Simulador!$E$6)/Simulador!$G$6)/Simulador!$B$11))/2,IF((($A127-Simulador!$E$6)/Simulador!$G$6)&gt;1-Simulador!$B$11,Simulador!$B$9*(1-COS(PI()*(1-(($A127-Simulador!$E$6)/Simulador!$G$6))/Simulador!$B$11))/2,Simulador!$B$9)))</f>
        <v>9.5</v>
      </c>
      <c r="D127" s="18">
        <f>IF(OR((($A127-Simulador!$E$7)/Simulador!$G$7)&lt;=0,(($A127-Simulador!$E$7)/Simulador!$G$7)&gt;=1),0,IF((($A127-Simulador!$E$7)/Simulador!$G$7)&lt;Simulador!$B$11,Simulador!$B$9*(1-COS(PI()*(($A127-Simulador!$E$7)/Simulador!$G$7)/Simulador!$B$11))/2,IF((($A127-Simulador!$E$7)/Simulador!$G$7)&gt;1-Simulador!$B$11,Simulador!$B$9*(1-COS(PI()*(1-(($A127-Simulador!$E$7)/Simulador!$G$7))/Simulador!$B$11))/2,Simulador!$B$9)))</f>
        <v>9.4813943485254928</v>
      </c>
      <c r="E127" s="18">
        <f>IF(OR((($A127-Simulador!$E$8)/Simulador!$G$8)&lt;=0,(($A127-Simulador!$E$8)/Simulador!$G$8)&gt;=1),0,IF((($A127-Simulador!$E$8)/Simulador!$G$8)&lt;Simulador!$B$11,Simulador!$B$10*(1-COS(PI()*(($A127-Simulador!$E$8)/Simulador!$G$8)/Simulador!$B$11))/2,IF((($A127-Simulador!$E$8)/Simulador!$G$8)&gt;1-Simulador!$B$11,Simulador!$B$10*(1-COS(PI()*(1-(($A127-Simulador!$E$8)/Simulador!$G$8))/Simulador!$B$11))/2,Simulador!$B$10)))</f>
        <v>0</v>
      </c>
      <c r="F127" s="18">
        <f>IF(OR((($A127-Simulador!$E$9)/Simulador!$G$9)&lt;=0,(($A127-Simulador!$E$9)/Simulador!$G$9)&gt;=1),0,IF((($A127-Simulador!$E$9)/Simulador!$G$9)&lt;Simulador!$B$11,Simulador!$B$10*(1-COS(PI()*(($A127-Simulador!$E$9)/Simulador!$G$9)/Simulador!$B$11))/2,IF((($A127-Simulador!$E$9)/Simulador!$G$9)&gt;1-Simulador!$B$11,Simulador!$B$10*(1-COS(PI()*(1-(($A127-Simulador!$E$9)/Simulador!$G$9))/Simulador!$B$11))/2,Simulador!$B$10)))</f>
        <v>0</v>
      </c>
      <c r="G127" s="18">
        <f>IF(OR((($A127-Simulador!$E$10)/Simulador!$G$10)&lt;=0,(($A127-Simulador!$E$10)/Simulador!$G$10)&gt;=1),0,IF((($A127-Simulador!$E$10)/Simulador!$G$10)&lt;Simulador!$B$11,Simulador!$B$10*(1-COS(PI()*(($A127-Simulador!$E$10)/Simulador!$G$10)/Simulador!$B$11))/2,IF((($A127-Simulador!$E$10)/Simulador!$G$10)&gt;1-Simulador!$B$11,Simulador!$B$10*(1-COS(PI()*(1-(($A127-Simulador!$E$10)/Simulador!$G$10))/Simulador!$B$11))/2,Simulador!$B$10)))</f>
        <v>0</v>
      </c>
    </row>
    <row r="128" spans="1:7" x14ac:dyDescent="0.25">
      <c r="A128" s="17">
        <f>A127+Simulador!$B$14</f>
        <v>252</v>
      </c>
      <c r="B128" s="18">
        <f>IF(OR((($A128-Simulador!$E$5)/Simulador!$G$5)&lt;=0,(($A128-Simulador!$E$5)/Simulador!$G$5)&gt;=1),0,IF((($A128-Simulador!$E$5)/Simulador!$G$5)&lt;Simulador!$B$11,Simulador!$B$9*(1-COS(PI()*(($A128-Simulador!$E$5)/Simulador!$G$5)/Simulador!$B$11))/2,IF((($A128-Simulador!$E$5)/Simulador!$G$5)&gt;1-Simulador!$B$11,Simulador!$B$9*(1-COS(PI()*(1-(($A128-Simulador!$E$5)/Simulador!$G$5))/Simulador!$B$11))/2,Simulador!$B$9)))</f>
        <v>9.5</v>
      </c>
      <c r="C128" s="18">
        <f>IF(OR((($A128-Simulador!$E$6)/Simulador!$G$6)&lt;=0,(($A128-Simulador!$E$6)/Simulador!$G$6)&gt;=1),0,IF((($A128-Simulador!$E$6)/Simulador!$G$6)&lt;Simulador!$B$11,Simulador!$B$9*(1-COS(PI()*(($A128-Simulador!$E$6)/Simulador!$G$6)/Simulador!$B$11))/2,IF((($A128-Simulador!$E$6)/Simulador!$G$6)&gt;1-Simulador!$B$11,Simulador!$B$9*(1-COS(PI()*(1-(($A128-Simulador!$E$6)/Simulador!$G$6))/Simulador!$B$11))/2,Simulador!$B$9)))</f>
        <v>9.5</v>
      </c>
      <c r="D128" s="18">
        <f>IF(OR((($A128-Simulador!$E$7)/Simulador!$G$7)&lt;=0,(($A128-Simulador!$E$7)/Simulador!$G$7)&gt;=1),0,IF((($A128-Simulador!$E$7)/Simulador!$G$7)&lt;Simulador!$B$11,Simulador!$B$9*(1-COS(PI()*(($A128-Simulador!$E$7)/Simulador!$G$7)/Simulador!$B$11))/2,IF((($A128-Simulador!$E$7)/Simulador!$G$7)&gt;1-Simulador!$B$11,Simulador!$B$9*(1-COS(PI()*(1-(($A128-Simulador!$E$7)/Simulador!$G$7))/Simulador!$B$11))/2,Simulador!$B$9)))</f>
        <v>9.4982069586556985</v>
      </c>
      <c r="E128" s="18">
        <f>IF(OR((($A128-Simulador!$E$8)/Simulador!$G$8)&lt;=0,(($A128-Simulador!$E$8)/Simulador!$G$8)&gt;=1),0,IF((($A128-Simulador!$E$8)/Simulador!$G$8)&lt;Simulador!$B$11,Simulador!$B$10*(1-COS(PI()*(($A128-Simulador!$E$8)/Simulador!$G$8)/Simulador!$B$11))/2,IF((($A128-Simulador!$E$8)/Simulador!$G$8)&gt;1-Simulador!$B$11,Simulador!$B$10*(1-COS(PI()*(1-(($A128-Simulador!$E$8)/Simulador!$G$8))/Simulador!$B$11))/2,Simulador!$B$10)))</f>
        <v>0</v>
      </c>
      <c r="F128" s="18">
        <f>IF(OR((($A128-Simulador!$E$9)/Simulador!$G$9)&lt;=0,(($A128-Simulador!$E$9)/Simulador!$G$9)&gt;=1),0,IF((($A128-Simulador!$E$9)/Simulador!$G$9)&lt;Simulador!$B$11,Simulador!$B$10*(1-COS(PI()*(($A128-Simulador!$E$9)/Simulador!$G$9)/Simulador!$B$11))/2,IF((($A128-Simulador!$E$9)/Simulador!$G$9)&gt;1-Simulador!$B$11,Simulador!$B$10*(1-COS(PI()*(1-(($A128-Simulador!$E$9)/Simulador!$G$9))/Simulador!$B$11))/2,Simulador!$B$10)))</f>
        <v>0</v>
      </c>
      <c r="G128" s="18">
        <f>IF(OR((($A128-Simulador!$E$10)/Simulador!$G$10)&lt;=0,(($A128-Simulador!$E$10)/Simulador!$G$10)&gt;=1),0,IF((($A128-Simulador!$E$10)/Simulador!$G$10)&lt;Simulador!$B$11,Simulador!$B$10*(1-COS(PI()*(($A128-Simulador!$E$10)/Simulador!$G$10)/Simulador!$B$11))/2,IF((($A128-Simulador!$E$10)/Simulador!$G$10)&gt;1-Simulador!$B$11,Simulador!$B$10*(1-COS(PI()*(1-(($A128-Simulador!$E$10)/Simulador!$G$10))/Simulador!$B$11))/2,Simulador!$B$10)))</f>
        <v>0</v>
      </c>
    </row>
    <row r="129" spans="1:7" x14ac:dyDescent="0.25">
      <c r="A129" s="17">
        <f>A128+Simulador!$B$14</f>
        <v>254</v>
      </c>
      <c r="B129" s="18">
        <f>IF(OR((($A129-Simulador!$E$5)/Simulador!$G$5)&lt;=0,(($A129-Simulador!$E$5)/Simulador!$G$5)&gt;=1),0,IF((($A129-Simulador!$E$5)/Simulador!$G$5)&lt;Simulador!$B$11,Simulador!$B$9*(1-COS(PI()*(($A129-Simulador!$E$5)/Simulador!$G$5)/Simulador!$B$11))/2,IF((($A129-Simulador!$E$5)/Simulador!$G$5)&gt;1-Simulador!$B$11,Simulador!$B$9*(1-COS(PI()*(1-(($A129-Simulador!$E$5)/Simulador!$G$5))/Simulador!$B$11))/2,Simulador!$B$9)))</f>
        <v>9.5</v>
      </c>
      <c r="C129" s="18">
        <f>IF(OR((($A129-Simulador!$E$6)/Simulador!$G$6)&lt;=0,(($A129-Simulador!$E$6)/Simulador!$G$6)&gt;=1),0,IF((($A129-Simulador!$E$6)/Simulador!$G$6)&lt;Simulador!$B$11,Simulador!$B$9*(1-COS(PI()*(($A129-Simulador!$E$6)/Simulador!$G$6)/Simulador!$B$11))/2,IF((($A129-Simulador!$E$6)/Simulador!$G$6)&gt;1-Simulador!$B$11,Simulador!$B$9*(1-COS(PI()*(1-(($A129-Simulador!$E$6)/Simulador!$G$6))/Simulador!$B$11))/2,Simulador!$B$9)))</f>
        <v>9.5</v>
      </c>
      <c r="D129" s="18">
        <f>IF(OR((($A129-Simulador!$E$7)/Simulador!$G$7)&lt;=0,(($A129-Simulador!$E$7)/Simulador!$G$7)&gt;=1),0,IF((($A129-Simulador!$E$7)/Simulador!$G$7)&lt;Simulador!$B$11,Simulador!$B$9*(1-COS(PI()*(($A129-Simulador!$E$7)/Simulador!$G$7)/Simulador!$B$11))/2,IF((($A129-Simulador!$E$7)/Simulador!$G$7)&gt;1-Simulador!$B$11,Simulador!$B$9*(1-COS(PI()*(1-(($A129-Simulador!$E$7)/Simulador!$G$7))/Simulador!$B$11))/2,Simulador!$B$9)))</f>
        <v>9.5</v>
      </c>
      <c r="E129" s="18">
        <f>IF(OR((($A129-Simulador!$E$8)/Simulador!$G$8)&lt;=0,(($A129-Simulador!$E$8)/Simulador!$G$8)&gt;=1),0,IF((($A129-Simulador!$E$8)/Simulador!$G$8)&lt;Simulador!$B$11,Simulador!$B$10*(1-COS(PI()*(($A129-Simulador!$E$8)/Simulador!$G$8)/Simulador!$B$11))/2,IF((($A129-Simulador!$E$8)/Simulador!$G$8)&gt;1-Simulador!$B$11,Simulador!$B$10*(1-COS(PI()*(1-(($A129-Simulador!$E$8)/Simulador!$G$8))/Simulador!$B$11))/2,Simulador!$B$10)))</f>
        <v>0</v>
      </c>
      <c r="F129" s="18">
        <f>IF(OR((($A129-Simulador!$E$9)/Simulador!$G$9)&lt;=0,(($A129-Simulador!$E$9)/Simulador!$G$9)&gt;=1),0,IF((($A129-Simulador!$E$9)/Simulador!$G$9)&lt;Simulador!$B$11,Simulador!$B$10*(1-COS(PI()*(($A129-Simulador!$E$9)/Simulador!$G$9)/Simulador!$B$11))/2,IF((($A129-Simulador!$E$9)/Simulador!$G$9)&gt;1-Simulador!$B$11,Simulador!$B$10*(1-COS(PI()*(1-(($A129-Simulador!$E$9)/Simulador!$G$9))/Simulador!$B$11))/2,Simulador!$B$10)))</f>
        <v>0</v>
      </c>
      <c r="G129" s="18">
        <f>IF(OR((($A129-Simulador!$E$10)/Simulador!$G$10)&lt;=0,(($A129-Simulador!$E$10)/Simulador!$G$10)&gt;=1),0,IF((($A129-Simulador!$E$10)/Simulador!$G$10)&lt;Simulador!$B$11,Simulador!$B$10*(1-COS(PI()*(($A129-Simulador!$E$10)/Simulador!$G$10)/Simulador!$B$11))/2,IF((($A129-Simulador!$E$10)/Simulador!$G$10)&gt;1-Simulador!$B$11,Simulador!$B$10*(1-COS(PI()*(1-(($A129-Simulador!$E$10)/Simulador!$G$10))/Simulador!$B$11))/2,Simulador!$B$10)))</f>
        <v>0</v>
      </c>
    </row>
    <row r="130" spans="1:7" x14ac:dyDescent="0.25">
      <c r="A130" s="17">
        <f>A129+Simulador!$B$14</f>
        <v>256</v>
      </c>
      <c r="B130" s="18">
        <f>IF(OR((($A130-Simulador!$E$5)/Simulador!$G$5)&lt;=0,(($A130-Simulador!$E$5)/Simulador!$G$5)&gt;=1),0,IF((($A130-Simulador!$E$5)/Simulador!$G$5)&lt;Simulador!$B$11,Simulador!$B$9*(1-COS(PI()*(($A130-Simulador!$E$5)/Simulador!$G$5)/Simulador!$B$11))/2,IF((($A130-Simulador!$E$5)/Simulador!$G$5)&gt;1-Simulador!$B$11,Simulador!$B$9*(1-COS(PI()*(1-(($A130-Simulador!$E$5)/Simulador!$G$5))/Simulador!$B$11))/2,Simulador!$B$9)))</f>
        <v>9.5</v>
      </c>
      <c r="C130" s="18">
        <f>IF(OR((($A130-Simulador!$E$6)/Simulador!$G$6)&lt;=0,(($A130-Simulador!$E$6)/Simulador!$G$6)&gt;=1),0,IF((($A130-Simulador!$E$6)/Simulador!$G$6)&lt;Simulador!$B$11,Simulador!$B$9*(1-COS(PI()*(($A130-Simulador!$E$6)/Simulador!$G$6)/Simulador!$B$11))/2,IF((($A130-Simulador!$E$6)/Simulador!$G$6)&gt;1-Simulador!$B$11,Simulador!$B$9*(1-COS(PI()*(1-(($A130-Simulador!$E$6)/Simulador!$G$6))/Simulador!$B$11))/2,Simulador!$B$9)))</f>
        <v>9.5</v>
      </c>
      <c r="D130" s="18">
        <f>IF(OR((($A130-Simulador!$E$7)/Simulador!$G$7)&lt;=0,(($A130-Simulador!$E$7)/Simulador!$G$7)&gt;=1),0,IF((($A130-Simulador!$E$7)/Simulador!$G$7)&lt;Simulador!$B$11,Simulador!$B$9*(1-COS(PI()*(($A130-Simulador!$E$7)/Simulador!$G$7)/Simulador!$B$11))/2,IF((($A130-Simulador!$E$7)/Simulador!$G$7)&gt;1-Simulador!$B$11,Simulador!$B$9*(1-COS(PI()*(1-(($A130-Simulador!$E$7)/Simulador!$G$7))/Simulador!$B$11))/2,Simulador!$B$9)))</f>
        <v>9.5</v>
      </c>
      <c r="E130" s="18">
        <f>IF(OR((($A130-Simulador!$E$8)/Simulador!$G$8)&lt;=0,(($A130-Simulador!$E$8)/Simulador!$G$8)&gt;=1),0,IF((($A130-Simulador!$E$8)/Simulador!$G$8)&lt;Simulador!$B$11,Simulador!$B$10*(1-COS(PI()*(($A130-Simulador!$E$8)/Simulador!$G$8)/Simulador!$B$11))/2,IF((($A130-Simulador!$E$8)/Simulador!$G$8)&gt;1-Simulador!$B$11,Simulador!$B$10*(1-COS(PI()*(1-(($A130-Simulador!$E$8)/Simulador!$G$8))/Simulador!$B$11))/2,Simulador!$B$10)))</f>
        <v>0</v>
      </c>
      <c r="F130" s="18">
        <f>IF(OR((($A130-Simulador!$E$9)/Simulador!$G$9)&lt;=0,(($A130-Simulador!$E$9)/Simulador!$G$9)&gt;=1),0,IF((($A130-Simulador!$E$9)/Simulador!$G$9)&lt;Simulador!$B$11,Simulador!$B$10*(1-COS(PI()*(($A130-Simulador!$E$9)/Simulador!$G$9)/Simulador!$B$11))/2,IF((($A130-Simulador!$E$9)/Simulador!$G$9)&gt;1-Simulador!$B$11,Simulador!$B$10*(1-COS(PI()*(1-(($A130-Simulador!$E$9)/Simulador!$G$9))/Simulador!$B$11))/2,Simulador!$B$10)))</f>
        <v>0</v>
      </c>
      <c r="G130" s="18">
        <f>IF(OR((($A130-Simulador!$E$10)/Simulador!$G$10)&lt;=0,(($A130-Simulador!$E$10)/Simulador!$G$10)&gt;=1),0,IF((($A130-Simulador!$E$10)/Simulador!$G$10)&lt;Simulador!$B$11,Simulador!$B$10*(1-COS(PI()*(($A130-Simulador!$E$10)/Simulador!$G$10)/Simulador!$B$11))/2,IF((($A130-Simulador!$E$10)/Simulador!$G$10)&gt;1-Simulador!$B$11,Simulador!$B$10*(1-COS(PI()*(1-(($A130-Simulador!$E$10)/Simulador!$G$10))/Simulador!$B$11))/2,Simulador!$B$10)))</f>
        <v>0</v>
      </c>
    </row>
    <row r="131" spans="1:7" x14ac:dyDescent="0.25">
      <c r="A131" s="17">
        <f>A130+Simulador!$B$14</f>
        <v>258</v>
      </c>
      <c r="B131" s="18">
        <f>IF(OR((($A131-Simulador!$E$5)/Simulador!$G$5)&lt;=0,(($A131-Simulador!$E$5)/Simulador!$G$5)&gt;=1),0,IF((($A131-Simulador!$E$5)/Simulador!$G$5)&lt;Simulador!$B$11,Simulador!$B$9*(1-COS(PI()*(($A131-Simulador!$E$5)/Simulador!$G$5)/Simulador!$B$11))/2,IF((($A131-Simulador!$E$5)/Simulador!$G$5)&gt;1-Simulador!$B$11,Simulador!$B$9*(1-COS(PI()*(1-(($A131-Simulador!$E$5)/Simulador!$G$5))/Simulador!$B$11))/2,Simulador!$B$9)))</f>
        <v>9.5</v>
      </c>
      <c r="C131" s="18">
        <f>IF(OR((($A131-Simulador!$E$6)/Simulador!$G$6)&lt;=0,(($A131-Simulador!$E$6)/Simulador!$G$6)&gt;=1),0,IF((($A131-Simulador!$E$6)/Simulador!$G$6)&lt;Simulador!$B$11,Simulador!$B$9*(1-COS(PI()*(($A131-Simulador!$E$6)/Simulador!$G$6)/Simulador!$B$11))/2,IF((($A131-Simulador!$E$6)/Simulador!$G$6)&gt;1-Simulador!$B$11,Simulador!$B$9*(1-COS(PI()*(1-(($A131-Simulador!$E$6)/Simulador!$G$6))/Simulador!$B$11))/2,Simulador!$B$9)))</f>
        <v>9.5</v>
      </c>
      <c r="D131" s="18">
        <f>IF(OR((($A131-Simulador!$E$7)/Simulador!$G$7)&lt;=0,(($A131-Simulador!$E$7)/Simulador!$G$7)&gt;=1),0,IF((($A131-Simulador!$E$7)/Simulador!$G$7)&lt;Simulador!$B$11,Simulador!$B$9*(1-COS(PI()*(($A131-Simulador!$E$7)/Simulador!$G$7)/Simulador!$B$11))/2,IF((($A131-Simulador!$E$7)/Simulador!$G$7)&gt;1-Simulador!$B$11,Simulador!$B$9*(1-COS(PI()*(1-(($A131-Simulador!$E$7)/Simulador!$G$7))/Simulador!$B$11))/2,Simulador!$B$9)))</f>
        <v>9.5</v>
      </c>
      <c r="E131" s="18">
        <f>IF(OR((($A131-Simulador!$E$8)/Simulador!$G$8)&lt;=0,(($A131-Simulador!$E$8)/Simulador!$G$8)&gt;=1),0,IF((($A131-Simulador!$E$8)/Simulador!$G$8)&lt;Simulador!$B$11,Simulador!$B$10*(1-COS(PI()*(($A131-Simulador!$E$8)/Simulador!$G$8)/Simulador!$B$11))/2,IF((($A131-Simulador!$E$8)/Simulador!$G$8)&gt;1-Simulador!$B$11,Simulador!$B$10*(1-COS(PI()*(1-(($A131-Simulador!$E$8)/Simulador!$G$8))/Simulador!$B$11))/2,Simulador!$B$10)))</f>
        <v>0</v>
      </c>
      <c r="F131" s="18">
        <f>IF(OR((($A131-Simulador!$E$9)/Simulador!$G$9)&lt;=0,(($A131-Simulador!$E$9)/Simulador!$G$9)&gt;=1),0,IF((($A131-Simulador!$E$9)/Simulador!$G$9)&lt;Simulador!$B$11,Simulador!$B$10*(1-COS(PI()*(($A131-Simulador!$E$9)/Simulador!$G$9)/Simulador!$B$11))/2,IF((($A131-Simulador!$E$9)/Simulador!$G$9)&gt;1-Simulador!$B$11,Simulador!$B$10*(1-COS(PI()*(1-(($A131-Simulador!$E$9)/Simulador!$G$9))/Simulador!$B$11))/2,Simulador!$B$10)))</f>
        <v>0</v>
      </c>
      <c r="G131" s="18">
        <f>IF(OR((($A131-Simulador!$E$10)/Simulador!$G$10)&lt;=0,(($A131-Simulador!$E$10)/Simulador!$G$10)&gt;=1),0,IF((($A131-Simulador!$E$10)/Simulador!$G$10)&lt;Simulador!$B$11,Simulador!$B$10*(1-COS(PI()*(($A131-Simulador!$E$10)/Simulador!$G$10)/Simulador!$B$11))/2,IF((($A131-Simulador!$E$10)/Simulador!$G$10)&gt;1-Simulador!$B$11,Simulador!$B$10*(1-COS(PI()*(1-(($A131-Simulador!$E$10)/Simulador!$G$10))/Simulador!$B$11))/2,Simulador!$B$10)))</f>
        <v>0</v>
      </c>
    </row>
    <row r="132" spans="1:7" x14ac:dyDescent="0.25">
      <c r="A132" s="17">
        <f>A131+Simulador!$B$14</f>
        <v>260</v>
      </c>
      <c r="B132" s="18">
        <f>IF(OR((($A132-Simulador!$E$5)/Simulador!$G$5)&lt;=0,(($A132-Simulador!$E$5)/Simulador!$G$5)&gt;=1),0,IF((($A132-Simulador!$E$5)/Simulador!$G$5)&lt;Simulador!$B$11,Simulador!$B$9*(1-COS(PI()*(($A132-Simulador!$E$5)/Simulador!$G$5)/Simulador!$B$11))/2,IF((($A132-Simulador!$E$5)/Simulador!$G$5)&gt;1-Simulador!$B$11,Simulador!$B$9*(1-COS(PI()*(1-(($A132-Simulador!$E$5)/Simulador!$G$5))/Simulador!$B$11))/2,Simulador!$B$9)))</f>
        <v>9.5</v>
      </c>
      <c r="C132" s="18">
        <f>IF(OR((($A132-Simulador!$E$6)/Simulador!$G$6)&lt;=0,(($A132-Simulador!$E$6)/Simulador!$G$6)&gt;=1),0,IF((($A132-Simulador!$E$6)/Simulador!$G$6)&lt;Simulador!$B$11,Simulador!$B$9*(1-COS(PI()*(($A132-Simulador!$E$6)/Simulador!$G$6)/Simulador!$B$11))/2,IF((($A132-Simulador!$E$6)/Simulador!$G$6)&gt;1-Simulador!$B$11,Simulador!$B$9*(1-COS(PI()*(1-(($A132-Simulador!$E$6)/Simulador!$G$6))/Simulador!$B$11))/2,Simulador!$B$9)))</f>
        <v>9.5</v>
      </c>
      <c r="D132" s="18">
        <f>IF(OR((($A132-Simulador!$E$7)/Simulador!$G$7)&lt;=0,(($A132-Simulador!$E$7)/Simulador!$G$7)&gt;=1),0,IF((($A132-Simulador!$E$7)/Simulador!$G$7)&lt;Simulador!$B$11,Simulador!$B$9*(1-COS(PI()*(($A132-Simulador!$E$7)/Simulador!$G$7)/Simulador!$B$11))/2,IF((($A132-Simulador!$E$7)/Simulador!$G$7)&gt;1-Simulador!$B$11,Simulador!$B$9*(1-COS(PI()*(1-(($A132-Simulador!$E$7)/Simulador!$G$7))/Simulador!$B$11))/2,Simulador!$B$9)))</f>
        <v>9.5</v>
      </c>
      <c r="E132" s="18">
        <f>IF(OR((($A132-Simulador!$E$8)/Simulador!$G$8)&lt;=0,(($A132-Simulador!$E$8)/Simulador!$G$8)&gt;=1),0,IF((($A132-Simulador!$E$8)/Simulador!$G$8)&lt;Simulador!$B$11,Simulador!$B$10*(1-COS(PI()*(($A132-Simulador!$E$8)/Simulador!$G$8)/Simulador!$B$11))/2,IF((($A132-Simulador!$E$8)/Simulador!$G$8)&gt;1-Simulador!$B$11,Simulador!$B$10*(1-COS(PI()*(1-(($A132-Simulador!$E$8)/Simulador!$G$8))/Simulador!$B$11))/2,Simulador!$B$10)))</f>
        <v>0</v>
      </c>
      <c r="F132" s="18">
        <f>IF(OR((($A132-Simulador!$E$9)/Simulador!$G$9)&lt;=0,(($A132-Simulador!$E$9)/Simulador!$G$9)&gt;=1),0,IF((($A132-Simulador!$E$9)/Simulador!$G$9)&lt;Simulador!$B$11,Simulador!$B$10*(1-COS(PI()*(($A132-Simulador!$E$9)/Simulador!$G$9)/Simulador!$B$11))/2,IF((($A132-Simulador!$E$9)/Simulador!$G$9)&gt;1-Simulador!$B$11,Simulador!$B$10*(1-COS(PI()*(1-(($A132-Simulador!$E$9)/Simulador!$G$9))/Simulador!$B$11))/2,Simulador!$B$10)))</f>
        <v>0</v>
      </c>
      <c r="G132" s="18">
        <f>IF(OR((($A132-Simulador!$E$10)/Simulador!$G$10)&lt;=0,(($A132-Simulador!$E$10)/Simulador!$G$10)&gt;=1),0,IF((($A132-Simulador!$E$10)/Simulador!$G$10)&lt;Simulador!$B$11,Simulador!$B$10*(1-COS(PI()*(($A132-Simulador!$E$10)/Simulador!$G$10)/Simulador!$B$11))/2,IF((($A132-Simulador!$E$10)/Simulador!$G$10)&gt;1-Simulador!$B$11,Simulador!$B$10*(1-COS(PI()*(1-(($A132-Simulador!$E$10)/Simulador!$G$10))/Simulador!$B$11))/2,Simulador!$B$10)))</f>
        <v>0</v>
      </c>
    </row>
    <row r="133" spans="1:7" x14ac:dyDescent="0.25">
      <c r="A133" s="17">
        <f>A132+Simulador!$B$14</f>
        <v>262</v>
      </c>
      <c r="B133" s="18">
        <f>IF(OR((($A133-Simulador!$E$5)/Simulador!$G$5)&lt;=0,(($A133-Simulador!$E$5)/Simulador!$G$5)&gt;=1),0,IF((($A133-Simulador!$E$5)/Simulador!$G$5)&lt;Simulador!$B$11,Simulador!$B$9*(1-COS(PI()*(($A133-Simulador!$E$5)/Simulador!$G$5)/Simulador!$B$11))/2,IF((($A133-Simulador!$E$5)/Simulador!$G$5)&gt;1-Simulador!$B$11,Simulador!$B$9*(1-COS(PI()*(1-(($A133-Simulador!$E$5)/Simulador!$G$5))/Simulador!$B$11))/2,Simulador!$B$9)))</f>
        <v>9.5</v>
      </c>
      <c r="C133" s="18">
        <f>IF(OR((($A133-Simulador!$E$6)/Simulador!$G$6)&lt;=0,(($A133-Simulador!$E$6)/Simulador!$G$6)&gt;=1),0,IF((($A133-Simulador!$E$6)/Simulador!$G$6)&lt;Simulador!$B$11,Simulador!$B$9*(1-COS(PI()*(($A133-Simulador!$E$6)/Simulador!$G$6)/Simulador!$B$11))/2,IF((($A133-Simulador!$E$6)/Simulador!$G$6)&gt;1-Simulador!$B$11,Simulador!$B$9*(1-COS(PI()*(1-(($A133-Simulador!$E$6)/Simulador!$G$6))/Simulador!$B$11))/2,Simulador!$B$9)))</f>
        <v>9.5</v>
      </c>
      <c r="D133" s="18">
        <f>IF(OR((($A133-Simulador!$E$7)/Simulador!$G$7)&lt;=0,(($A133-Simulador!$E$7)/Simulador!$G$7)&gt;=1),0,IF((($A133-Simulador!$E$7)/Simulador!$G$7)&lt;Simulador!$B$11,Simulador!$B$9*(1-COS(PI()*(($A133-Simulador!$E$7)/Simulador!$G$7)/Simulador!$B$11))/2,IF((($A133-Simulador!$E$7)/Simulador!$G$7)&gt;1-Simulador!$B$11,Simulador!$B$9*(1-COS(PI()*(1-(($A133-Simulador!$E$7)/Simulador!$G$7))/Simulador!$B$11))/2,Simulador!$B$9)))</f>
        <v>9.5</v>
      </c>
      <c r="E133" s="18">
        <f>IF(OR((($A133-Simulador!$E$8)/Simulador!$G$8)&lt;=0,(($A133-Simulador!$E$8)/Simulador!$G$8)&gt;=1),0,IF((($A133-Simulador!$E$8)/Simulador!$G$8)&lt;Simulador!$B$11,Simulador!$B$10*(1-COS(PI()*(($A133-Simulador!$E$8)/Simulador!$G$8)/Simulador!$B$11))/2,IF((($A133-Simulador!$E$8)/Simulador!$G$8)&gt;1-Simulador!$B$11,Simulador!$B$10*(1-COS(PI()*(1-(($A133-Simulador!$E$8)/Simulador!$G$8))/Simulador!$B$11))/2,Simulador!$B$10)))</f>
        <v>0</v>
      </c>
      <c r="F133" s="18">
        <f>IF(OR((($A133-Simulador!$E$9)/Simulador!$G$9)&lt;=0,(($A133-Simulador!$E$9)/Simulador!$G$9)&gt;=1),0,IF((($A133-Simulador!$E$9)/Simulador!$G$9)&lt;Simulador!$B$11,Simulador!$B$10*(1-COS(PI()*(($A133-Simulador!$E$9)/Simulador!$G$9)/Simulador!$B$11))/2,IF((($A133-Simulador!$E$9)/Simulador!$G$9)&gt;1-Simulador!$B$11,Simulador!$B$10*(1-COS(PI()*(1-(($A133-Simulador!$E$9)/Simulador!$G$9))/Simulador!$B$11))/2,Simulador!$B$10)))</f>
        <v>0</v>
      </c>
      <c r="G133" s="18">
        <f>IF(OR((($A133-Simulador!$E$10)/Simulador!$G$10)&lt;=0,(($A133-Simulador!$E$10)/Simulador!$G$10)&gt;=1),0,IF((($A133-Simulador!$E$10)/Simulador!$G$10)&lt;Simulador!$B$11,Simulador!$B$10*(1-COS(PI()*(($A133-Simulador!$E$10)/Simulador!$G$10)/Simulador!$B$11))/2,IF((($A133-Simulador!$E$10)/Simulador!$G$10)&gt;1-Simulador!$B$11,Simulador!$B$10*(1-COS(PI()*(1-(($A133-Simulador!$E$10)/Simulador!$G$10))/Simulador!$B$11))/2,Simulador!$B$10)))</f>
        <v>0</v>
      </c>
    </row>
    <row r="134" spans="1:7" x14ac:dyDescent="0.25">
      <c r="A134" s="17">
        <f>A133+Simulador!$B$14</f>
        <v>264</v>
      </c>
      <c r="B134" s="18">
        <f>IF(OR((($A134-Simulador!$E$5)/Simulador!$G$5)&lt;=0,(($A134-Simulador!$E$5)/Simulador!$G$5)&gt;=1),0,IF((($A134-Simulador!$E$5)/Simulador!$G$5)&lt;Simulador!$B$11,Simulador!$B$9*(1-COS(PI()*(($A134-Simulador!$E$5)/Simulador!$G$5)/Simulador!$B$11))/2,IF((($A134-Simulador!$E$5)/Simulador!$G$5)&gt;1-Simulador!$B$11,Simulador!$B$9*(1-COS(PI()*(1-(($A134-Simulador!$E$5)/Simulador!$G$5))/Simulador!$B$11))/2,Simulador!$B$9)))</f>
        <v>9.4920105289504395</v>
      </c>
      <c r="C134" s="18">
        <f>IF(OR((($A134-Simulador!$E$6)/Simulador!$G$6)&lt;=0,(($A134-Simulador!$E$6)/Simulador!$G$6)&gt;=1),0,IF((($A134-Simulador!$E$6)/Simulador!$G$6)&lt;Simulador!$B$11,Simulador!$B$9*(1-COS(PI()*(($A134-Simulador!$E$6)/Simulador!$G$6)/Simulador!$B$11))/2,IF((($A134-Simulador!$E$6)/Simulador!$G$6)&gt;1-Simulador!$B$11,Simulador!$B$9*(1-COS(PI()*(1-(($A134-Simulador!$E$6)/Simulador!$G$6))/Simulador!$B$11))/2,Simulador!$B$9)))</f>
        <v>9.5</v>
      </c>
      <c r="D134" s="18">
        <f>IF(OR((($A134-Simulador!$E$7)/Simulador!$G$7)&lt;=0,(($A134-Simulador!$E$7)/Simulador!$G$7)&gt;=1),0,IF((($A134-Simulador!$E$7)/Simulador!$G$7)&lt;Simulador!$B$11,Simulador!$B$9*(1-COS(PI()*(($A134-Simulador!$E$7)/Simulador!$G$7)/Simulador!$B$11))/2,IF((($A134-Simulador!$E$7)/Simulador!$G$7)&gt;1-Simulador!$B$11,Simulador!$B$9*(1-COS(PI()*(1-(($A134-Simulador!$E$7)/Simulador!$G$7))/Simulador!$B$11))/2,Simulador!$B$9)))</f>
        <v>9.5</v>
      </c>
      <c r="E134" s="18">
        <f>IF(OR((($A134-Simulador!$E$8)/Simulador!$G$8)&lt;=0,(($A134-Simulador!$E$8)/Simulador!$G$8)&gt;=1),0,IF((($A134-Simulador!$E$8)/Simulador!$G$8)&lt;Simulador!$B$11,Simulador!$B$10*(1-COS(PI()*(($A134-Simulador!$E$8)/Simulador!$G$8)/Simulador!$B$11))/2,IF((($A134-Simulador!$E$8)/Simulador!$G$8)&gt;1-Simulador!$B$11,Simulador!$B$10*(1-COS(PI()*(1-(($A134-Simulador!$E$8)/Simulador!$G$8))/Simulador!$B$11))/2,Simulador!$B$10)))</f>
        <v>0</v>
      </c>
      <c r="F134" s="18">
        <f>IF(OR((($A134-Simulador!$E$9)/Simulador!$G$9)&lt;=0,(($A134-Simulador!$E$9)/Simulador!$G$9)&gt;=1),0,IF((($A134-Simulador!$E$9)/Simulador!$G$9)&lt;Simulador!$B$11,Simulador!$B$10*(1-COS(PI()*(($A134-Simulador!$E$9)/Simulador!$G$9)/Simulador!$B$11))/2,IF((($A134-Simulador!$E$9)/Simulador!$G$9)&gt;1-Simulador!$B$11,Simulador!$B$10*(1-COS(PI()*(1-(($A134-Simulador!$E$9)/Simulador!$G$9))/Simulador!$B$11))/2,Simulador!$B$10)))</f>
        <v>0</v>
      </c>
      <c r="G134" s="18">
        <f>IF(OR((($A134-Simulador!$E$10)/Simulador!$G$10)&lt;=0,(($A134-Simulador!$E$10)/Simulador!$G$10)&gt;=1),0,IF((($A134-Simulador!$E$10)/Simulador!$G$10)&lt;Simulador!$B$11,Simulador!$B$10*(1-COS(PI()*(($A134-Simulador!$E$10)/Simulador!$G$10)/Simulador!$B$11))/2,IF((($A134-Simulador!$E$10)/Simulador!$G$10)&gt;1-Simulador!$B$11,Simulador!$B$10*(1-COS(PI()*(1-(($A134-Simulador!$E$10)/Simulador!$G$10))/Simulador!$B$11))/2,Simulador!$B$10)))</f>
        <v>0</v>
      </c>
    </row>
    <row r="135" spans="1:7" x14ac:dyDescent="0.25">
      <c r="A135" s="17">
        <f>A134+Simulador!$B$14</f>
        <v>266</v>
      </c>
      <c r="B135" s="18">
        <f>IF(OR((($A135-Simulador!$E$5)/Simulador!$G$5)&lt;=0,(($A135-Simulador!$E$5)/Simulador!$G$5)&gt;=1),0,IF((($A135-Simulador!$E$5)/Simulador!$G$5)&lt;Simulador!$B$11,Simulador!$B$9*(1-COS(PI()*(($A135-Simulador!$E$5)/Simulador!$G$5)/Simulador!$B$11))/2,IF((($A135-Simulador!$E$5)/Simulador!$G$5)&gt;1-Simulador!$B$11,Simulador!$B$9*(1-COS(PI()*(1-(($A135-Simulador!$E$5)/Simulador!$G$5))/Simulador!$B$11))/2,Simulador!$B$9)))</f>
        <v>9.4663683121018369</v>
      </c>
      <c r="C135" s="18">
        <f>IF(OR((($A135-Simulador!$E$6)/Simulador!$G$6)&lt;=0,(($A135-Simulador!$E$6)/Simulador!$G$6)&gt;=1),0,IF((($A135-Simulador!$E$6)/Simulador!$G$6)&lt;Simulador!$B$11,Simulador!$B$9*(1-COS(PI()*(($A135-Simulador!$E$6)/Simulador!$G$6)/Simulador!$B$11))/2,IF((($A135-Simulador!$E$6)/Simulador!$G$6)&gt;1-Simulador!$B$11,Simulador!$B$9*(1-COS(PI()*(1-(($A135-Simulador!$E$6)/Simulador!$G$6))/Simulador!$B$11))/2,Simulador!$B$9)))</f>
        <v>9.5</v>
      </c>
      <c r="D135" s="18">
        <f>IF(OR((($A135-Simulador!$E$7)/Simulador!$G$7)&lt;=0,(($A135-Simulador!$E$7)/Simulador!$G$7)&gt;=1),0,IF((($A135-Simulador!$E$7)/Simulador!$G$7)&lt;Simulador!$B$11,Simulador!$B$9*(1-COS(PI()*(($A135-Simulador!$E$7)/Simulador!$G$7)/Simulador!$B$11))/2,IF((($A135-Simulador!$E$7)/Simulador!$G$7)&gt;1-Simulador!$B$11,Simulador!$B$9*(1-COS(PI()*(1-(($A135-Simulador!$E$7)/Simulador!$G$7))/Simulador!$B$11))/2,Simulador!$B$9)))</f>
        <v>9.5</v>
      </c>
      <c r="E135" s="18">
        <f>IF(OR((($A135-Simulador!$E$8)/Simulador!$G$8)&lt;=0,(($A135-Simulador!$E$8)/Simulador!$G$8)&gt;=1),0,IF((($A135-Simulador!$E$8)/Simulador!$G$8)&lt;Simulador!$B$11,Simulador!$B$10*(1-COS(PI()*(($A135-Simulador!$E$8)/Simulador!$G$8)/Simulador!$B$11))/2,IF((($A135-Simulador!$E$8)/Simulador!$G$8)&gt;1-Simulador!$B$11,Simulador!$B$10*(1-COS(PI()*(1-(($A135-Simulador!$E$8)/Simulador!$G$8))/Simulador!$B$11))/2,Simulador!$B$10)))</f>
        <v>0</v>
      </c>
      <c r="F135" s="18">
        <f>IF(OR((($A135-Simulador!$E$9)/Simulador!$G$9)&lt;=0,(($A135-Simulador!$E$9)/Simulador!$G$9)&gt;=1),0,IF((($A135-Simulador!$E$9)/Simulador!$G$9)&lt;Simulador!$B$11,Simulador!$B$10*(1-COS(PI()*(($A135-Simulador!$E$9)/Simulador!$G$9)/Simulador!$B$11))/2,IF((($A135-Simulador!$E$9)/Simulador!$G$9)&gt;1-Simulador!$B$11,Simulador!$B$10*(1-COS(PI()*(1-(($A135-Simulador!$E$9)/Simulador!$G$9))/Simulador!$B$11))/2,Simulador!$B$10)))</f>
        <v>0</v>
      </c>
      <c r="G135" s="18">
        <f>IF(OR((($A135-Simulador!$E$10)/Simulador!$G$10)&lt;=0,(($A135-Simulador!$E$10)/Simulador!$G$10)&gt;=1),0,IF((($A135-Simulador!$E$10)/Simulador!$G$10)&lt;Simulador!$B$11,Simulador!$B$10*(1-COS(PI()*(($A135-Simulador!$E$10)/Simulador!$G$10)/Simulador!$B$11))/2,IF((($A135-Simulador!$E$10)/Simulador!$G$10)&gt;1-Simulador!$B$11,Simulador!$B$10*(1-COS(PI()*(1-(($A135-Simulador!$E$10)/Simulador!$G$10))/Simulador!$B$11))/2,Simulador!$B$10)))</f>
        <v>0</v>
      </c>
    </row>
    <row r="136" spans="1:7" x14ac:dyDescent="0.25">
      <c r="A136" s="17">
        <f>A135+Simulador!$B$14</f>
        <v>268</v>
      </c>
      <c r="B136" s="18">
        <f>IF(OR((($A136-Simulador!$E$5)/Simulador!$G$5)&lt;=0,(($A136-Simulador!$E$5)/Simulador!$G$5)&gt;=1),0,IF((($A136-Simulador!$E$5)/Simulador!$G$5)&lt;Simulador!$B$11,Simulador!$B$9*(1-COS(PI()*(($A136-Simulador!$E$5)/Simulador!$G$5)/Simulador!$B$11))/2,IF((($A136-Simulador!$E$5)/Simulador!$G$5)&gt;1-Simulador!$B$11,Simulador!$B$9*(1-COS(PI()*(1-(($A136-Simulador!$E$5)/Simulador!$G$5))/Simulador!$B$11))/2,Simulador!$B$9)))</f>
        <v>9.4231467879337156</v>
      </c>
      <c r="C136" s="18">
        <f>IF(OR((($A136-Simulador!$E$6)/Simulador!$G$6)&lt;=0,(($A136-Simulador!$E$6)/Simulador!$G$6)&gt;=1),0,IF((($A136-Simulador!$E$6)/Simulador!$G$6)&lt;Simulador!$B$11,Simulador!$B$9*(1-COS(PI()*(($A136-Simulador!$E$6)/Simulador!$G$6)/Simulador!$B$11))/2,IF((($A136-Simulador!$E$6)/Simulador!$G$6)&gt;1-Simulador!$B$11,Simulador!$B$9*(1-COS(PI()*(1-(($A136-Simulador!$E$6)/Simulador!$G$6))/Simulador!$B$11))/2,Simulador!$B$9)))</f>
        <v>9.5</v>
      </c>
      <c r="D136" s="18">
        <f>IF(OR((($A136-Simulador!$E$7)/Simulador!$G$7)&lt;=0,(($A136-Simulador!$E$7)/Simulador!$G$7)&gt;=1),0,IF((($A136-Simulador!$E$7)/Simulador!$G$7)&lt;Simulador!$B$11,Simulador!$B$9*(1-COS(PI()*(($A136-Simulador!$E$7)/Simulador!$G$7)/Simulador!$B$11))/2,IF((($A136-Simulador!$E$7)/Simulador!$G$7)&gt;1-Simulador!$B$11,Simulador!$B$9*(1-COS(PI()*(1-(($A136-Simulador!$E$7)/Simulador!$G$7))/Simulador!$B$11))/2,Simulador!$B$9)))</f>
        <v>9.5</v>
      </c>
      <c r="E136" s="18">
        <f>IF(OR((($A136-Simulador!$E$8)/Simulador!$G$8)&lt;=0,(($A136-Simulador!$E$8)/Simulador!$G$8)&gt;=1),0,IF((($A136-Simulador!$E$8)/Simulador!$G$8)&lt;Simulador!$B$11,Simulador!$B$10*(1-COS(PI()*(($A136-Simulador!$E$8)/Simulador!$G$8)/Simulador!$B$11))/2,IF((($A136-Simulador!$E$8)/Simulador!$G$8)&gt;1-Simulador!$B$11,Simulador!$B$10*(1-COS(PI()*(1-(($A136-Simulador!$E$8)/Simulador!$G$8))/Simulador!$B$11))/2,Simulador!$B$10)))</f>
        <v>0</v>
      </c>
      <c r="F136" s="18">
        <f>IF(OR((($A136-Simulador!$E$9)/Simulador!$G$9)&lt;=0,(($A136-Simulador!$E$9)/Simulador!$G$9)&gt;=1),0,IF((($A136-Simulador!$E$9)/Simulador!$G$9)&lt;Simulador!$B$11,Simulador!$B$10*(1-COS(PI()*(($A136-Simulador!$E$9)/Simulador!$G$9)/Simulador!$B$11))/2,IF((($A136-Simulador!$E$9)/Simulador!$G$9)&gt;1-Simulador!$B$11,Simulador!$B$10*(1-COS(PI()*(1-(($A136-Simulador!$E$9)/Simulador!$G$9))/Simulador!$B$11))/2,Simulador!$B$10)))</f>
        <v>0</v>
      </c>
      <c r="G136" s="18">
        <f>IF(OR((($A136-Simulador!$E$10)/Simulador!$G$10)&lt;=0,(($A136-Simulador!$E$10)/Simulador!$G$10)&gt;=1),0,IF((($A136-Simulador!$E$10)/Simulador!$G$10)&lt;Simulador!$B$11,Simulador!$B$10*(1-COS(PI()*(($A136-Simulador!$E$10)/Simulador!$G$10)/Simulador!$B$11))/2,IF((($A136-Simulador!$E$10)/Simulador!$G$10)&gt;1-Simulador!$B$11,Simulador!$B$10*(1-COS(PI()*(1-(($A136-Simulador!$E$10)/Simulador!$G$10))/Simulador!$B$11))/2,Simulador!$B$10)))</f>
        <v>0</v>
      </c>
    </row>
    <row r="137" spans="1:7" x14ac:dyDescent="0.25">
      <c r="A137" s="17">
        <f>A136+Simulador!$B$14</f>
        <v>270</v>
      </c>
      <c r="B137" s="18">
        <f>IF(OR((($A137-Simulador!$E$5)/Simulador!$G$5)&lt;=0,(($A137-Simulador!$E$5)/Simulador!$G$5)&gt;=1),0,IF((($A137-Simulador!$E$5)/Simulador!$G$5)&lt;Simulador!$B$11,Simulador!$B$9*(1-COS(PI()*(($A137-Simulador!$E$5)/Simulador!$G$5)/Simulador!$B$11))/2,IF((($A137-Simulador!$E$5)/Simulador!$G$5)&gt;1-Simulador!$B$11,Simulador!$B$9*(1-COS(PI()*(1-(($A137-Simulador!$E$5)/Simulador!$G$5))/Simulador!$B$11))/2,Simulador!$B$9)))</f>
        <v>9.3625070559204797</v>
      </c>
      <c r="C137" s="18">
        <f>IF(OR((($A137-Simulador!$E$6)/Simulador!$G$6)&lt;=0,(($A137-Simulador!$E$6)/Simulador!$G$6)&gt;=1),0,IF((($A137-Simulador!$E$6)/Simulador!$G$6)&lt;Simulador!$B$11,Simulador!$B$9*(1-COS(PI()*(($A137-Simulador!$E$6)/Simulador!$G$6)/Simulador!$B$11))/2,IF((($A137-Simulador!$E$6)/Simulador!$G$6)&gt;1-Simulador!$B$11,Simulador!$B$9*(1-COS(PI()*(1-(($A137-Simulador!$E$6)/Simulador!$G$6))/Simulador!$B$11))/2,Simulador!$B$9)))</f>
        <v>9.5</v>
      </c>
      <c r="D137" s="18">
        <f>IF(OR((($A137-Simulador!$E$7)/Simulador!$G$7)&lt;=0,(($A137-Simulador!$E$7)/Simulador!$G$7)&gt;=1),0,IF((($A137-Simulador!$E$7)/Simulador!$G$7)&lt;Simulador!$B$11,Simulador!$B$9*(1-COS(PI()*(($A137-Simulador!$E$7)/Simulador!$G$7)/Simulador!$B$11))/2,IF((($A137-Simulador!$E$7)/Simulador!$G$7)&gt;1-Simulador!$B$11,Simulador!$B$9*(1-COS(PI()*(1-(($A137-Simulador!$E$7)/Simulador!$G$7))/Simulador!$B$11))/2,Simulador!$B$9)))</f>
        <v>9.5</v>
      </c>
      <c r="E137" s="18">
        <f>IF(OR((($A137-Simulador!$E$8)/Simulador!$G$8)&lt;=0,(($A137-Simulador!$E$8)/Simulador!$G$8)&gt;=1),0,IF((($A137-Simulador!$E$8)/Simulador!$G$8)&lt;Simulador!$B$11,Simulador!$B$10*(1-COS(PI()*(($A137-Simulador!$E$8)/Simulador!$G$8)/Simulador!$B$11))/2,IF((($A137-Simulador!$E$8)/Simulador!$G$8)&gt;1-Simulador!$B$11,Simulador!$B$10*(1-COS(PI()*(1-(($A137-Simulador!$E$8)/Simulador!$G$8))/Simulador!$B$11))/2,Simulador!$B$10)))</f>
        <v>0</v>
      </c>
      <c r="F137" s="18">
        <f>IF(OR((($A137-Simulador!$E$9)/Simulador!$G$9)&lt;=0,(($A137-Simulador!$E$9)/Simulador!$G$9)&gt;=1),0,IF((($A137-Simulador!$E$9)/Simulador!$G$9)&lt;Simulador!$B$11,Simulador!$B$10*(1-COS(PI()*(($A137-Simulador!$E$9)/Simulador!$G$9)/Simulador!$B$11))/2,IF((($A137-Simulador!$E$9)/Simulador!$G$9)&gt;1-Simulador!$B$11,Simulador!$B$10*(1-COS(PI()*(1-(($A137-Simulador!$E$9)/Simulador!$G$9))/Simulador!$B$11))/2,Simulador!$B$10)))</f>
        <v>0</v>
      </c>
      <c r="G137" s="18">
        <f>IF(OR((($A137-Simulador!$E$10)/Simulador!$G$10)&lt;=0,(($A137-Simulador!$E$10)/Simulador!$G$10)&gt;=1),0,IF((($A137-Simulador!$E$10)/Simulador!$G$10)&lt;Simulador!$B$11,Simulador!$B$10*(1-COS(PI()*(($A137-Simulador!$E$10)/Simulador!$G$10)/Simulador!$B$11))/2,IF((($A137-Simulador!$E$10)/Simulador!$G$10)&gt;1-Simulador!$B$11,Simulador!$B$10*(1-COS(PI()*(1-(($A137-Simulador!$E$10)/Simulador!$G$10))/Simulador!$B$11))/2,Simulador!$B$10)))</f>
        <v>0</v>
      </c>
    </row>
    <row r="138" spans="1:7" x14ac:dyDescent="0.25">
      <c r="A138" s="17">
        <f>A137+Simulador!$B$14</f>
        <v>272</v>
      </c>
      <c r="B138" s="18">
        <f>IF(OR((($A138-Simulador!$E$5)/Simulador!$G$5)&lt;=0,(($A138-Simulador!$E$5)/Simulador!$G$5)&gt;=1),0,IF((($A138-Simulador!$E$5)/Simulador!$G$5)&lt;Simulador!$B$11,Simulador!$B$9*(1-COS(PI()*(($A138-Simulador!$E$5)/Simulador!$G$5)/Simulador!$B$11))/2,IF((($A138-Simulador!$E$5)/Simulador!$G$5)&gt;1-Simulador!$B$11,Simulador!$B$9*(1-COS(PI()*(1-(($A138-Simulador!$E$5)/Simulador!$G$5))/Simulador!$B$11))/2,Simulador!$B$9)))</f>
        <v>9.2846751383772457</v>
      </c>
      <c r="C138" s="18">
        <f>IF(OR((($A138-Simulador!$E$6)/Simulador!$G$6)&lt;=0,(($A138-Simulador!$E$6)/Simulador!$G$6)&gt;=1),0,IF((($A138-Simulador!$E$6)/Simulador!$G$6)&lt;Simulador!$B$11,Simulador!$B$9*(1-COS(PI()*(($A138-Simulador!$E$6)/Simulador!$G$6)/Simulador!$B$11))/2,IF((($A138-Simulador!$E$6)/Simulador!$G$6)&gt;1-Simulador!$B$11,Simulador!$B$9*(1-COS(PI()*(1-(($A138-Simulador!$E$6)/Simulador!$G$6))/Simulador!$B$11))/2,Simulador!$B$9)))</f>
        <v>9.5</v>
      </c>
      <c r="D138" s="18">
        <f>IF(OR((($A138-Simulador!$E$7)/Simulador!$G$7)&lt;=0,(($A138-Simulador!$E$7)/Simulador!$G$7)&gt;=1),0,IF((($A138-Simulador!$E$7)/Simulador!$G$7)&lt;Simulador!$B$11,Simulador!$B$9*(1-COS(PI()*(($A138-Simulador!$E$7)/Simulador!$G$7)/Simulador!$B$11))/2,IF((($A138-Simulador!$E$7)/Simulador!$G$7)&gt;1-Simulador!$B$11,Simulador!$B$9*(1-COS(PI()*(1-(($A138-Simulador!$E$7)/Simulador!$G$7))/Simulador!$B$11))/2,Simulador!$B$9)))</f>
        <v>9.5</v>
      </c>
      <c r="E138" s="18">
        <f>IF(OR((($A138-Simulador!$E$8)/Simulador!$G$8)&lt;=0,(($A138-Simulador!$E$8)/Simulador!$G$8)&gt;=1),0,IF((($A138-Simulador!$E$8)/Simulador!$G$8)&lt;Simulador!$B$11,Simulador!$B$10*(1-COS(PI()*(($A138-Simulador!$E$8)/Simulador!$G$8)/Simulador!$B$11))/2,IF((($A138-Simulador!$E$8)/Simulador!$G$8)&gt;1-Simulador!$B$11,Simulador!$B$10*(1-COS(PI()*(1-(($A138-Simulador!$E$8)/Simulador!$G$8))/Simulador!$B$11))/2,Simulador!$B$10)))</f>
        <v>0</v>
      </c>
      <c r="F138" s="18">
        <f>IF(OR((($A138-Simulador!$E$9)/Simulador!$G$9)&lt;=0,(($A138-Simulador!$E$9)/Simulador!$G$9)&gt;=1),0,IF((($A138-Simulador!$E$9)/Simulador!$G$9)&lt;Simulador!$B$11,Simulador!$B$10*(1-COS(PI()*(($A138-Simulador!$E$9)/Simulador!$G$9)/Simulador!$B$11))/2,IF((($A138-Simulador!$E$9)/Simulador!$G$9)&gt;1-Simulador!$B$11,Simulador!$B$10*(1-COS(PI()*(1-(($A138-Simulador!$E$9)/Simulador!$G$9))/Simulador!$B$11))/2,Simulador!$B$10)))</f>
        <v>0</v>
      </c>
      <c r="G138" s="18">
        <f>IF(OR((($A138-Simulador!$E$10)/Simulador!$G$10)&lt;=0,(($A138-Simulador!$E$10)/Simulador!$G$10)&gt;=1),0,IF((($A138-Simulador!$E$10)/Simulador!$G$10)&lt;Simulador!$B$11,Simulador!$B$10*(1-COS(PI()*(($A138-Simulador!$E$10)/Simulador!$G$10)/Simulador!$B$11))/2,IF((($A138-Simulador!$E$10)/Simulador!$G$10)&gt;1-Simulador!$B$11,Simulador!$B$10*(1-COS(PI()*(1-(($A138-Simulador!$E$10)/Simulador!$G$10))/Simulador!$B$11))/2,Simulador!$B$10)))</f>
        <v>0</v>
      </c>
    </row>
    <row r="139" spans="1:7" x14ac:dyDescent="0.25">
      <c r="A139" s="17">
        <f>A138+Simulador!$B$14</f>
        <v>274</v>
      </c>
      <c r="B139" s="18">
        <f>IF(OR((($A139-Simulador!$E$5)/Simulador!$G$5)&lt;=0,(($A139-Simulador!$E$5)/Simulador!$G$5)&gt;=1),0,IF((($A139-Simulador!$E$5)/Simulador!$G$5)&lt;Simulador!$B$11,Simulador!$B$9*(1-COS(PI()*(($A139-Simulador!$E$5)/Simulador!$G$5)/Simulador!$B$11))/2,IF((($A139-Simulador!$E$5)/Simulador!$G$5)&gt;1-Simulador!$B$11,Simulador!$B$9*(1-COS(PI()*(1-(($A139-Simulador!$E$5)/Simulador!$G$5))/Simulador!$B$11))/2,Simulador!$B$9)))</f>
        <v>9.1899411380074483</v>
      </c>
      <c r="C139" s="18">
        <f>IF(OR((($A139-Simulador!$E$6)/Simulador!$G$6)&lt;=0,(($A139-Simulador!$E$6)/Simulador!$G$6)&gt;=1),0,IF((($A139-Simulador!$E$6)/Simulador!$G$6)&lt;Simulador!$B$11,Simulador!$B$9*(1-COS(PI()*(($A139-Simulador!$E$6)/Simulador!$G$6)/Simulador!$B$11))/2,IF((($A139-Simulador!$E$6)/Simulador!$G$6)&gt;1-Simulador!$B$11,Simulador!$B$9*(1-COS(PI()*(1-(($A139-Simulador!$E$6)/Simulador!$G$6))/Simulador!$B$11))/2,Simulador!$B$9)))</f>
        <v>9.5</v>
      </c>
      <c r="D139" s="18">
        <f>IF(OR((($A139-Simulador!$E$7)/Simulador!$G$7)&lt;=0,(($A139-Simulador!$E$7)/Simulador!$G$7)&gt;=1),0,IF((($A139-Simulador!$E$7)/Simulador!$G$7)&lt;Simulador!$B$11,Simulador!$B$9*(1-COS(PI()*(($A139-Simulador!$E$7)/Simulador!$G$7)/Simulador!$B$11))/2,IF((($A139-Simulador!$E$7)/Simulador!$G$7)&gt;1-Simulador!$B$11,Simulador!$B$9*(1-COS(PI()*(1-(($A139-Simulador!$E$7)/Simulador!$G$7))/Simulador!$B$11))/2,Simulador!$B$9)))</f>
        <v>9.5</v>
      </c>
      <c r="E139" s="18">
        <f>IF(OR((($A139-Simulador!$E$8)/Simulador!$G$8)&lt;=0,(($A139-Simulador!$E$8)/Simulador!$G$8)&gt;=1),0,IF((($A139-Simulador!$E$8)/Simulador!$G$8)&lt;Simulador!$B$11,Simulador!$B$10*(1-COS(PI()*(($A139-Simulador!$E$8)/Simulador!$G$8)/Simulador!$B$11))/2,IF((($A139-Simulador!$E$8)/Simulador!$G$8)&gt;1-Simulador!$B$11,Simulador!$B$10*(1-COS(PI()*(1-(($A139-Simulador!$E$8)/Simulador!$G$8))/Simulador!$B$11))/2,Simulador!$B$10)))</f>
        <v>0</v>
      </c>
      <c r="F139" s="18">
        <f>IF(OR((($A139-Simulador!$E$9)/Simulador!$G$9)&lt;=0,(($A139-Simulador!$E$9)/Simulador!$G$9)&gt;=1),0,IF((($A139-Simulador!$E$9)/Simulador!$G$9)&lt;Simulador!$B$11,Simulador!$B$10*(1-COS(PI()*(($A139-Simulador!$E$9)/Simulador!$G$9)/Simulador!$B$11))/2,IF((($A139-Simulador!$E$9)/Simulador!$G$9)&gt;1-Simulador!$B$11,Simulador!$B$10*(1-COS(PI()*(1-(($A139-Simulador!$E$9)/Simulador!$G$9))/Simulador!$B$11))/2,Simulador!$B$10)))</f>
        <v>0</v>
      </c>
      <c r="G139" s="18">
        <f>IF(OR((($A139-Simulador!$E$10)/Simulador!$G$10)&lt;=0,(($A139-Simulador!$E$10)/Simulador!$G$10)&gt;=1),0,IF((($A139-Simulador!$E$10)/Simulador!$G$10)&lt;Simulador!$B$11,Simulador!$B$10*(1-COS(PI()*(($A139-Simulador!$E$10)/Simulador!$G$10)/Simulador!$B$11))/2,IF((($A139-Simulador!$E$10)/Simulador!$G$10)&gt;1-Simulador!$B$11,Simulador!$B$10*(1-COS(PI()*(1-(($A139-Simulador!$E$10)/Simulador!$G$10))/Simulador!$B$11))/2,Simulador!$B$10)))</f>
        <v>0</v>
      </c>
    </row>
    <row r="140" spans="1:7" x14ac:dyDescent="0.25">
      <c r="A140" s="17">
        <f>A139+Simulador!$B$14</f>
        <v>276</v>
      </c>
      <c r="B140" s="18">
        <f>IF(OR((($A140-Simulador!$E$5)/Simulador!$G$5)&lt;=0,(($A140-Simulador!$E$5)/Simulador!$G$5)&gt;=1),0,IF((($A140-Simulador!$E$5)/Simulador!$G$5)&lt;Simulador!$B$11,Simulador!$B$9*(1-COS(PI()*(($A140-Simulador!$E$5)/Simulador!$G$5)/Simulador!$B$11))/2,IF((($A140-Simulador!$E$5)/Simulador!$G$5)&gt;1-Simulador!$B$11,Simulador!$B$9*(1-COS(PI()*(1-(($A140-Simulador!$E$5)/Simulador!$G$5))/Simulador!$B$11))/2,Simulador!$B$9)))</f>
        <v>9.0786581566038063</v>
      </c>
      <c r="C140" s="18">
        <f>IF(OR((($A140-Simulador!$E$6)/Simulador!$G$6)&lt;=0,(($A140-Simulador!$E$6)/Simulador!$G$6)&gt;=1),0,IF((($A140-Simulador!$E$6)/Simulador!$G$6)&lt;Simulador!$B$11,Simulador!$B$9*(1-COS(PI()*(($A140-Simulador!$E$6)/Simulador!$G$6)/Simulador!$B$11))/2,IF((($A140-Simulador!$E$6)/Simulador!$G$6)&gt;1-Simulador!$B$11,Simulador!$B$9*(1-COS(PI()*(1-(($A140-Simulador!$E$6)/Simulador!$G$6))/Simulador!$B$11))/2,Simulador!$B$9)))</f>
        <v>9.5</v>
      </c>
      <c r="D140" s="18">
        <f>IF(OR((($A140-Simulador!$E$7)/Simulador!$G$7)&lt;=0,(($A140-Simulador!$E$7)/Simulador!$G$7)&gt;=1),0,IF((($A140-Simulador!$E$7)/Simulador!$G$7)&lt;Simulador!$B$11,Simulador!$B$9*(1-COS(PI()*(($A140-Simulador!$E$7)/Simulador!$G$7)/Simulador!$B$11))/2,IF((($A140-Simulador!$E$7)/Simulador!$G$7)&gt;1-Simulador!$B$11,Simulador!$B$9*(1-COS(PI()*(1-(($A140-Simulador!$E$7)/Simulador!$G$7))/Simulador!$B$11))/2,Simulador!$B$9)))</f>
        <v>9.5</v>
      </c>
      <c r="E140" s="18">
        <f>IF(OR((($A140-Simulador!$E$8)/Simulador!$G$8)&lt;=0,(($A140-Simulador!$E$8)/Simulador!$G$8)&gt;=1),0,IF((($A140-Simulador!$E$8)/Simulador!$G$8)&lt;Simulador!$B$11,Simulador!$B$10*(1-COS(PI()*(($A140-Simulador!$E$8)/Simulador!$G$8)/Simulador!$B$11))/2,IF((($A140-Simulador!$E$8)/Simulador!$G$8)&gt;1-Simulador!$B$11,Simulador!$B$10*(1-COS(PI()*(1-(($A140-Simulador!$E$8)/Simulador!$G$8))/Simulador!$B$11))/2,Simulador!$B$10)))</f>
        <v>0</v>
      </c>
      <c r="F140" s="18">
        <f>IF(OR((($A140-Simulador!$E$9)/Simulador!$G$9)&lt;=0,(($A140-Simulador!$E$9)/Simulador!$G$9)&gt;=1),0,IF((($A140-Simulador!$E$9)/Simulador!$G$9)&lt;Simulador!$B$11,Simulador!$B$10*(1-COS(PI()*(($A140-Simulador!$E$9)/Simulador!$G$9)/Simulador!$B$11))/2,IF((($A140-Simulador!$E$9)/Simulador!$G$9)&gt;1-Simulador!$B$11,Simulador!$B$10*(1-COS(PI()*(1-(($A140-Simulador!$E$9)/Simulador!$G$9))/Simulador!$B$11))/2,Simulador!$B$10)))</f>
        <v>0</v>
      </c>
      <c r="G140" s="18">
        <f>IF(OR((($A140-Simulador!$E$10)/Simulador!$G$10)&lt;=0,(($A140-Simulador!$E$10)/Simulador!$G$10)&gt;=1),0,IF((($A140-Simulador!$E$10)/Simulador!$G$10)&lt;Simulador!$B$11,Simulador!$B$10*(1-COS(PI()*(($A140-Simulador!$E$10)/Simulador!$G$10)/Simulador!$B$11))/2,IF((($A140-Simulador!$E$10)/Simulador!$G$10)&gt;1-Simulador!$B$11,Simulador!$B$10*(1-COS(PI()*(1-(($A140-Simulador!$E$10)/Simulador!$G$10))/Simulador!$B$11))/2,Simulador!$B$10)))</f>
        <v>0</v>
      </c>
    </row>
    <row r="141" spans="1:7" x14ac:dyDescent="0.25">
      <c r="A141" s="17">
        <f>A140+Simulador!$B$14</f>
        <v>278</v>
      </c>
      <c r="B141" s="18">
        <f>IF(OR((($A141-Simulador!$E$5)/Simulador!$G$5)&lt;=0,(($A141-Simulador!$E$5)/Simulador!$G$5)&gt;=1),0,IF((($A141-Simulador!$E$5)/Simulador!$G$5)&lt;Simulador!$B$11,Simulador!$B$9*(1-COS(PI()*(($A141-Simulador!$E$5)/Simulador!$G$5)/Simulador!$B$11))/2,IF((($A141-Simulador!$E$5)/Simulador!$G$5)&gt;1-Simulador!$B$11,Simulador!$B$9*(1-COS(PI()*(1-(($A141-Simulador!$E$5)/Simulador!$G$5))/Simulador!$B$11))/2,Simulador!$B$9)))</f>
        <v>8.9512409789329173</v>
      </c>
      <c r="C141" s="18">
        <f>IF(OR((($A141-Simulador!$E$6)/Simulador!$G$6)&lt;=0,(($A141-Simulador!$E$6)/Simulador!$G$6)&gt;=1),0,IF((($A141-Simulador!$E$6)/Simulador!$G$6)&lt;Simulador!$B$11,Simulador!$B$9*(1-COS(PI()*(($A141-Simulador!$E$6)/Simulador!$G$6)/Simulador!$B$11))/2,IF((($A141-Simulador!$E$6)/Simulador!$G$6)&gt;1-Simulador!$B$11,Simulador!$B$9*(1-COS(PI()*(1-(($A141-Simulador!$E$6)/Simulador!$G$6))/Simulador!$B$11))/2,Simulador!$B$9)))</f>
        <v>9.4982069586556985</v>
      </c>
      <c r="D141" s="18">
        <f>IF(OR((($A141-Simulador!$E$7)/Simulador!$G$7)&lt;=0,(($A141-Simulador!$E$7)/Simulador!$G$7)&gt;=1),0,IF((($A141-Simulador!$E$7)/Simulador!$G$7)&lt;Simulador!$B$11,Simulador!$B$9*(1-COS(PI()*(($A141-Simulador!$E$7)/Simulador!$G$7)/Simulador!$B$11))/2,IF((($A141-Simulador!$E$7)/Simulador!$G$7)&gt;1-Simulador!$B$11,Simulador!$B$9*(1-COS(PI()*(1-(($A141-Simulador!$E$7)/Simulador!$G$7))/Simulador!$B$11))/2,Simulador!$B$9)))</f>
        <v>9.5</v>
      </c>
      <c r="E141" s="18">
        <f>IF(OR((($A141-Simulador!$E$8)/Simulador!$G$8)&lt;=0,(($A141-Simulador!$E$8)/Simulador!$G$8)&gt;=1),0,IF((($A141-Simulador!$E$8)/Simulador!$G$8)&lt;Simulador!$B$11,Simulador!$B$10*(1-COS(PI()*(($A141-Simulador!$E$8)/Simulador!$G$8)/Simulador!$B$11))/2,IF((($A141-Simulador!$E$8)/Simulador!$G$8)&gt;1-Simulador!$B$11,Simulador!$B$10*(1-COS(PI()*(1-(($A141-Simulador!$E$8)/Simulador!$G$8))/Simulador!$B$11))/2,Simulador!$B$10)))</f>
        <v>0</v>
      </c>
      <c r="F141" s="18">
        <f>IF(OR((($A141-Simulador!$E$9)/Simulador!$G$9)&lt;=0,(($A141-Simulador!$E$9)/Simulador!$G$9)&gt;=1),0,IF((($A141-Simulador!$E$9)/Simulador!$G$9)&lt;Simulador!$B$11,Simulador!$B$10*(1-COS(PI()*(($A141-Simulador!$E$9)/Simulador!$G$9)/Simulador!$B$11))/2,IF((($A141-Simulador!$E$9)/Simulador!$G$9)&gt;1-Simulador!$B$11,Simulador!$B$10*(1-COS(PI()*(1-(($A141-Simulador!$E$9)/Simulador!$G$9))/Simulador!$B$11))/2,Simulador!$B$10)))</f>
        <v>0</v>
      </c>
      <c r="G141" s="18">
        <f>IF(OR((($A141-Simulador!$E$10)/Simulador!$G$10)&lt;=0,(($A141-Simulador!$E$10)/Simulador!$G$10)&gt;=1),0,IF((($A141-Simulador!$E$10)/Simulador!$G$10)&lt;Simulador!$B$11,Simulador!$B$10*(1-COS(PI()*(($A141-Simulador!$E$10)/Simulador!$G$10)/Simulador!$B$11))/2,IF((($A141-Simulador!$E$10)/Simulador!$G$10)&gt;1-Simulador!$B$11,Simulador!$B$10*(1-COS(PI()*(1-(($A141-Simulador!$E$10)/Simulador!$G$10))/Simulador!$B$11))/2,Simulador!$B$10)))</f>
        <v>0</v>
      </c>
    </row>
    <row r="142" spans="1:7" x14ac:dyDescent="0.25">
      <c r="A142" s="17">
        <f>A141+Simulador!$B$14</f>
        <v>280</v>
      </c>
      <c r="B142" s="18">
        <f>IF(OR((($A142-Simulador!$E$5)/Simulador!$G$5)&lt;=0,(($A142-Simulador!$E$5)/Simulador!$G$5)&gt;=1),0,IF((($A142-Simulador!$E$5)/Simulador!$G$5)&lt;Simulador!$B$11,Simulador!$B$9*(1-COS(PI()*(($A142-Simulador!$E$5)/Simulador!$G$5)/Simulador!$B$11))/2,IF((($A142-Simulador!$E$5)/Simulador!$G$5)&gt;1-Simulador!$B$11,Simulador!$B$9*(1-COS(PI()*(1-(($A142-Simulador!$E$5)/Simulador!$G$5))/Simulador!$B$11))/2,Simulador!$B$9)))</f>
        <v>8.8081645267090831</v>
      </c>
      <c r="C142" s="18">
        <f>IF(OR((($A142-Simulador!$E$6)/Simulador!$G$6)&lt;=0,(($A142-Simulador!$E$6)/Simulador!$G$6)&gt;=1),0,IF((($A142-Simulador!$E$6)/Simulador!$G$6)&lt;Simulador!$B$11,Simulador!$B$9*(1-COS(PI()*(($A142-Simulador!$E$6)/Simulador!$G$6)/Simulador!$B$11))/2,IF((($A142-Simulador!$E$6)/Simulador!$G$6)&gt;1-Simulador!$B$11,Simulador!$B$9*(1-COS(PI()*(1-(($A142-Simulador!$E$6)/Simulador!$G$6))/Simulador!$B$11))/2,Simulador!$B$9)))</f>
        <v>9.4813943485254928</v>
      </c>
      <c r="D142" s="18">
        <f>IF(OR((($A142-Simulador!$E$7)/Simulador!$G$7)&lt;=0,(($A142-Simulador!$E$7)/Simulador!$G$7)&gt;=1),0,IF((($A142-Simulador!$E$7)/Simulador!$G$7)&lt;Simulador!$B$11,Simulador!$B$9*(1-COS(PI()*(($A142-Simulador!$E$7)/Simulador!$G$7)/Simulador!$B$11))/2,IF((($A142-Simulador!$E$7)/Simulador!$G$7)&gt;1-Simulador!$B$11,Simulador!$B$9*(1-COS(PI()*(1-(($A142-Simulador!$E$7)/Simulador!$G$7))/Simulador!$B$11))/2,Simulador!$B$9)))</f>
        <v>9.5</v>
      </c>
      <c r="E142" s="18">
        <f>IF(OR((($A142-Simulador!$E$8)/Simulador!$G$8)&lt;=0,(($A142-Simulador!$E$8)/Simulador!$G$8)&gt;=1),0,IF((($A142-Simulador!$E$8)/Simulador!$G$8)&lt;Simulador!$B$11,Simulador!$B$10*(1-COS(PI()*(($A142-Simulador!$E$8)/Simulador!$G$8)/Simulador!$B$11))/2,IF((($A142-Simulador!$E$8)/Simulador!$G$8)&gt;1-Simulador!$B$11,Simulador!$B$10*(1-COS(PI()*(1-(($A142-Simulador!$E$8)/Simulador!$G$8))/Simulador!$B$11))/2,Simulador!$B$10)))</f>
        <v>0</v>
      </c>
      <c r="F142" s="18">
        <f>IF(OR((($A142-Simulador!$E$9)/Simulador!$G$9)&lt;=0,(($A142-Simulador!$E$9)/Simulador!$G$9)&gt;=1),0,IF((($A142-Simulador!$E$9)/Simulador!$G$9)&lt;Simulador!$B$11,Simulador!$B$10*(1-COS(PI()*(($A142-Simulador!$E$9)/Simulador!$G$9)/Simulador!$B$11))/2,IF((($A142-Simulador!$E$9)/Simulador!$G$9)&gt;1-Simulador!$B$11,Simulador!$B$10*(1-COS(PI()*(1-(($A142-Simulador!$E$9)/Simulador!$G$9))/Simulador!$B$11))/2,Simulador!$B$10)))</f>
        <v>0</v>
      </c>
      <c r="G142" s="18">
        <f>IF(OR((($A142-Simulador!$E$10)/Simulador!$G$10)&lt;=0,(($A142-Simulador!$E$10)/Simulador!$G$10)&gt;=1),0,IF((($A142-Simulador!$E$10)/Simulador!$G$10)&lt;Simulador!$B$11,Simulador!$B$10*(1-COS(PI()*(($A142-Simulador!$E$10)/Simulador!$G$10)/Simulador!$B$11))/2,IF((($A142-Simulador!$E$10)/Simulador!$G$10)&gt;1-Simulador!$B$11,Simulador!$B$10*(1-COS(PI()*(1-(($A142-Simulador!$E$10)/Simulador!$G$10))/Simulador!$B$11))/2,Simulador!$B$10)))</f>
        <v>0</v>
      </c>
    </row>
    <row r="143" spans="1:7" x14ac:dyDescent="0.25">
      <c r="A143" s="17">
        <f>A142+Simulador!$B$14</f>
        <v>282</v>
      </c>
      <c r="B143" s="18">
        <f>IF(OR((($A143-Simulador!$E$5)/Simulador!$G$5)&lt;=0,(($A143-Simulador!$E$5)/Simulador!$G$5)&gt;=1),0,IF((($A143-Simulador!$E$5)/Simulador!$G$5)&lt;Simulador!$B$11,Simulador!$B$9*(1-COS(PI()*(($A143-Simulador!$E$5)/Simulador!$G$5)/Simulador!$B$11))/2,IF((($A143-Simulador!$E$5)/Simulador!$G$5)&gt;1-Simulador!$B$11,Simulador!$B$9*(1-COS(PI()*(1-(($A143-Simulador!$E$5)/Simulador!$G$5))/Simulador!$B$11))/2,Simulador!$B$9)))</f>
        <v>8.6499620884198407</v>
      </c>
      <c r="C143" s="18">
        <f>IF(OR((($A143-Simulador!$E$6)/Simulador!$G$6)&lt;=0,(($A143-Simulador!$E$6)/Simulador!$G$6)&gt;=1),0,IF((($A143-Simulador!$E$6)/Simulador!$G$6)&lt;Simulador!$B$11,Simulador!$B$9*(1-COS(PI()*(($A143-Simulador!$E$6)/Simulador!$G$6)/Simulador!$B$11))/2,IF((($A143-Simulador!$E$6)/Simulador!$G$6)&gt;1-Simulador!$B$11,Simulador!$B$9*(1-COS(PI()*(1-(($A143-Simulador!$E$6)/Simulador!$G$6))/Simulador!$B$11))/2,Simulador!$B$9)))</f>
        <v>9.4469464245693597</v>
      </c>
      <c r="D143" s="18">
        <f>IF(OR((($A143-Simulador!$E$7)/Simulador!$G$7)&lt;=0,(($A143-Simulador!$E$7)/Simulador!$G$7)&gt;=1),0,IF((($A143-Simulador!$E$7)/Simulador!$G$7)&lt;Simulador!$B$11,Simulador!$B$9*(1-COS(PI()*(($A143-Simulador!$E$7)/Simulador!$G$7)/Simulador!$B$11))/2,IF((($A143-Simulador!$E$7)/Simulador!$G$7)&gt;1-Simulador!$B$11,Simulador!$B$9*(1-COS(PI()*(1-(($A143-Simulador!$E$7)/Simulador!$G$7))/Simulador!$B$11))/2,Simulador!$B$9)))</f>
        <v>9.5</v>
      </c>
      <c r="E143" s="18">
        <f>IF(OR((($A143-Simulador!$E$8)/Simulador!$G$8)&lt;=0,(($A143-Simulador!$E$8)/Simulador!$G$8)&gt;=1),0,IF((($A143-Simulador!$E$8)/Simulador!$G$8)&lt;Simulador!$B$11,Simulador!$B$10*(1-COS(PI()*(($A143-Simulador!$E$8)/Simulador!$G$8)/Simulador!$B$11))/2,IF((($A143-Simulador!$E$8)/Simulador!$G$8)&gt;1-Simulador!$B$11,Simulador!$B$10*(1-COS(PI()*(1-(($A143-Simulador!$E$8)/Simulador!$G$8))/Simulador!$B$11))/2,Simulador!$B$10)))</f>
        <v>0</v>
      </c>
      <c r="F143" s="18">
        <f>IF(OR((($A143-Simulador!$E$9)/Simulador!$G$9)&lt;=0,(($A143-Simulador!$E$9)/Simulador!$G$9)&gt;=1),0,IF((($A143-Simulador!$E$9)/Simulador!$G$9)&lt;Simulador!$B$11,Simulador!$B$10*(1-COS(PI()*(($A143-Simulador!$E$9)/Simulador!$G$9)/Simulador!$B$11))/2,IF((($A143-Simulador!$E$9)/Simulador!$G$9)&gt;1-Simulador!$B$11,Simulador!$B$10*(1-COS(PI()*(1-(($A143-Simulador!$E$9)/Simulador!$G$9))/Simulador!$B$11))/2,Simulador!$B$10)))</f>
        <v>0</v>
      </c>
      <c r="G143" s="18">
        <f>IF(OR((($A143-Simulador!$E$10)/Simulador!$G$10)&lt;=0,(($A143-Simulador!$E$10)/Simulador!$G$10)&gt;=1),0,IF((($A143-Simulador!$E$10)/Simulador!$G$10)&lt;Simulador!$B$11,Simulador!$B$10*(1-COS(PI()*(($A143-Simulador!$E$10)/Simulador!$G$10)/Simulador!$B$11))/2,IF((($A143-Simulador!$E$10)/Simulador!$G$10)&gt;1-Simulador!$B$11,Simulador!$B$10*(1-COS(PI()*(1-(($A143-Simulador!$E$10)/Simulador!$G$10))/Simulador!$B$11))/2,Simulador!$B$10)))</f>
        <v>0</v>
      </c>
    </row>
    <row r="144" spans="1:7" x14ac:dyDescent="0.25">
      <c r="A144" s="17">
        <f>A143+Simulador!$B$14</f>
        <v>284</v>
      </c>
      <c r="B144" s="18">
        <f>IF(OR((($A144-Simulador!$E$5)/Simulador!$G$5)&lt;=0,(($A144-Simulador!$E$5)/Simulador!$G$5)&gt;=1),0,IF((($A144-Simulador!$E$5)/Simulador!$G$5)&lt;Simulador!$B$11,Simulador!$B$9*(1-COS(PI()*(($A144-Simulador!$E$5)/Simulador!$G$5)/Simulador!$B$11))/2,IF((($A144-Simulador!$E$5)/Simulador!$G$5)&gt;1-Simulador!$B$11,Simulador!$B$9*(1-COS(PI()*(1-(($A144-Simulador!$E$5)/Simulador!$G$5))/Simulador!$B$11))/2,Simulador!$B$9)))</f>
        <v>8.4772233316011718</v>
      </c>
      <c r="C144" s="18">
        <f>IF(OR((($A144-Simulador!$E$6)/Simulador!$G$6)&lt;=0,(($A144-Simulador!$E$6)/Simulador!$G$6)&gt;=1),0,IF((($A144-Simulador!$E$6)/Simulador!$G$6)&lt;Simulador!$B$11,Simulador!$B$9*(1-COS(PI()*(($A144-Simulador!$E$6)/Simulador!$G$6)/Simulador!$B$11))/2,IF((($A144-Simulador!$E$6)/Simulador!$G$6)&gt;1-Simulador!$B$11,Simulador!$B$9*(1-COS(PI()*(1-(($A144-Simulador!$E$6)/Simulador!$G$6))/Simulador!$B$11))/2,Simulador!$B$9)))</f>
        <v>9.3949915844445009</v>
      </c>
      <c r="D144" s="18">
        <f>IF(OR((($A144-Simulador!$E$7)/Simulador!$G$7)&lt;=0,(($A144-Simulador!$E$7)/Simulador!$G$7)&gt;=1),0,IF((($A144-Simulador!$E$7)/Simulador!$G$7)&lt;Simulador!$B$11,Simulador!$B$9*(1-COS(PI()*(($A144-Simulador!$E$7)/Simulador!$G$7)/Simulador!$B$11))/2,IF((($A144-Simulador!$E$7)/Simulador!$G$7)&gt;1-Simulador!$B$11,Simulador!$B$9*(1-COS(PI()*(1-(($A144-Simulador!$E$7)/Simulador!$G$7))/Simulador!$B$11))/2,Simulador!$B$9)))</f>
        <v>9.5</v>
      </c>
      <c r="E144" s="18">
        <f>IF(OR((($A144-Simulador!$E$8)/Simulador!$G$8)&lt;=0,(($A144-Simulador!$E$8)/Simulador!$G$8)&gt;=1),0,IF((($A144-Simulador!$E$8)/Simulador!$G$8)&lt;Simulador!$B$11,Simulador!$B$10*(1-COS(PI()*(($A144-Simulador!$E$8)/Simulador!$G$8)/Simulador!$B$11))/2,IF((($A144-Simulador!$E$8)/Simulador!$G$8)&gt;1-Simulador!$B$11,Simulador!$B$10*(1-COS(PI()*(1-(($A144-Simulador!$E$8)/Simulador!$G$8))/Simulador!$B$11))/2,Simulador!$B$10)))</f>
        <v>0</v>
      </c>
      <c r="F144" s="18">
        <f>IF(OR((($A144-Simulador!$E$9)/Simulador!$G$9)&lt;=0,(($A144-Simulador!$E$9)/Simulador!$G$9)&gt;=1),0,IF((($A144-Simulador!$E$9)/Simulador!$G$9)&lt;Simulador!$B$11,Simulador!$B$10*(1-COS(PI()*(($A144-Simulador!$E$9)/Simulador!$G$9)/Simulador!$B$11))/2,IF((($A144-Simulador!$E$9)/Simulador!$G$9)&gt;1-Simulador!$B$11,Simulador!$B$10*(1-COS(PI()*(1-(($A144-Simulador!$E$9)/Simulador!$G$9))/Simulador!$B$11))/2,Simulador!$B$10)))</f>
        <v>0</v>
      </c>
      <c r="G144" s="18">
        <f>IF(OR((($A144-Simulador!$E$10)/Simulador!$G$10)&lt;=0,(($A144-Simulador!$E$10)/Simulador!$G$10)&gt;=1),0,IF((($A144-Simulador!$E$10)/Simulador!$G$10)&lt;Simulador!$B$11,Simulador!$B$10*(1-COS(PI()*(($A144-Simulador!$E$10)/Simulador!$G$10)/Simulador!$B$11))/2,IF((($A144-Simulador!$E$10)/Simulador!$G$10)&gt;1-Simulador!$B$11,Simulador!$B$10*(1-COS(PI()*(1-(($A144-Simulador!$E$10)/Simulador!$G$10))/Simulador!$B$11))/2,Simulador!$B$10)))</f>
        <v>0</v>
      </c>
    </row>
    <row r="145" spans="1:7" x14ac:dyDescent="0.25">
      <c r="A145" s="17">
        <f>A144+Simulador!$B$14</f>
        <v>286</v>
      </c>
      <c r="B145" s="18">
        <f>IF(OR((($A145-Simulador!$E$5)/Simulador!$G$5)&lt;=0,(($A145-Simulador!$E$5)/Simulador!$G$5)&gt;=1),0,IF((($A145-Simulador!$E$5)/Simulador!$G$5)&lt;Simulador!$B$11,Simulador!$B$9*(1-COS(PI()*(($A145-Simulador!$E$5)/Simulador!$G$5)/Simulador!$B$11))/2,IF((($A145-Simulador!$E$5)/Simulador!$G$5)&gt;1-Simulador!$B$11,Simulador!$B$9*(1-COS(PI()*(1-(($A145-Simulador!$E$5)/Simulador!$G$5))/Simulador!$B$11))/2,Simulador!$B$9)))</f>
        <v>8.2905921049712372</v>
      </c>
      <c r="C145" s="18">
        <f>IF(OR((($A145-Simulador!$E$6)/Simulador!$G$6)&lt;=0,(($A145-Simulador!$E$6)/Simulador!$G$6)&gt;=1),0,IF((($A145-Simulador!$E$6)/Simulador!$G$6)&lt;Simulador!$B$11,Simulador!$B$9*(1-COS(PI()*(($A145-Simulador!$E$6)/Simulador!$G$6)/Simulador!$B$11))/2,IF((($A145-Simulador!$E$6)/Simulador!$G$6)&gt;1-Simulador!$B$11,Simulador!$B$9*(1-COS(PI()*(1-(($A145-Simulador!$E$6)/Simulador!$G$6))/Simulador!$B$11))/2,Simulador!$B$9)))</f>
        <v>9.3257234792911223</v>
      </c>
      <c r="D145" s="18">
        <f>IF(OR((($A145-Simulador!$E$7)/Simulador!$G$7)&lt;=0,(($A145-Simulador!$E$7)/Simulador!$G$7)&gt;=1),0,IF((($A145-Simulador!$E$7)/Simulador!$G$7)&lt;Simulador!$B$11,Simulador!$B$9*(1-COS(PI()*(($A145-Simulador!$E$7)/Simulador!$G$7)/Simulador!$B$11))/2,IF((($A145-Simulador!$E$7)/Simulador!$G$7)&gt;1-Simulador!$B$11,Simulador!$B$9*(1-COS(PI()*(1-(($A145-Simulador!$E$7)/Simulador!$G$7))/Simulador!$B$11))/2,Simulador!$B$9)))</f>
        <v>9.5</v>
      </c>
      <c r="E145" s="18">
        <f>IF(OR((($A145-Simulador!$E$8)/Simulador!$G$8)&lt;=0,(($A145-Simulador!$E$8)/Simulador!$G$8)&gt;=1),0,IF((($A145-Simulador!$E$8)/Simulador!$G$8)&lt;Simulador!$B$11,Simulador!$B$10*(1-COS(PI()*(($A145-Simulador!$E$8)/Simulador!$G$8)/Simulador!$B$11))/2,IF((($A145-Simulador!$E$8)/Simulador!$G$8)&gt;1-Simulador!$B$11,Simulador!$B$10*(1-COS(PI()*(1-(($A145-Simulador!$E$8)/Simulador!$G$8))/Simulador!$B$11))/2,Simulador!$B$10)))</f>
        <v>0</v>
      </c>
      <c r="F145" s="18">
        <f>IF(OR((($A145-Simulador!$E$9)/Simulador!$G$9)&lt;=0,(($A145-Simulador!$E$9)/Simulador!$G$9)&gt;=1),0,IF((($A145-Simulador!$E$9)/Simulador!$G$9)&lt;Simulador!$B$11,Simulador!$B$10*(1-COS(PI()*(($A145-Simulador!$E$9)/Simulador!$G$9)/Simulador!$B$11))/2,IF((($A145-Simulador!$E$9)/Simulador!$G$9)&gt;1-Simulador!$B$11,Simulador!$B$10*(1-COS(PI()*(1-(($A145-Simulador!$E$9)/Simulador!$G$9))/Simulador!$B$11))/2,Simulador!$B$10)))</f>
        <v>0</v>
      </c>
      <c r="G145" s="18">
        <f>IF(OR((($A145-Simulador!$E$10)/Simulador!$G$10)&lt;=0,(($A145-Simulador!$E$10)/Simulador!$G$10)&gt;=1),0,IF((($A145-Simulador!$E$10)/Simulador!$G$10)&lt;Simulador!$B$11,Simulador!$B$10*(1-COS(PI()*(($A145-Simulador!$E$10)/Simulador!$G$10)/Simulador!$B$11))/2,IF((($A145-Simulador!$E$10)/Simulador!$G$10)&gt;1-Simulador!$B$11,Simulador!$B$10*(1-COS(PI()*(1-(($A145-Simulador!$E$10)/Simulador!$G$10))/Simulador!$B$11))/2,Simulador!$B$10)))</f>
        <v>0</v>
      </c>
    </row>
    <row r="146" spans="1:7" x14ac:dyDescent="0.25">
      <c r="A146" s="17">
        <f>A145+Simulador!$B$14</f>
        <v>288</v>
      </c>
      <c r="B146" s="18">
        <f>IF(OR((($A146-Simulador!$E$5)/Simulador!$G$5)&lt;=0,(($A146-Simulador!$E$5)/Simulador!$G$5)&gt;=1),0,IF((($A146-Simulador!$E$5)/Simulador!$G$5)&lt;Simulador!$B$11,Simulador!$B$9*(1-COS(PI()*(($A146-Simulador!$E$5)/Simulador!$G$5)/Simulador!$B$11))/2,IF((($A146-Simulador!$E$5)/Simulador!$G$5)&gt;1-Simulador!$B$11,Simulador!$B$9*(1-COS(PI()*(1-(($A146-Simulador!$E$5)/Simulador!$G$5))/Simulador!$B$11))/2,Simulador!$B$9)))</f>
        <v>8.0907640386147186</v>
      </c>
      <c r="C146" s="18">
        <f>IF(OR((($A146-Simulador!$E$6)/Simulador!$G$6)&lt;=0,(($A146-Simulador!$E$6)/Simulador!$G$6)&gt;=1),0,IF((($A146-Simulador!$E$6)/Simulador!$G$6)&lt;Simulador!$B$11,Simulador!$B$9*(1-COS(PI()*(($A146-Simulador!$E$6)/Simulador!$G$6)/Simulador!$B$11))/2,IF((($A146-Simulador!$E$6)/Simulador!$G$6)&gt;1-Simulador!$B$11,Simulador!$B$9*(1-COS(PI()*(1-(($A146-Simulador!$E$6)/Simulador!$G$6))/Simulador!$B$11))/2,Simulador!$B$9)))</f>
        <v>9.2394002919370628</v>
      </c>
      <c r="D146" s="18">
        <f>IF(OR((($A146-Simulador!$E$7)/Simulador!$G$7)&lt;=0,(($A146-Simulador!$E$7)/Simulador!$G$7)&gt;=1),0,IF((($A146-Simulador!$E$7)/Simulador!$G$7)&lt;Simulador!$B$11,Simulador!$B$9*(1-COS(PI()*(($A146-Simulador!$E$7)/Simulador!$G$7)/Simulador!$B$11))/2,IF((($A146-Simulador!$E$7)/Simulador!$G$7)&gt;1-Simulador!$B$11,Simulador!$B$9*(1-COS(PI()*(1-(($A146-Simulador!$E$7)/Simulador!$G$7))/Simulador!$B$11))/2,Simulador!$B$9)))</f>
        <v>9.5</v>
      </c>
      <c r="E146" s="18">
        <f>IF(OR((($A146-Simulador!$E$8)/Simulador!$G$8)&lt;=0,(($A146-Simulador!$E$8)/Simulador!$G$8)&gt;=1),0,IF((($A146-Simulador!$E$8)/Simulador!$G$8)&lt;Simulador!$B$11,Simulador!$B$10*(1-COS(PI()*(($A146-Simulador!$E$8)/Simulador!$G$8)/Simulador!$B$11))/2,IF((($A146-Simulador!$E$8)/Simulador!$G$8)&gt;1-Simulador!$B$11,Simulador!$B$10*(1-COS(PI()*(1-(($A146-Simulador!$E$8)/Simulador!$G$8))/Simulador!$B$11))/2,Simulador!$B$10)))</f>
        <v>0</v>
      </c>
      <c r="F146" s="18">
        <f>IF(OR((($A146-Simulador!$E$9)/Simulador!$G$9)&lt;=0,(($A146-Simulador!$E$9)/Simulador!$G$9)&gt;=1),0,IF((($A146-Simulador!$E$9)/Simulador!$G$9)&lt;Simulador!$B$11,Simulador!$B$10*(1-COS(PI()*(($A146-Simulador!$E$9)/Simulador!$G$9)/Simulador!$B$11))/2,IF((($A146-Simulador!$E$9)/Simulador!$G$9)&gt;1-Simulador!$B$11,Simulador!$B$10*(1-COS(PI()*(1-(($A146-Simulador!$E$9)/Simulador!$G$9))/Simulador!$B$11))/2,Simulador!$B$10)))</f>
        <v>0</v>
      </c>
      <c r="G146" s="18">
        <f>IF(OR((($A146-Simulador!$E$10)/Simulador!$G$10)&lt;=0,(($A146-Simulador!$E$10)/Simulador!$G$10)&gt;=1),0,IF((($A146-Simulador!$E$10)/Simulador!$G$10)&lt;Simulador!$B$11,Simulador!$B$10*(1-COS(PI()*(($A146-Simulador!$E$10)/Simulador!$G$10)/Simulador!$B$11))/2,IF((($A146-Simulador!$E$10)/Simulador!$G$10)&gt;1-Simulador!$B$11,Simulador!$B$10*(1-COS(PI()*(1-(($A146-Simulador!$E$10)/Simulador!$G$10))/Simulador!$B$11))/2,Simulador!$B$10)))</f>
        <v>0</v>
      </c>
    </row>
    <row r="147" spans="1:7" x14ac:dyDescent="0.25">
      <c r="A147" s="17">
        <f>A146+Simulador!$B$14</f>
        <v>290</v>
      </c>
      <c r="B147" s="18">
        <f>IF(OR((($A147-Simulador!$E$5)/Simulador!$G$5)&lt;=0,(($A147-Simulador!$E$5)/Simulador!$G$5)&gt;=1),0,IF((($A147-Simulador!$E$5)/Simulador!$G$5)&lt;Simulador!$B$11,Simulador!$B$9*(1-COS(PI()*(($A147-Simulador!$E$5)/Simulador!$G$5)/Simulador!$B$11))/2,IF((($A147-Simulador!$E$5)/Simulador!$G$5)&gt;1-Simulador!$B$11,Simulador!$B$9*(1-COS(PI()*(1-(($A147-Simulador!$E$5)/Simulador!$G$5))/Simulador!$B$11))/2,Simulador!$B$9)))</f>
        <v>7.8784839511626208</v>
      </c>
      <c r="C147" s="18">
        <f>IF(OR((($A147-Simulador!$E$6)/Simulador!$G$6)&lt;=0,(($A147-Simulador!$E$6)/Simulador!$G$6)&gt;=1),0,IF((($A147-Simulador!$E$6)/Simulador!$G$6)&lt;Simulador!$B$11,Simulador!$B$9*(1-COS(PI()*(($A147-Simulador!$E$6)/Simulador!$G$6)/Simulador!$B$11))/2,IF((($A147-Simulador!$E$6)/Simulador!$G$6)&gt;1-Simulador!$B$11,Simulador!$B$9*(1-COS(PI()*(1-(($A147-Simulador!$E$6)/Simulador!$G$6))/Simulador!$B$11))/2,Simulador!$B$9)))</f>
        <v>9.1363437745735983</v>
      </c>
      <c r="D147" s="18">
        <f>IF(OR((($A147-Simulador!$E$7)/Simulador!$G$7)&lt;=0,(($A147-Simulador!$E$7)/Simulador!$G$7)&gt;=1),0,IF((($A147-Simulador!$E$7)/Simulador!$G$7)&lt;Simulador!$B$11,Simulador!$B$9*(1-COS(PI()*(($A147-Simulador!$E$7)/Simulador!$G$7)/Simulador!$B$11))/2,IF((($A147-Simulador!$E$7)/Simulador!$G$7)&gt;1-Simulador!$B$11,Simulador!$B$9*(1-COS(PI()*(1-(($A147-Simulador!$E$7)/Simulador!$G$7))/Simulador!$B$11))/2,Simulador!$B$9)))</f>
        <v>9.5</v>
      </c>
      <c r="E147" s="18">
        <f>IF(OR((($A147-Simulador!$E$8)/Simulador!$G$8)&lt;=0,(($A147-Simulador!$E$8)/Simulador!$G$8)&gt;=1),0,IF((($A147-Simulador!$E$8)/Simulador!$G$8)&lt;Simulador!$B$11,Simulador!$B$10*(1-COS(PI()*(($A147-Simulador!$E$8)/Simulador!$G$8)/Simulador!$B$11))/2,IF((($A147-Simulador!$E$8)/Simulador!$G$8)&gt;1-Simulador!$B$11,Simulador!$B$10*(1-COS(PI()*(1-(($A147-Simulador!$E$8)/Simulador!$G$8))/Simulador!$B$11))/2,Simulador!$B$10)))</f>
        <v>0</v>
      </c>
      <c r="F147" s="18">
        <f>IF(OR((($A147-Simulador!$E$9)/Simulador!$G$9)&lt;=0,(($A147-Simulador!$E$9)/Simulador!$G$9)&gt;=1),0,IF((($A147-Simulador!$E$9)/Simulador!$G$9)&lt;Simulador!$B$11,Simulador!$B$10*(1-COS(PI()*(($A147-Simulador!$E$9)/Simulador!$G$9)/Simulador!$B$11))/2,IF((($A147-Simulador!$E$9)/Simulador!$G$9)&gt;1-Simulador!$B$11,Simulador!$B$10*(1-COS(PI()*(1-(($A147-Simulador!$E$9)/Simulador!$G$9))/Simulador!$B$11))/2,Simulador!$B$10)))</f>
        <v>0</v>
      </c>
      <c r="G147" s="18">
        <f>IF(OR((($A147-Simulador!$E$10)/Simulador!$G$10)&lt;=0,(($A147-Simulador!$E$10)/Simulador!$G$10)&gt;=1),0,IF((($A147-Simulador!$E$10)/Simulador!$G$10)&lt;Simulador!$B$11,Simulador!$B$10*(1-COS(PI()*(($A147-Simulador!$E$10)/Simulador!$G$10)/Simulador!$B$11))/2,IF((($A147-Simulador!$E$10)/Simulador!$G$10)&gt;1-Simulador!$B$11,Simulador!$B$10*(1-COS(PI()*(1-(($A147-Simulador!$E$10)/Simulador!$G$10))/Simulador!$B$11))/2,Simulador!$B$10)))</f>
        <v>0</v>
      </c>
    </row>
    <row r="148" spans="1:7" x14ac:dyDescent="0.25">
      <c r="A148" s="17">
        <f>A147+Simulador!$B$14</f>
        <v>292</v>
      </c>
      <c r="B148" s="18">
        <f>IF(OR((($A148-Simulador!$E$5)/Simulador!$G$5)&lt;=0,(($A148-Simulador!$E$5)/Simulador!$G$5)&gt;=1),0,IF((($A148-Simulador!$E$5)/Simulador!$G$5)&lt;Simulador!$B$11,Simulador!$B$9*(1-COS(PI()*(($A148-Simulador!$E$5)/Simulador!$G$5)/Simulador!$B$11))/2,IF((($A148-Simulador!$E$5)/Simulador!$G$5)&gt;1-Simulador!$B$11,Simulador!$B$9*(1-COS(PI()*(1-(($A148-Simulador!$E$5)/Simulador!$G$5))/Simulador!$B$11))/2,Simulador!$B$9)))</f>
        <v>7.6545430736317392</v>
      </c>
      <c r="C148" s="18">
        <f>IF(OR((($A148-Simulador!$E$6)/Simulador!$G$6)&lt;=0,(($A148-Simulador!$E$6)/Simulador!$G$6)&gt;=1),0,IF((($A148-Simulador!$E$6)/Simulador!$G$6)&lt;Simulador!$B$11,Simulador!$B$9*(1-COS(PI()*(($A148-Simulador!$E$6)/Simulador!$G$6)/Simulador!$B$11))/2,IF((($A148-Simulador!$E$6)/Simulador!$G$6)&gt;1-Simulador!$B$11,Simulador!$B$9*(1-COS(PI()*(1-(($A148-Simulador!$E$6)/Simulador!$G$6))/Simulador!$B$11))/2,Simulador!$B$9)))</f>
        <v>9.0169380494893474</v>
      </c>
      <c r="D148" s="18">
        <f>IF(OR((($A148-Simulador!$E$7)/Simulador!$G$7)&lt;=0,(($A148-Simulador!$E$7)/Simulador!$G$7)&gt;=1),0,IF((($A148-Simulador!$E$7)/Simulador!$G$7)&lt;Simulador!$B$11,Simulador!$B$9*(1-COS(PI()*(($A148-Simulador!$E$7)/Simulador!$G$7)/Simulador!$B$11))/2,IF((($A148-Simulador!$E$7)/Simulador!$G$7)&gt;1-Simulador!$B$11,Simulador!$B$9*(1-COS(PI()*(1-(($A148-Simulador!$E$7)/Simulador!$G$7))/Simulador!$B$11))/2,Simulador!$B$9)))</f>
        <v>9.5</v>
      </c>
      <c r="E148" s="18">
        <f>IF(OR((($A148-Simulador!$E$8)/Simulador!$G$8)&lt;=0,(($A148-Simulador!$E$8)/Simulador!$G$8)&gt;=1),0,IF((($A148-Simulador!$E$8)/Simulador!$G$8)&lt;Simulador!$B$11,Simulador!$B$10*(1-COS(PI()*(($A148-Simulador!$E$8)/Simulador!$G$8)/Simulador!$B$11))/2,IF((($A148-Simulador!$E$8)/Simulador!$G$8)&gt;1-Simulador!$B$11,Simulador!$B$10*(1-COS(PI()*(1-(($A148-Simulador!$E$8)/Simulador!$G$8))/Simulador!$B$11))/2,Simulador!$B$10)))</f>
        <v>0</v>
      </c>
      <c r="F148" s="18">
        <f>IF(OR((($A148-Simulador!$E$9)/Simulador!$G$9)&lt;=0,(($A148-Simulador!$E$9)/Simulador!$G$9)&gt;=1),0,IF((($A148-Simulador!$E$9)/Simulador!$G$9)&lt;Simulador!$B$11,Simulador!$B$10*(1-COS(PI()*(($A148-Simulador!$E$9)/Simulador!$G$9)/Simulador!$B$11))/2,IF((($A148-Simulador!$E$9)/Simulador!$G$9)&gt;1-Simulador!$B$11,Simulador!$B$10*(1-COS(PI()*(1-(($A148-Simulador!$E$9)/Simulador!$G$9))/Simulador!$B$11))/2,Simulador!$B$10)))</f>
        <v>0</v>
      </c>
      <c r="G148" s="18">
        <f>IF(OR((($A148-Simulador!$E$10)/Simulador!$G$10)&lt;=0,(($A148-Simulador!$E$10)/Simulador!$G$10)&gt;=1),0,IF((($A148-Simulador!$E$10)/Simulador!$G$10)&lt;Simulador!$B$11,Simulador!$B$10*(1-COS(PI()*(($A148-Simulador!$E$10)/Simulador!$G$10)/Simulador!$B$11))/2,IF((($A148-Simulador!$E$10)/Simulador!$G$10)&gt;1-Simulador!$B$11,Simulador!$B$10*(1-COS(PI()*(1-(($A148-Simulador!$E$10)/Simulador!$G$10))/Simulador!$B$11))/2,Simulador!$B$10)))</f>
        <v>0</v>
      </c>
    </row>
    <row r="149" spans="1:7" x14ac:dyDescent="0.25">
      <c r="A149" s="17">
        <f>A148+Simulador!$B$14</f>
        <v>294</v>
      </c>
      <c r="B149" s="18">
        <f>IF(OR((($A149-Simulador!$E$5)/Simulador!$G$5)&lt;=0,(($A149-Simulador!$E$5)/Simulador!$G$5)&gt;=1),0,IF((($A149-Simulador!$E$5)/Simulador!$G$5)&lt;Simulador!$B$11,Simulador!$B$9*(1-COS(PI()*(($A149-Simulador!$E$5)/Simulador!$G$5)/Simulador!$B$11))/2,IF((($A149-Simulador!$E$5)/Simulador!$G$5)&gt;1-Simulador!$B$11,Simulador!$B$9*(1-COS(PI()*(1-(($A149-Simulador!$E$5)/Simulador!$G$5))/Simulador!$B$11))/2,Simulador!$B$9)))</f>
        <v>7.4197761002713305</v>
      </c>
      <c r="C149" s="18">
        <f>IF(OR((($A149-Simulador!$E$6)/Simulador!$G$6)&lt;=0,(($A149-Simulador!$E$6)/Simulador!$G$6)&gt;=1),0,IF((($A149-Simulador!$E$6)/Simulador!$G$6)&lt;Simulador!$B$11,Simulador!$B$9*(1-COS(PI()*(($A149-Simulador!$E$6)/Simulador!$G$6)/Simulador!$B$11))/2,IF((($A149-Simulador!$E$6)/Simulador!$G$6)&gt;1-Simulador!$B$11,Simulador!$B$9*(1-COS(PI()*(1-(($A149-Simulador!$E$6)/Simulador!$G$6))/Simulador!$B$11))/2,Simulador!$B$9)))</f>
        <v>8.8816281773322654</v>
      </c>
      <c r="D149" s="18">
        <f>IF(OR((($A149-Simulador!$E$7)/Simulador!$G$7)&lt;=0,(($A149-Simulador!$E$7)/Simulador!$G$7)&gt;=1),0,IF((($A149-Simulador!$E$7)/Simulador!$G$7)&lt;Simulador!$B$11,Simulador!$B$9*(1-COS(PI()*(($A149-Simulador!$E$7)/Simulador!$G$7)/Simulador!$B$11))/2,IF((($A149-Simulador!$E$7)/Simulador!$G$7)&gt;1-Simulador!$B$11,Simulador!$B$9*(1-COS(PI()*(1-(($A149-Simulador!$E$7)/Simulador!$G$7))/Simulador!$B$11))/2,Simulador!$B$9)))</f>
        <v>9.4920105289504395</v>
      </c>
      <c r="E149" s="18">
        <f>IF(OR((($A149-Simulador!$E$8)/Simulador!$G$8)&lt;=0,(($A149-Simulador!$E$8)/Simulador!$G$8)&gt;=1),0,IF((($A149-Simulador!$E$8)/Simulador!$G$8)&lt;Simulador!$B$11,Simulador!$B$10*(1-COS(PI()*(($A149-Simulador!$E$8)/Simulador!$G$8)/Simulador!$B$11))/2,IF((($A149-Simulador!$E$8)/Simulador!$G$8)&gt;1-Simulador!$B$11,Simulador!$B$10*(1-COS(PI()*(1-(($A149-Simulador!$E$8)/Simulador!$G$8))/Simulador!$B$11))/2,Simulador!$B$10)))</f>
        <v>0</v>
      </c>
      <c r="F149" s="18">
        <f>IF(OR((($A149-Simulador!$E$9)/Simulador!$G$9)&lt;=0,(($A149-Simulador!$E$9)/Simulador!$G$9)&gt;=1),0,IF((($A149-Simulador!$E$9)/Simulador!$G$9)&lt;Simulador!$B$11,Simulador!$B$10*(1-COS(PI()*(($A149-Simulador!$E$9)/Simulador!$G$9)/Simulador!$B$11))/2,IF((($A149-Simulador!$E$9)/Simulador!$G$9)&gt;1-Simulador!$B$11,Simulador!$B$10*(1-COS(PI()*(1-(($A149-Simulador!$E$9)/Simulador!$G$9))/Simulador!$B$11))/2,Simulador!$B$10)))</f>
        <v>0</v>
      </c>
      <c r="G149" s="18">
        <f>IF(OR((($A149-Simulador!$E$10)/Simulador!$G$10)&lt;=0,(($A149-Simulador!$E$10)/Simulador!$G$10)&gt;=1),0,IF((($A149-Simulador!$E$10)/Simulador!$G$10)&lt;Simulador!$B$11,Simulador!$B$10*(1-COS(PI()*(($A149-Simulador!$E$10)/Simulador!$G$10)/Simulador!$B$11))/2,IF((($A149-Simulador!$E$10)/Simulador!$G$10)&gt;1-Simulador!$B$11,Simulador!$B$10*(1-COS(PI()*(1-(($A149-Simulador!$E$10)/Simulador!$G$10))/Simulador!$B$11))/2,Simulador!$B$10)))</f>
        <v>0</v>
      </c>
    </row>
    <row r="150" spans="1:7" x14ac:dyDescent="0.25">
      <c r="A150" s="17">
        <f>A149+Simulador!$B$14</f>
        <v>296</v>
      </c>
      <c r="B150" s="18">
        <f>IF(OR((($A150-Simulador!$E$5)/Simulador!$G$5)&lt;=0,(($A150-Simulador!$E$5)/Simulador!$G$5)&gt;=1),0,IF((($A150-Simulador!$E$5)/Simulador!$G$5)&lt;Simulador!$B$11,Simulador!$B$9*(1-COS(PI()*(($A150-Simulador!$E$5)/Simulador!$G$5)/Simulador!$B$11))/2,IF((($A150-Simulador!$E$5)/Simulador!$G$5)&gt;1-Simulador!$B$11,Simulador!$B$9*(1-COS(PI()*(1-(($A150-Simulador!$E$5)/Simulador!$G$5))/Simulador!$B$11))/2,Simulador!$B$9)))</f>
        <v>7.1750580774094326</v>
      </c>
      <c r="C150" s="18">
        <f>IF(OR((($A150-Simulador!$E$6)/Simulador!$G$6)&lt;=0,(($A150-Simulador!$E$6)/Simulador!$G$6)&gt;=1),0,IF((($A150-Simulador!$E$6)/Simulador!$G$6)&lt;Simulador!$B$11,Simulador!$B$9*(1-COS(PI()*(($A150-Simulador!$E$6)/Simulador!$G$6)/Simulador!$B$11))/2,IF((($A150-Simulador!$E$6)/Simulador!$G$6)&gt;1-Simulador!$B$11,Simulador!$B$9*(1-COS(PI()*(1-(($A150-Simulador!$E$6)/Simulador!$G$6))/Simulador!$B$11))/2,Simulador!$B$9)))</f>
        <v>8.7309184982362424</v>
      </c>
      <c r="D150" s="18">
        <f>IF(OR((($A150-Simulador!$E$7)/Simulador!$G$7)&lt;=0,(($A150-Simulador!$E$7)/Simulador!$G$7)&gt;=1),0,IF((($A150-Simulador!$E$7)/Simulador!$G$7)&lt;Simulador!$B$11,Simulador!$B$9*(1-COS(PI()*(($A150-Simulador!$E$7)/Simulador!$G$7)/Simulador!$B$11))/2,IF((($A150-Simulador!$E$7)/Simulador!$G$7)&gt;1-Simulador!$B$11,Simulador!$B$9*(1-COS(PI()*(1-(($A150-Simulador!$E$7)/Simulador!$G$7))/Simulador!$B$11))/2,Simulador!$B$9)))</f>
        <v>9.4663683121018369</v>
      </c>
      <c r="E150" s="18">
        <f>IF(OR((($A150-Simulador!$E$8)/Simulador!$G$8)&lt;=0,(($A150-Simulador!$E$8)/Simulador!$G$8)&gt;=1),0,IF((($A150-Simulador!$E$8)/Simulador!$G$8)&lt;Simulador!$B$11,Simulador!$B$10*(1-COS(PI()*(($A150-Simulador!$E$8)/Simulador!$G$8)/Simulador!$B$11))/2,IF((($A150-Simulador!$E$8)/Simulador!$G$8)&gt;1-Simulador!$B$11,Simulador!$B$10*(1-COS(PI()*(1-(($A150-Simulador!$E$8)/Simulador!$G$8))/Simulador!$B$11))/2,Simulador!$B$10)))</f>
        <v>0</v>
      </c>
      <c r="F150" s="18">
        <f>IF(OR((($A150-Simulador!$E$9)/Simulador!$G$9)&lt;=0,(($A150-Simulador!$E$9)/Simulador!$G$9)&gt;=1),0,IF((($A150-Simulador!$E$9)/Simulador!$G$9)&lt;Simulador!$B$11,Simulador!$B$10*(1-COS(PI()*(($A150-Simulador!$E$9)/Simulador!$G$9)/Simulador!$B$11))/2,IF((($A150-Simulador!$E$9)/Simulador!$G$9)&gt;1-Simulador!$B$11,Simulador!$B$10*(1-COS(PI()*(1-(($A150-Simulador!$E$9)/Simulador!$G$9))/Simulador!$B$11))/2,Simulador!$B$10)))</f>
        <v>0</v>
      </c>
      <c r="G150" s="18">
        <f>IF(OR((($A150-Simulador!$E$10)/Simulador!$G$10)&lt;=0,(($A150-Simulador!$E$10)/Simulador!$G$10)&gt;=1),0,IF((($A150-Simulador!$E$10)/Simulador!$G$10)&lt;Simulador!$B$11,Simulador!$B$10*(1-COS(PI()*(($A150-Simulador!$E$10)/Simulador!$G$10)/Simulador!$B$11))/2,IF((($A150-Simulador!$E$10)/Simulador!$G$10)&gt;1-Simulador!$B$11,Simulador!$B$10*(1-COS(PI()*(1-(($A150-Simulador!$E$10)/Simulador!$G$10))/Simulador!$B$11))/2,Simulador!$B$10)))</f>
        <v>0</v>
      </c>
    </row>
    <row r="151" spans="1:7" x14ac:dyDescent="0.25">
      <c r="A151" s="17">
        <f>A150+Simulador!$B$14</f>
        <v>298</v>
      </c>
      <c r="B151" s="18">
        <f>IF(OR((($A151-Simulador!$E$5)/Simulador!$G$5)&lt;=0,(($A151-Simulador!$E$5)/Simulador!$G$5)&gt;=1),0,IF((($A151-Simulador!$E$5)/Simulador!$G$5)&lt;Simulador!$B$11,Simulador!$B$9*(1-COS(PI()*(($A151-Simulador!$E$5)/Simulador!$G$5)/Simulador!$B$11))/2,IF((($A151-Simulador!$E$5)/Simulador!$G$5)&gt;1-Simulador!$B$11,Simulador!$B$9*(1-COS(PI()*(1-(($A151-Simulador!$E$5)/Simulador!$G$5))/Simulador!$B$11))/2,Simulador!$B$9)))</f>
        <v>6.9213011418949595</v>
      </c>
      <c r="C151" s="18">
        <f>IF(OR((($A151-Simulador!$E$6)/Simulador!$G$6)&lt;=0,(($A151-Simulador!$E$6)/Simulador!$G$6)&gt;=1),0,IF((($A151-Simulador!$E$6)/Simulador!$G$6)&lt;Simulador!$B$11,Simulador!$B$9*(1-COS(PI()*(($A151-Simulador!$E$6)/Simulador!$G$6)/Simulador!$B$11))/2,IF((($A151-Simulador!$E$6)/Simulador!$G$6)&gt;1-Simulador!$B$11,Simulador!$B$9*(1-COS(PI()*(1-(($A151-Simulador!$E$6)/Simulador!$G$6))/Simulador!$B$11))/2,Simulador!$B$9)))</f>
        <v>8.565370751995447</v>
      </c>
      <c r="D151" s="18">
        <f>IF(OR((($A151-Simulador!$E$7)/Simulador!$G$7)&lt;=0,(($A151-Simulador!$E$7)/Simulador!$G$7)&gt;=1),0,IF((($A151-Simulador!$E$7)/Simulador!$G$7)&lt;Simulador!$B$11,Simulador!$B$9*(1-COS(PI()*(($A151-Simulador!$E$7)/Simulador!$G$7)/Simulador!$B$11))/2,IF((($A151-Simulador!$E$7)/Simulador!$G$7)&gt;1-Simulador!$B$11,Simulador!$B$9*(1-COS(PI()*(1-(($A151-Simulador!$E$7)/Simulador!$G$7))/Simulador!$B$11))/2,Simulador!$B$9)))</f>
        <v>9.4231467879337156</v>
      </c>
      <c r="E151" s="18">
        <f>IF(OR((($A151-Simulador!$E$8)/Simulador!$G$8)&lt;=0,(($A151-Simulador!$E$8)/Simulador!$G$8)&gt;=1),0,IF((($A151-Simulador!$E$8)/Simulador!$G$8)&lt;Simulador!$B$11,Simulador!$B$10*(1-COS(PI()*(($A151-Simulador!$E$8)/Simulador!$G$8)/Simulador!$B$11))/2,IF((($A151-Simulador!$E$8)/Simulador!$G$8)&gt;1-Simulador!$B$11,Simulador!$B$10*(1-COS(PI()*(1-(($A151-Simulador!$E$8)/Simulador!$G$8))/Simulador!$B$11))/2,Simulador!$B$10)))</f>
        <v>0</v>
      </c>
      <c r="F151" s="18">
        <f>IF(OR((($A151-Simulador!$E$9)/Simulador!$G$9)&lt;=0,(($A151-Simulador!$E$9)/Simulador!$G$9)&gt;=1),0,IF((($A151-Simulador!$E$9)/Simulador!$G$9)&lt;Simulador!$B$11,Simulador!$B$10*(1-COS(PI()*(($A151-Simulador!$E$9)/Simulador!$G$9)/Simulador!$B$11))/2,IF((($A151-Simulador!$E$9)/Simulador!$G$9)&gt;1-Simulador!$B$11,Simulador!$B$10*(1-COS(PI()*(1-(($A151-Simulador!$E$9)/Simulador!$G$9))/Simulador!$B$11))/2,Simulador!$B$10)))</f>
        <v>0</v>
      </c>
      <c r="G151" s="18">
        <f>IF(OR((($A151-Simulador!$E$10)/Simulador!$G$10)&lt;=0,(($A151-Simulador!$E$10)/Simulador!$G$10)&gt;=1),0,IF((($A151-Simulador!$E$10)/Simulador!$G$10)&lt;Simulador!$B$11,Simulador!$B$10*(1-COS(PI()*(($A151-Simulador!$E$10)/Simulador!$G$10)/Simulador!$B$11))/2,IF((($A151-Simulador!$E$10)/Simulador!$G$10)&gt;1-Simulador!$B$11,Simulador!$B$10*(1-COS(PI()*(1-(($A151-Simulador!$E$10)/Simulador!$G$10))/Simulador!$B$11))/2,Simulador!$B$10)))</f>
        <v>0</v>
      </c>
    </row>
    <row r="152" spans="1:7" x14ac:dyDescent="0.25">
      <c r="A152" s="17">
        <f>A151+Simulador!$B$14</f>
        <v>300</v>
      </c>
      <c r="B152" s="18">
        <f>IF(OR((($A152-Simulador!$E$5)/Simulador!$G$5)&lt;=0,(($A152-Simulador!$E$5)/Simulador!$G$5)&gt;=1),0,IF((($A152-Simulador!$E$5)/Simulador!$G$5)&lt;Simulador!$B$11,Simulador!$B$9*(1-COS(PI()*(($A152-Simulador!$E$5)/Simulador!$G$5)/Simulador!$B$11))/2,IF((($A152-Simulador!$E$5)/Simulador!$G$5)&gt;1-Simulador!$B$11,Simulador!$B$9*(1-COS(PI()*(1-(($A152-Simulador!$E$5)/Simulador!$G$5))/Simulador!$B$11))/2,Simulador!$B$9)))</f>
        <v>6.6594511212924044</v>
      </c>
      <c r="C152" s="18">
        <f>IF(OR((($A152-Simulador!$E$6)/Simulador!$G$6)&lt;=0,(($A152-Simulador!$E$6)/Simulador!$G$6)&gt;=1),0,IF((($A152-Simulador!$E$6)/Simulador!$G$6)&lt;Simulador!$B$11,Simulador!$B$9*(1-COS(PI()*(($A152-Simulador!$E$6)/Simulador!$G$6)/Simulador!$B$11))/2,IF((($A152-Simulador!$E$6)/Simulador!$G$6)&gt;1-Simulador!$B$11,Simulador!$B$9*(1-COS(PI()*(1-(($A152-Simulador!$E$6)/Simulador!$G$6))/Simulador!$B$11))/2,Simulador!$B$9)))</f>
        <v>8.3856019842930483</v>
      </c>
      <c r="D152" s="18">
        <f>IF(OR((($A152-Simulador!$E$7)/Simulador!$G$7)&lt;=0,(($A152-Simulador!$E$7)/Simulador!$G$7)&gt;=1),0,IF((($A152-Simulador!$E$7)/Simulador!$G$7)&lt;Simulador!$B$11,Simulador!$B$9*(1-COS(PI()*(($A152-Simulador!$E$7)/Simulador!$G$7)/Simulador!$B$11))/2,IF((($A152-Simulador!$E$7)/Simulador!$G$7)&gt;1-Simulador!$B$11,Simulador!$B$9*(1-COS(PI()*(1-(($A152-Simulador!$E$7)/Simulador!$G$7))/Simulador!$B$11))/2,Simulador!$B$9)))</f>
        <v>9.3625070559204797</v>
      </c>
      <c r="E152" s="18">
        <f>IF(OR((($A152-Simulador!$E$8)/Simulador!$G$8)&lt;=0,(($A152-Simulador!$E$8)/Simulador!$G$8)&gt;=1),0,IF((($A152-Simulador!$E$8)/Simulador!$G$8)&lt;Simulador!$B$11,Simulador!$B$10*(1-COS(PI()*(($A152-Simulador!$E$8)/Simulador!$G$8)/Simulador!$B$11))/2,IF((($A152-Simulador!$E$8)/Simulador!$G$8)&gt;1-Simulador!$B$11,Simulador!$B$10*(1-COS(PI()*(1-(($A152-Simulador!$E$8)/Simulador!$G$8))/Simulador!$B$11))/2,Simulador!$B$10)))</f>
        <v>0</v>
      </c>
      <c r="F152" s="18">
        <f>IF(OR((($A152-Simulador!$E$9)/Simulador!$G$9)&lt;=0,(($A152-Simulador!$E$9)/Simulador!$G$9)&gt;=1),0,IF((($A152-Simulador!$E$9)/Simulador!$G$9)&lt;Simulador!$B$11,Simulador!$B$10*(1-COS(PI()*(($A152-Simulador!$E$9)/Simulador!$G$9)/Simulador!$B$11))/2,IF((($A152-Simulador!$E$9)/Simulador!$G$9)&gt;1-Simulador!$B$11,Simulador!$B$10*(1-COS(PI()*(1-(($A152-Simulador!$E$9)/Simulador!$G$9))/Simulador!$B$11))/2,Simulador!$B$10)))</f>
        <v>0</v>
      </c>
      <c r="G152" s="18">
        <f>IF(OR((($A152-Simulador!$E$10)/Simulador!$G$10)&lt;=0,(($A152-Simulador!$E$10)/Simulador!$G$10)&gt;=1),0,IF((($A152-Simulador!$E$10)/Simulador!$G$10)&lt;Simulador!$B$11,Simulador!$B$10*(1-COS(PI()*(($A152-Simulador!$E$10)/Simulador!$G$10)/Simulador!$B$11))/2,IF((($A152-Simulador!$E$10)/Simulador!$G$10)&gt;1-Simulador!$B$11,Simulador!$B$10*(1-COS(PI()*(1-(($A152-Simulador!$E$10)/Simulador!$G$10))/Simulador!$B$11))/2,Simulador!$B$10)))</f>
        <v>0</v>
      </c>
    </row>
    <row r="153" spans="1:7" x14ac:dyDescent="0.25">
      <c r="A153" s="17">
        <f>A152+Simulador!$B$14</f>
        <v>302</v>
      </c>
      <c r="B153" s="18">
        <f>IF(OR((($A153-Simulador!$E$5)/Simulador!$G$5)&lt;=0,(($A153-Simulador!$E$5)/Simulador!$G$5)&gt;=1),0,IF((($A153-Simulador!$E$5)/Simulador!$G$5)&lt;Simulador!$B$11,Simulador!$B$9*(1-COS(PI()*(($A153-Simulador!$E$5)/Simulador!$G$5)/Simulador!$B$11))/2,IF((($A153-Simulador!$E$5)/Simulador!$G$5)&gt;1-Simulador!$B$11,Simulador!$B$9*(1-COS(PI()*(1-(($A153-Simulador!$E$5)/Simulador!$G$5))/Simulador!$B$11))/2,Simulador!$B$9)))</f>
        <v>6.3904840085012093</v>
      </c>
      <c r="C153" s="18">
        <f>IF(OR((($A153-Simulador!$E$6)/Simulador!$G$6)&lt;=0,(($A153-Simulador!$E$6)/Simulador!$G$6)&gt;=1),0,IF((($A153-Simulador!$E$6)/Simulador!$G$6)&lt;Simulador!$B$11,Simulador!$B$9*(1-COS(PI()*(($A153-Simulador!$E$6)/Simulador!$G$6)/Simulador!$B$11))/2,IF((($A153-Simulador!$E$6)/Simulador!$G$6)&gt;1-Simulador!$B$11,Simulador!$B$9*(1-COS(PI()*(1-(($A153-Simulador!$E$6)/Simulador!$G$6))/Simulador!$B$11))/2,Simulador!$B$9)))</f>
        <v>8.1922822467884515</v>
      </c>
      <c r="D153" s="18">
        <f>IF(OR((($A153-Simulador!$E$7)/Simulador!$G$7)&lt;=0,(($A153-Simulador!$E$7)/Simulador!$G$7)&gt;=1),0,IF((($A153-Simulador!$E$7)/Simulador!$G$7)&lt;Simulador!$B$11,Simulador!$B$9*(1-COS(PI()*(($A153-Simulador!$E$7)/Simulador!$G$7)/Simulador!$B$11))/2,IF((($A153-Simulador!$E$7)/Simulador!$G$7)&gt;1-Simulador!$B$11,Simulador!$B$9*(1-COS(PI()*(1-(($A153-Simulador!$E$7)/Simulador!$G$7))/Simulador!$B$11))/2,Simulador!$B$9)))</f>
        <v>9.2846751383772457</v>
      </c>
      <c r="E153" s="18">
        <f>IF(OR((($A153-Simulador!$E$8)/Simulador!$G$8)&lt;=0,(($A153-Simulador!$E$8)/Simulador!$G$8)&gt;=1),0,IF((($A153-Simulador!$E$8)/Simulador!$G$8)&lt;Simulador!$B$11,Simulador!$B$10*(1-COS(PI()*(($A153-Simulador!$E$8)/Simulador!$G$8)/Simulador!$B$11))/2,IF((($A153-Simulador!$E$8)/Simulador!$G$8)&gt;1-Simulador!$B$11,Simulador!$B$10*(1-COS(PI()*(1-(($A153-Simulador!$E$8)/Simulador!$G$8))/Simulador!$B$11))/2,Simulador!$B$10)))</f>
        <v>0</v>
      </c>
      <c r="F153" s="18">
        <f>IF(OR((($A153-Simulador!$E$9)/Simulador!$G$9)&lt;=0,(($A153-Simulador!$E$9)/Simulador!$G$9)&gt;=1),0,IF((($A153-Simulador!$E$9)/Simulador!$G$9)&lt;Simulador!$B$11,Simulador!$B$10*(1-COS(PI()*(($A153-Simulador!$E$9)/Simulador!$G$9)/Simulador!$B$11))/2,IF((($A153-Simulador!$E$9)/Simulador!$G$9)&gt;1-Simulador!$B$11,Simulador!$B$10*(1-COS(PI()*(1-(($A153-Simulador!$E$9)/Simulador!$G$9))/Simulador!$B$11))/2,Simulador!$B$10)))</f>
        <v>0</v>
      </c>
      <c r="G153" s="18">
        <f>IF(OR((($A153-Simulador!$E$10)/Simulador!$G$10)&lt;=0,(($A153-Simulador!$E$10)/Simulador!$G$10)&gt;=1),0,IF((($A153-Simulador!$E$10)/Simulador!$G$10)&lt;Simulador!$B$11,Simulador!$B$10*(1-COS(PI()*(($A153-Simulador!$E$10)/Simulador!$G$10)/Simulador!$B$11))/2,IF((($A153-Simulador!$E$10)/Simulador!$G$10)&gt;1-Simulador!$B$11,Simulador!$B$10*(1-COS(PI()*(1-(($A153-Simulador!$E$10)/Simulador!$G$10))/Simulador!$B$11))/2,Simulador!$B$10)))</f>
        <v>0</v>
      </c>
    </row>
    <row r="154" spans="1:7" x14ac:dyDescent="0.25">
      <c r="A154" s="17">
        <f>A153+Simulador!$B$14</f>
        <v>304</v>
      </c>
      <c r="B154" s="18">
        <f>IF(OR((($A154-Simulador!$E$5)/Simulador!$G$5)&lt;=0,(($A154-Simulador!$E$5)/Simulador!$G$5)&gt;=1),0,IF((($A154-Simulador!$E$5)/Simulador!$G$5)&lt;Simulador!$B$11,Simulador!$B$9*(1-COS(PI()*(($A154-Simulador!$E$5)/Simulador!$G$5)/Simulador!$B$11))/2,IF((($A154-Simulador!$E$5)/Simulador!$G$5)&gt;1-Simulador!$B$11,Simulador!$B$9*(1-COS(PI()*(1-(($A154-Simulador!$E$5)/Simulador!$G$5))/Simulador!$B$11))/2,Simulador!$B$9)))</f>
        <v>6.1154023239399962</v>
      </c>
      <c r="C154" s="18">
        <f>IF(OR((($A154-Simulador!$E$6)/Simulador!$G$6)&lt;=0,(($A154-Simulador!$E$6)/Simulador!$G$6)&gt;=1),0,IF((($A154-Simulador!$E$6)/Simulador!$G$6)&lt;Simulador!$B$11,Simulador!$B$9*(1-COS(PI()*(($A154-Simulador!$E$6)/Simulador!$G$6)/Simulador!$B$11))/2,IF((($A154-Simulador!$E$6)/Simulador!$G$6)&gt;1-Simulador!$B$11,Simulador!$B$9*(1-COS(PI()*(1-(($A154-Simulador!$E$6)/Simulador!$G$6))/Simulador!$B$11))/2,Simulador!$B$9)))</f>
        <v>7.9861320996354896</v>
      </c>
      <c r="D154" s="18">
        <f>IF(OR((($A154-Simulador!$E$7)/Simulador!$G$7)&lt;=0,(($A154-Simulador!$E$7)/Simulador!$G$7)&gt;=1),0,IF((($A154-Simulador!$E$7)/Simulador!$G$7)&lt;Simulador!$B$11,Simulador!$B$9*(1-COS(PI()*(($A154-Simulador!$E$7)/Simulador!$G$7)/Simulador!$B$11))/2,IF((($A154-Simulador!$E$7)/Simulador!$G$7)&gt;1-Simulador!$B$11,Simulador!$B$9*(1-COS(PI()*(1-(($A154-Simulador!$E$7)/Simulador!$G$7))/Simulador!$B$11))/2,Simulador!$B$9)))</f>
        <v>9.1899411380074483</v>
      </c>
      <c r="E154" s="18">
        <f>IF(OR((($A154-Simulador!$E$8)/Simulador!$G$8)&lt;=0,(($A154-Simulador!$E$8)/Simulador!$G$8)&gt;=1),0,IF((($A154-Simulador!$E$8)/Simulador!$G$8)&lt;Simulador!$B$11,Simulador!$B$10*(1-COS(PI()*(($A154-Simulador!$E$8)/Simulador!$G$8)/Simulador!$B$11))/2,IF((($A154-Simulador!$E$8)/Simulador!$G$8)&gt;1-Simulador!$B$11,Simulador!$B$10*(1-COS(PI()*(1-(($A154-Simulador!$E$8)/Simulador!$G$8))/Simulador!$B$11))/2,Simulador!$B$10)))</f>
        <v>0</v>
      </c>
      <c r="F154" s="18">
        <f>IF(OR((($A154-Simulador!$E$9)/Simulador!$G$9)&lt;=0,(($A154-Simulador!$E$9)/Simulador!$G$9)&gt;=1),0,IF((($A154-Simulador!$E$9)/Simulador!$G$9)&lt;Simulador!$B$11,Simulador!$B$10*(1-COS(PI()*(($A154-Simulador!$E$9)/Simulador!$G$9)/Simulador!$B$11))/2,IF((($A154-Simulador!$E$9)/Simulador!$G$9)&gt;1-Simulador!$B$11,Simulador!$B$10*(1-COS(PI()*(1-(($A154-Simulador!$E$9)/Simulador!$G$9))/Simulador!$B$11))/2,Simulador!$B$10)))</f>
        <v>0</v>
      </c>
      <c r="G154" s="18">
        <f>IF(OR((($A154-Simulador!$E$10)/Simulador!$G$10)&lt;=0,(($A154-Simulador!$E$10)/Simulador!$G$10)&gt;=1),0,IF((($A154-Simulador!$E$10)/Simulador!$G$10)&lt;Simulador!$B$11,Simulador!$B$10*(1-COS(PI()*(($A154-Simulador!$E$10)/Simulador!$G$10)/Simulador!$B$11))/2,IF((($A154-Simulador!$E$10)/Simulador!$G$10)&gt;1-Simulador!$B$11,Simulador!$B$10*(1-COS(PI()*(1-(($A154-Simulador!$E$10)/Simulador!$G$10))/Simulador!$B$11))/2,Simulador!$B$10)))</f>
        <v>0</v>
      </c>
    </row>
    <row r="155" spans="1:7" x14ac:dyDescent="0.25">
      <c r="A155" s="17">
        <f>A154+Simulador!$B$14</f>
        <v>306</v>
      </c>
      <c r="B155" s="18">
        <f>IF(OR((($A155-Simulador!$E$5)/Simulador!$G$5)&lt;=0,(($A155-Simulador!$E$5)/Simulador!$G$5)&gt;=1),0,IF((($A155-Simulador!$E$5)/Simulador!$G$5)&lt;Simulador!$B$11,Simulador!$B$9*(1-COS(PI()*(($A155-Simulador!$E$5)/Simulador!$G$5)/Simulador!$B$11))/2,IF((($A155-Simulador!$E$5)/Simulador!$G$5)&gt;1-Simulador!$B$11,Simulador!$B$9*(1-COS(PI()*(1-(($A155-Simulador!$E$5)/Simulador!$G$5))/Simulador!$B$11))/2,Simulador!$B$9)))</f>
        <v>5.8352313788548029</v>
      </c>
      <c r="C155" s="18">
        <f>IF(OR((($A155-Simulador!$E$6)/Simulador!$G$6)&lt;=0,(($A155-Simulador!$E$6)/Simulador!$G$6)&gt;=1),0,IF((($A155-Simulador!$E$6)/Simulador!$G$6)&lt;Simulador!$B$11,Simulador!$B$9*(1-COS(PI()*(($A155-Simulador!$E$6)/Simulador!$G$6)/Simulador!$B$11))/2,IF((($A155-Simulador!$E$6)/Simulador!$G$6)&gt;1-Simulador!$B$11,Simulador!$B$9*(1-COS(PI()*(1-(($A155-Simulador!$E$6)/Simulador!$G$6))/Simulador!$B$11))/2,Simulador!$B$9)))</f>
        <v>7.7679199257404568</v>
      </c>
      <c r="D155" s="18">
        <f>IF(OR((($A155-Simulador!$E$7)/Simulador!$G$7)&lt;=0,(($A155-Simulador!$E$7)/Simulador!$G$7)&gt;=1),0,IF((($A155-Simulador!$E$7)/Simulador!$G$7)&lt;Simulador!$B$11,Simulador!$B$9*(1-COS(PI()*(($A155-Simulador!$E$7)/Simulador!$G$7)/Simulador!$B$11))/2,IF((($A155-Simulador!$E$7)/Simulador!$G$7)&gt;1-Simulador!$B$11,Simulador!$B$9*(1-COS(PI()*(1-(($A155-Simulador!$E$7)/Simulador!$G$7))/Simulador!$B$11))/2,Simulador!$B$9)))</f>
        <v>9.0786581566038063</v>
      </c>
      <c r="E155" s="18">
        <f>IF(OR((($A155-Simulador!$E$8)/Simulador!$G$8)&lt;=0,(($A155-Simulador!$E$8)/Simulador!$G$8)&gt;=1),0,IF((($A155-Simulador!$E$8)/Simulador!$G$8)&lt;Simulador!$B$11,Simulador!$B$10*(1-COS(PI()*(($A155-Simulador!$E$8)/Simulador!$G$8)/Simulador!$B$11))/2,IF((($A155-Simulador!$E$8)/Simulador!$G$8)&gt;1-Simulador!$B$11,Simulador!$B$10*(1-COS(PI()*(1-(($A155-Simulador!$E$8)/Simulador!$G$8))/Simulador!$B$11))/2,Simulador!$B$10)))</f>
        <v>0</v>
      </c>
      <c r="F155" s="18">
        <f>IF(OR((($A155-Simulador!$E$9)/Simulador!$G$9)&lt;=0,(($A155-Simulador!$E$9)/Simulador!$G$9)&gt;=1),0,IF((($A155-Simulador!$E$9)/Simulador!$G$9)&lt;Simulador!$B$11,Simulador!$B$10*(1-COS(PI()*(($A155-Simulador!$E$9)/Simulador!$G$9)/Simulador!$B$11))/2,IF((($A155-Simulador!$E$9)/Simulador!$G$9)&gt;1-Simulador!$B$11,Simulador!$B$10*(1-COS(PI()*(1-(($A155-Simulador!$E$9)/Simulador!$G$9))/Simulador!$B$11))/2,Simulador!$B$10)))</f>
        <v>0</v>
      </c>
      <c r="G155" s="18">
        <f>IF(OR((($A155-Simulador!$E$10)/Simulador!$G$10)&lt;=0,(($A155-Simulador!$E$10)/Simulador!$G$10)&gt;=1),0,IF((($A155-Simulador!$E$10)/Simulador!$G$10)&lt;Simulador!$B$11,Simulador!$B$10*(1-COS(PI()*(($A155-Simulador!$E$10)/Simulador!$G$10)/Simulador!$B$11))/2,IF((($A155-Simulador!$E$10)/Simulador!$G$10)&gt;1-Simulador!$B$11,Simulador!$B$10*(1-COS(PI()*(1-(($A155-Simulador!$E$10)/Simulador!$G$10))/Simulador!$B$11))/2,Simulador!$B$10)))</f>
        <v>0</v>
      </c>
    </row>
    <row r="156" spans="1:7" x14ac:dyDescent="0.25">
      <c r="A156" s="17">
        <f>A155+Simulador!$B$14</f>
        <v>308</v>
      </c>
      <c r="B156" s="18">
        <f>IF(OR((($A156-Simulador!$E$5)/Simulador!$G$5)&lt;=0,(($A156-Simulador!$E$5)/Simulador!$G$5)&gt;=1),0,IF((($A156-Simulador!$E$5)/Simulador!$G$5)&lt;Simulador!$B$11,Simulador!$B$9*(1-COS(PI()*(($A156-Simulador!$E$5)/Simulador!$G$5)/Simulador!$B$11))/2,IF((($A156-Simulador!$E$5)/Simulador!$G$5)&gt;1-Simulador!$B$11,Simulador!$B$9*(1-COS(PI()*(1-(($A156-Simulador!$E$5)/Simulador!$G$5))/Simulador!$B$11))/2,Simulador!$B$9)))</f>
        <v>5.5510154536791614</v>
      </c>
      <c r="C156" s="18">
        <f>IF(OR((($A156-Simulador!$E$6)/Simulador!$G$6)&lt;=0,(($A156-Simulador!$E$6)/Simulador!$G$6)&gt;=1),0,IF((($A156-Simulador!$E$6)/Simulador!$G$6)&lt;Simulador!$B$11,Simulador!$B$9*(1-COS(PI()*(($A156-Simulador!$E$6)/Simulador!$G$6)/Simulador!$B$11))/2,IF((($A156-Simulador!$E$6)/Simulador!$G$6)&gt;1-Simulador!$B$11,Simulador!$B$9*(1-COS(PI()*(1-(($A156-Simulador!$E$6)/Simulador!$G$6))/Simulador!$B$11))/2,Simulador!$B$9)))</f>
        <v>7.5384590667704785</v>
      </c>
      <c r="D156" s="18">
        <f>IF(OR((($A156-Simulador!$E$7)/Simulador!$G$7)&lt;=0,(($A156-Simulador!$E$7)/Simulador!$G$7)&gt;=1),0,IF((($A156-Simulador!$E$7)/Simulador!$G$7)&lt;Simulador!$B$11,Simulador!$B$9*(1-COS(PI()*(($A156-Simulador!$E$7)/Simulador!$G$7)/Simulador!$B$11))/2,IF((($A156-Simulador!$E$7)/Simulador!$G$7)&gt;1-Simulador!$B$11,Simulador!$B$9*(1-COS(PI()*(1-(($A156-Simulador!$E$7)/Simulador!$G$7))/Simulador!$B$11))/2,Simulador!$B$9)))</f>
        <v>8.9512409789329173</v>
      </c>
      <c r="E156" s="18">
        <f>IF(OR((($A156-Simulador!$E$8)/Simulador!$G$8)&lt;=0,(($A156-Simulador!$E$8)/Simulador!$G$8)&gt;=1),0,IF((($A156-Simulador!$E$8)/Simulador!$G$8)&lt;Simulador!$B$11,Simulador!$B$10*(1-COS(PI()*(($A156-Simulador!$E$8)/Simulador!$G$8)/Simulador!$B$11))/2,IF((($A156-Simulador!$E$8)/Simulador!$G$8)&gt;1-Simulador!$B$11,Simulador!$B$10*(1-COS(PI()*(1-(($A156-Simulador!$E$8)/Simulador!$G$8))/Simulador!$B$11))/2,Simulador!$B$10)))</f>
        <v>0</v>
      </c>
      <c r="F156" s="18">
        <f>IF(OR((($A156-Simulador!$E$9)/Simulador!$G$9)&lt;=0,(($A156-Simulador!$E$9)/Simulador!$G$9)&gt;=1),0,IF((($A156-Simulador!$E$9)/Simulador!$G$9)&lt;Simulador!$B$11,Simulador!$B$10*(1-COS(PI()*(($A156-Simulador!$E$9)/Simulador!$G$9)/Simulador!$B$11))/2,IF((($A156-Simulador!$E$9)/Simulador!$G$9)&gt;1-Simulador!$B$11,Simulador!$B$10*(1-COS(PI()*(1-(($A156-Simulador!$E$9)/Simulador!$G$9))/Simulador!$B$11))/2,Simulador!$B$10)))</f>
        <v>0</v>
      </c>
      <c r="G156" s="18">
        <f>IF(OR((($A156-Simulador!$E$10)/Simulador!$G$10)&lt;=0,(($A156-Simulador!$E$10)/Simulador!$G$10)&gt;=1),0,IF((($A156-Simulador!$E$10)/Simulador!$G$10)&lt;Simulador!$B$11,Simulador!$B$10*(1-COS(PI()*(($A156-Simulador!$E$10)/Simulador!$G$10)/Simulador!$B$11))/2,IF((($A156-Simulador!$E$10)/Simulador!$G$10)&gt;1-Simulador!$B$11,Simulador!$B$10*(1-COS(PI()*(1-(($A156-Simulador!$E$10)/Simulador!$G$10))/Simulador!$B$11))/2,Simulador!$B$10)))</f>
        <v>0</v>
      </c>
    </row>
    <row r="157" spans="1:7" x14ac:dyDescent="0.25">
      <c r="A157" s="17">
        <f>A156+Simulador!$B$14</f>
        <v>310</v>
      </c>
      <c r="B157" s="18">
        <f>IF(OR((($A157-Simulador!$E$5)/Simulador!$G$5)&lt;=0,(($A157-Simulador!$E$5)/Simulador!$G$5)&gt;=1),0,IF((($A157-Simulador!$E$5)/Simulador!$G$5)&lt;Simulador!$B$11,Simulador!$B$9*(1-COS(PI()*(($A157-Simulador!$E$5)/Simulador!$G$5)/Simulador!$B$11))/2,IF((($A157-Simulador!$E$5)/Simulador!$G$5)&gt;1-Simulador!$B$11,Simulador!$B$9*(1-COS(PI()*(1-(($A157-Simulador!$E$5)/Simulador!$G$5))/Simulador!$B$11))/2,Simulador!$B$9)))</f>
        <v>5.2638139056903537</v>
      </c>
      <c r="C157" s="18">
        <f>IF(OR((($A157-Simulador!$E$6)/Simulador!$G$6)&lt;=0,(($A157-Simulador!$E$6)/Simulador!$G$6)&gt;=1),0,IF((($A157-Simulador!$E$6)/Simulador!$G$6)&lt;Simulador!$B$11,Simulador!$B$9*(1-COS(PI()*(($A157-Simulador!$E$6)/Simulador!$G$6)/Simulador!$B$11))/2,IF((($A157-Simulador!$E$6)/Simulador!$G$6)&gt;1-Simulador!$B$11,Simulador!$B$9*(1-COS(PI()*(1-(($A157-Simulador!$E$6)/Simulador!$G$6))/Simulador!$B$11))/2,Simulador!$B$9)))</f>
        <v>7.2986047915872501</v>
      </c>
      <c r="D157" s="18">
        <f>IF(OR((($A157-Simulador!$E$7)/Simulador!$G$7)&lt;=0,(($A157-Simulador!$E$7)/Simulador!$G$7)&gt;=1),0,IF((($A157-Simulador!$E$7)/Simulador!$G$7)&lt;Simulador!$B$11,Simulador!$B$9*(1-COS(PI()*(($A157-Simulador!$E$7)/Simulador!$G$7)/Simulador!$B$11))/2,IF((($A157-Simulador!$E$7)/Simulador!$G$7)&gt;1-Simulador!$B$11,Simulador!$B$9*(1-COS(PI()*(1-(($A157-Simulador!$E$7)/Simulador!$G$7))/Simulador!$B$11))/2,Simulador!$B$9)))</f>
        <v>8.8081645267090831</v>
      </c>
      <c r="E157" s="18">
        <f>IF(OR((($A157-Simulador!$E$8)/Simulador!$G$8)&lt;=0,(($A157-Simulador!$E$8)/Simulador!$G$8)&gt;=1),0,IF((($A157-Simulador!$E$8)/Simulador!$G$8)&lt;Simulador!$B$11,Simulador!$B$10*(1-COS(PI()*(($A157-Simulador!$E$8)/Simulador!$G$8)/Simulador!$B$11))/2,IF((($A157-Simulador!$E$8)/Simulador!$G$8)&gt;1-Simulador!$B$11,Simulador!$B$10*(1-COS(PI()*(1-(($A157-Simulador!$E$8)/Simulador!$G$8))/Simulador!$B$11))/2,Simulador!$B$10)))</f>
        <v>0</v>
      </c>
      <c r="F157" s="18">
        <f>IF(OR((($A157-Simulador!$E$9)/Simulador!$G$9)&lt;=0,(($A157-Simulador!$E$9)/Simulador!$G$9)&gt;=1),0,IF((($A157-Simulador!$E$9)/Simulador!$G$9)&lt;Simulador!$B$11,Simulador!$B$10*(1-COS(PI()*(($A157-Simulador!$E$9)/Simulador!$G$9)/Simulador!$B$11))/2,IF((($A157-Simulador!$E$9)/Simulador!$G$9)&gt;1-Simulador!$B$11,Simulador!$B$10*(1-COS(PI()*(1-(($A157-Simulador!$E$9)/Simulador!$G$9))/Simulador!$B$11))/2,Simulador!$B$10)))</f>
        <v>0</v>
      </c>
      <c r="G157" s="18">
        <f>IF(OR((($A157-Simulador!$E$10)/Simulador!$G$10)&lt;=0,(($A157-Simulador!$E$10)/Simulador!$G$10)&gt;=1),0,IF((($A157-Simulador!$E$10)/Simulador!$G$10)&lt;Simulador!$B$11,Simulador!$B$10*(1-COS(PI()*(($A157-Simulador!$E$10)/Simulador!$G$10)/Simulador!$B$11))/2,IF((($A157-Simulador!$E$10)/Simulador!$G$10)&gt;1-Simulador!$B$11,Simulador!$B$10*(1-COS(PI()*(1-(($A157-Simulador!$E$10)/Simulador!$G$10))/Simulador!$B$11))/2,Simulador!$B$10)))</f>
        <v>0</v>
      </c>
    </row>
    <row r="158" spans="1:7" x14ac:dyDescent="0.25">
      <c r="A158" s="17">
        <f>A157+Simulador!$B$14</f>
        <v>312</v>
      </c>
      <c r="B158" s="18">
        <f>IF(OR((($A158-Simulador!$E$5)/Simulador!$G$5)&lt;=0,(($A158-Simulador!$E$5)/Simulador!$G$5)&gt;=1),0,IF((($A158-Simulador!$E$5)/Simulador!$G$5)&lt;Simulador!$B$11,Simulador!$B$9*(1-COS(PI()*(($A158-Simulador!$E$5)/Simulador!$G$5)/Simulador!$B$11))/2,IF((($A158-Simulador!$E$5)/Simulador!$G$5)&gt;1-Simulador!$B$11,Simulador!$B$9*(1-COS(PI()*(1-(($A158-Simulador!$E$5)/Simulador!$G$5))/Simulador!$B$11))/2,Simulador!$B$9)))</f>
        <v>4.9746972204697908</v>
      </c>
      <c r="C158" s="18">
        <f>IF(OR((($A158-Simulador!$E$6)/Simulador!$G$6)&lt;=0,(($A158-Simulador!$E$6)/Simulador!$G$6)&gt;=1),0,IF((($A158-Simulador!$E$6)/Simulador!$G$6)&lt;Simulador!$B$11,Simulador!$B$9*(1-COS(PI()*(($A158-Simulador!$E$6)/Simulador!$G$6)/Simulador!$B$11))/2,IF((($A158-Simulador!$E$6)/Simulador!$G$6)&gt;1-Simulador!$B$11,Simulador!$B$9*(1-COS(PI()*(1-(($A158-Simulador!$E$6)/Simulador!$G$6))/Simulador!$B$11))/2,Simulador!$B$9)))</f>
        <v>7.0492511084056355</v>
      </c>
      <c r="D158" s="18">
        <f>IF(OR((($A158-Simulador!$E$7)/Simulador!$G$7)&lt;=0,(($A158-Simulador!$E$7)/Simulador!$G$7)&gt;=1),0,IF((($A158-Simulador!$E$7)/Simulador!$G$7)&lt;Simulador!$B$11,Simulador!$B$9*(1-COS(PI()*(($A158-Simulador!$E$7)/Simulador!$G$7)/Simulador!$B$11))/2,IF((($A158-Simulador!$E$7)/Simulador!$G$7)&gt;1-Simulador!$B$11,Simulador!$B$9*(1-COS(PI()*(1-(($A158-Simulador!$E$7)/Simulador!$G$7))/Simulador!$B$11))/2,Simulador!$B$9)))</f>
        <v>8.6499620884198407</v>
      </c>
      <c r="E158" s="18">
        <f>IF(OR((($A158-Simulador!$E$8)/Simulador!$G$8)&lt;=0,(($A158-Simulador!$E$8)/Simulador!$G$8)&gt;=1),0,IF((($A158-Simulador!$E$8)/Simulador!$G$8)&lt;Simulador!$B$11,Simulador!$B$10*(1-COS(PI()*(($A158-Simulador!$E$8)/Simulador!$G$8)/Simulador!$B$11))/2,IF((($A158-Simulador!$E$8)/Simulador!$G$8)&gt;1-Simulador!$B$11,Simulador!$B$10*(1-COS(PI()*(1-(($A158-Simulador!$E$8)/Simulador!$G$8))/Simulador!$B$11))/2,Simulador!$B$10)))</f>
        <v>0</v>
      </c>
      <c r="F158" s="18">
        <f>IF(OR((($A158-Simulador!$E$9)/Simulador!$G$9)&lt;=0,(($A158-Simulador!$E$9)/Simulador!$G$9)&gt;=1),0,IF((($A158-Simulador!$E$9)/Simulador!$G$9)&lt;Simulador!$B$11,Simulador!$B$10*(1-COS(PI()*(($A158-Simulador!$E$9)/Simulador!$G$9)/Simulador!$B$11))/2,IF((($A158-Simulador!$E$9)/Simulador!$G$9)&gt;1-Simulador!$B$11,Simulador!$B$10*(1-COS(PI()*(1-(($A158-Simulador!$E$9)/Simulador!$G$9))/Simulador!$B$11))/2,Simulador!$B$10)))</f>
        <v>0</v>
      </c>
      <c r="G158" s="18">
        <f>IF(OR((($A158-Simulador!$E$10)/Simulador!$G$10)&lt;=0,(($A158-Simulador!$E$10)/Simulador!$G$10)&gt;=1),0,IF((($A158-Simulador!$E$10)/Simulador!$G$10)&lt;Simulador!$B$11,Simulador!$B$10*(1-COS(PI()*(($A158-Simulador!$E$10)/Simulador!$G$10)/Simulador!$B$11))/2,IF((($A158-Simulador!$E$10)/Simulador!$G$10)&gt;1-Simulador!$B$11,Simulador!$B$10*(1-COS(PI()*(1-(($A158-Simulador!$E$10)/Simulador!$G$10))/Simulador!$B$11))/2,Simulador!$B$10)))</f>
        <v>0</v>
      </c>
    </row>
    <row r="159" spans="1:7" x14ac:dyDescent="0.25">
      <c r="A159" s="17">
        <f>A158+Simulador!$B$14</f>
        <v>314</v>
      </c>
      <c r="B159" s="18">
        <f>IF(OR((($A159-Simulador!$E$5)/Simulador!$G$5)&lt;=0,(($A159-Simulador!$E$5)/Simulador!$G$5)&gt;=1),0,IF((($A159-Simulador!$E$5)/Simulador!$G$5)&lt;Simulador!$B$11,Simulador!$B$9*(1-COS(PI()*(($A159-Simulador!$E$5)/Simulador!$G$5)/Simulador!$B$11))/2,IF((($A159-Simulador!$E$5)/Simulador!$G$5)&gt;1-Simulador!$B$11,Simulador!$B$9*(1-COS(PI()*(1-(($A159-Simulador!$E$5)/Simulador!$G$5))/Simulador!$B$11))/2,Simulador!$B$9)))</f>
        <v>4.6847430218848993</v>
      </c>
      <c r="C159" s="18">
        <f>IF(OR((($A159-Simulador!$E$6)/Simulador!$G$6)&lt;=0,(($A159-Simulador!$E$6)/Simulador!$G$6)&gt;=1),0,IF((($A159-Simulador!$E$6)/Simulador!$G$6)&lt;Simulador!$B$11,Simulador!$B$9*(1-COS(PI()*(($A159-Simulador!$E$6)/Simulador!$G$6)/Simulador!$B$11))/2,IF((($A159-Simulador!$E$6)/Simulador!$G$6)&gt;1-Simulador!$B$11,Simulador!$B$9*(1-COS(PI()*(1-(($A159-Simulador!$E$6)/Simulador!$G$6))/Simulador!$B$11))/2,Simulador!$B$9)))</f>
        <v>6.7913274325591813</v>
      </c>
      <c r="D159" s="18">
        <f>IF(OR((($A159-Simulador!$E$7)/Simulador!$G$7)&lt;=0,(($A159-Simulador!$E$7)/Simulador!$G$7)&gt;=1),0,IF((($A159-Simulador!$E$7)/Simulador!$G$7)&lt;Simulador!$B$11,Simulador!$B$9*(1-COS(PI()*(($A159-Simulador!$E$7)/Simulador!$G$7)/Simulador!$B$11))/2,IF((($A159-Simulador!$E$7)/Simulador!$G$7)&gt;1-Simulador!$B$11,Simulador!$B$9*(1-COS(PI()*(1-(($A159-Simulador!$E$7)/Simulador!$G$7))/Simulador!$B$11))/2,Simulador!$B$9)))</f>
        <v>8.4772233316011718</v>
      </c>
      <c r="E159" s="18">
        <f>IF(OR((($A159-Simulador!$E$8)/Simulador!$G$8)&lt;=0,(($A159-Simulador!$E$8)/Simulador!$G$8)&gt;=1),0,IF((($A159-Simulador!$E$8)/Simulador!$G$8)&lt;Simulador!$B$11,Simulador!$B$10*(1-COS(PI()*(($A159-Simulador!$E$8)/Simulador!$G$8)/Simulador!$B$11))/2,IF((($A159-Simulador!$E$8)/Simulador!$G$8)&gt;1-Simulador!$B$11,Simulador!$B$10*(1-COS(PI()*(1-(($A159-Simulador!$E$8)/Simulador!$G$8))/Simulador!$B$11))/2,Simulador!$B$10)))</f>
        <v>0</v>
      </c>
      <c r="F159" s="18">
        <f>IF(OR((($A159-Simulador!$E$9)/Simulador!$G$9)&lt;=0,(($A159-Simulador!$E$9)/Simulador!$G$9)&gt;=1),0,IF((($A159-Simulador!$E$9)/Simulador!$G$9)&lt;Simulador!$B$11,Simulador!$B$10*(1-COS(PI()*(($A159-Simulador!$E$9)/Simulador!$G$9)/Simulador!$B$11))/2,IF((($A159-Simulador!$E$9)/Simulador!$G$9)&gt;1-Simulador!$B$11,Simulador!$B$10*(1-COS(PI()*(1-(($A159-Simulador!$E$9)/Simulador!$G$9))/Simulador!$B$11))/2,Simulador!$B$10)))</f>
        <v>0</v>
      </c>
      <c r="G159" s="18">
        <f>IF(OR((($A159-Simulador!$E$10)/Simulador!$G$10)&lt;=0,(($A159-Simulador!$E$10)/Simulador!$G$10)&gt;=1),0,IF((($A159-Simulador!$E$10)/Simulador!$G$10)&lt;Simulador!$B$11,Simulador!$B$10*(1-COS(PI()*(($A159-Simulador!$E$10)/Simulador!$G$10)/Simulador!$B$11))/2,IF((($A159-Simulador!$E$10)/Simulador!$G$10)&gt;1-Simulador!$B$11,Simulador!$B$10*(1-COS(PI()*(1-(($A159-Simulador!$E$10)/Simulador!$G$10))/Simulador!$B$11))/2,Simulador!$B$10)))</f>
        <v>0</v>
      </c>
    </row>
    <row r="160" spans="1:7" x14ac:dyDescent="0.25">
      <c r="A160" s="17">
        <f>A159+Simulador!$B$14</f>
        <v>316</v>
      </c>
      <c r="B160" s="18">
        <f>IF(OR((($A160-Simulador!$E$5)/Simulador!$G$5)&lt;=0,(($A160-Simulador!$E$5)/Simulador!$G$5)&gt;=1),0,IF((($A160-Simulador!$E$5)/Simulador!$G$5)&lt;Simulador!$B$11,Simulador!$B$9*(1-COS(PI()*(($A160-Simulador!$E$5)/Simulador!$G$5)/Simulador!$B$11))/2,IF((($A160-Simulador!$E$5)/Simulador!$G$5)&gt;1-Simulador!$B$11,Simulador!$B$9*(1-COS(PI()*(1-(($A160-Simulador!$E$5)/Simulador!$G$5))/Simulador!$B$11))/2,Simulador!$B$9)))</f>
        <v>4.3950320554644833</v>
      </c>
      <c r="C160" s="18">
        <f>IF(OR((($A160-Simulador!$E$6)/Simulador!$G$6)&lt;=0,(($A160-Simulador!$E$6)/Simulador!$G$6)&gt;=1),0,IF((($A160-Simulador!$E$6)/Simulador!$G$6)&lt;Simulador!$B$11,Simulador!$B$9*(1-COS(PI()*(($A160-Simulador!$E$6)/Simulador!$G$6)/Simulador!$B$11))/2,IF((($A160-Simulador!$E$6)/Simulador!$G$6)&gt;1-Simulador!$B$11,Simulador!$B$9*(1-COS(PI()*(1-(($A160-Simulador!$E$6)/Simulador!$G$6))/Simulador!$B$11))/2,Simulador!$B$9)))</f>
        <v>6.525795122292755</v>
      </c>
      <c r="D160" s="18">
        <f>IF(OR((($A160-Simulador!$E$7)/Simulador!$G$7)&lt;=0,(($A160-Simulador!$E$7)/Simulador!$G$7)&gt;=1),0,IF((($A160-Simulador!$E$7)/Simulador!$G$7)&lt;Simulador!$B$11,Simulador!$B$9*(1-COS(PI()*(($A160-Simulador!$E$7)/Simulador!$G$7)/Simulador!$B$11))/2,IF((($A160-Simulador!$E$7)/Simulador!$G$7)&gt;1-Simulador!$B$11,Simulador!$B$9*(1-COS(PI()*(1-(($A160-Simulador!$E$7)/Simulador!$G$7))/Simulador!$B$11))/2,Simulador!$B$9)))</f>
        <v>8.2905921049712372</v>
      </c>
      <c r="E160" s="18">
        <f>IF(OR((($A160-Simulador!$E$8)/Simulador!$G$8)&lt;=0,(($A160-Simulador!$E$8)/Simulador!$G$8)&gt;=1),0,IF((($A160-Simulador!$E$8)/Simulador!$G$8)&lt;Simulador!$B$11,Simulador!$B$10*(1-COS(PI()*(($A160-Simulador!$E$8)/Simulador!$G$8)/Simulador!$B$11))/2,IF((($A160-Simulador!$E$8)/Simulador!$G$8)&gt;1-Simulador!$B$11,Simulador!$B$10*(1-COS(PI()*(1-(($A160-Simulador!$E$8)/Simulador!$G$8))/Simulador!$B$11))/2,Simulador!$B$10)))</f>
        <v>0</v>
      </c>
      <c r="F160" s="18">
        <f>IF(OR((($A160-Simulador!$E$9)/Simulador!$G$9)&lt;=0,(($A160-Simulador!$E$9)/Simulador!$G$9)&gt;=1),0,IF((($A160-Simulador!$E$9)/Simulador!$G$9)&lt;Simulador!$B$11,Simulador!$B$10*(1-COS(PI()*(($A160-Simulador!$E$9)/Simulador!$G$9)/Simulador!$B$11))/2,IF((($A160-Simulador!$E$9)/Simulador!$G$9)&gt;1-Simulador!$B$11,Simulador!$B$10*(1-COS(PI()*(1-(($A160-Simulador!$E$9)/Simulador!$G$9))/Simulador!$B$11))/2,Simulador!$B$10)))</f>
        <v>0</v>
      </c>
      <c r="G160" s="18">
        <f>IF(OR((($A160-Simulador!$E$10)/Simulador!$G$10)&lt;=0,(($A160-Simulador!$E$10)/Simulador!$G$10)&gt;=1),0,IF((($A160-Simulador!$E$10)/Simulador!$G$10)&lt;Simulador!$B$11,Simulador!$B$10*(1-COS(PI()*(($A160-Simulador!$E$10)/Simulador!$G$10)/Simulador!$B$11))/2,IF((($A160-Simulador!$E$10)/Simulador!$G$10)&gt;1-Simulador!$B$11,Simulador!$B$10*(1-COS(PI()*(1-(($A160-Simulador!$E$10)/Simulador!$G$10))/Simulador!$B$11))/2,Simulador!$B$10)))</f>
        <v>0</v>
      </c>
    </row>
    <row r="161" spans="1:7" x14ac:dyDescent="0.25">
      <c r="A161" s="17">
        <f>A160+Simulador!$B$14</f>
        <v>318</v>
      </c>
      <c r="B161" s="18">
        <f>IF(OR((($A161-Simulador!$E$5)/Simulador!$G$5)&lt;=0,(($A161-Simulador!$E$5)/Simulador!$G$5)&gt;=1),0,IF((($A161-Simulador!$E$5)/Simulador!$G$5)&lt;Simulador!$B$11,Simulador!$B$9*(1-COS(PI()*(($A161-Simulador!$E$5)/Simulador!$G$5)/Simulador!$B$11))/2,IF((($A161-Simulador!$E$5)/Simulador!$G$5)&gt;1-Simulador!$B$11,Simulador!$B$9*(1-COS(PI()*(1-(($A161-Simulador!$E$5)/Simulador!$G$5))/Simulador!$B$11))/2,Simulador!$B$9)))</f>
        <v>4.1066441601387416</v>
      </c>
      <c r="C161" s="18">
        <f>IF(OR((($A161-Simulador!$E$6)/Simulador!$G$6)&lt;=0,(($A161-Simulador!$E$6)/Simulador!$G$6)&gt;=1),0,IF((($A161-Simulador!$E$6)/Simulador!$G$6)&lt;Simulador!$B$11,Simulador!$B$9*(1-COS(PI()*(($A161-Simulador!$E$6)/Simulador!$G$6)/Simulador!$B$11))/2,IF((($A161-Simulador!$E$6)/Simulador!$G$6)&gt;1-Simulador!$B$11,Simulador!$B$9*(1-COS(PI()*(1-(($A161-Simulador!$E$6)/Simulador!$G$6))/Simulador!$B$11))/2,Simulador!$B$9)))</f>
        <v>6.2536438954944744</v>
      </c>
      <c r="D161" s="18">
        <f>IF(OR((($A161-Simulador!$E$7)/Simulador!$G$7)&lt;=0,(($A161-Simulador!$E$7)/Simulador!$G$7)&gt;=1),0,IF((($A161-Simulador!$E$7)/Simulador!$G$7)&lt;Simulador!$B$11,Simulador!$B$9*(1-COS(PI()*(($A161-Simulador!$E$7)/Simulador!$G$7)/Simulador!$B$11))/2,IF((($A161-Simulador!$E$7)/Simulador!$G$7)&gt;1-Simulador!$B$11,Simulador!$B$9*(1-COS(PI()*(1-(($A161-Simulador!$E$7)/Simulador!$G$7))/Simulador!$B$11))/2,Simulador!$B$9)))</f>
        <v>8.0907640386147186</v>
      </c>
      <c r="E161" s="18">
        <f>IF(OR((($A161-Simulador!$E$8)/Simulador!$G$8)&lt;=0,(($A161-Simulador!$E$8)/Simulador!$G$8)&gt;=1),0,IF((($A161-Simulador!$E$8)/Simulador!$G$8)&lt;Simulador!$B$11,Simulador!$B$10*(1-COS(PI()*(($A161-Simulador!$E$8)/Simulador!$G$8)/Simulador!$B$11))/2,IF((($A161-Simulador!$E$8)/Simulador!$G$8)&gt;1-Simulador!$B$11,Simulador!$B$10*(1-COS(PI()*(1-(($A161-Simulador!$E$8)/Simulador!$G$8))/Simulador!$B$11))/2,Simulador!$B$10)))</f>
        <v>0</v>
      </c>
      <c r="F161" s="18">
        <f>IF(OR((($A161-Simulador!$E$9)/Simulador!$G$9)&lt;=0,(($A161-Simulador!$E$9)/Simulador!$G$9)&gt;=1),0,IF((($A161-Simulador!$E$9)/Simulador!$G$9)&lt;Simulador!$B$11,Simulador!$B$10*(1-COS(PI()*(($A161-Simulador!$E$9)/Simulador!$G$9)/Simulador!$B$11))/2,IF((($A161-Simulador!$E$9)/Simulador!$G$9)&gt;1-Simulador!$B$11,Simulador!$B$10*(1-COS(PI()*(1-(($A161-Simulador!$E$9)/Simulador!$G$9))/Simulador!$B$11))/2,Simulador!$B$10)))</f>
        <v>0</v>
      </c>
      <c r="G161" s="18">
        <f>IF(OR((($A161-Simulador!$E$10)/Simulador!$G$10)&lt;=0,(($A161-Simulador!$E$10)/Simulador!$G$10)&gt;=1),0,IF((($A161-Simulador!$E$10)/Simulador!$G$10)&lt;Simulador!$B$11,Simulador!$B$10*(1-COS(PI()*(($A161-Simulador!$E$10)/Simulador!$G$10)/Simulador!$B$11))/2,IF((($A161-Simulador!$E$10)/Simulador!$G$10)&gt;1-Simulador!$B$11,Simulador!$B$10*(1-COS(PI()*(1-(($A161-Simulador!$E$10)/Simulador!$G$10))/Simulador!$B$11))/2,Simulador!$B$10)))</f>
        <v>0</v>
      </c>
    </row>
    <row r="162" spans="1:7" x14ac:dyDescent="0.25">
      <c r="A162" s="17">
        <f>A161+Simulador!$B$14</f>
        <v>320</v>
      </c>
      <c r="B162" s="18">
        <f>IF(OR((($A162-Simulador!$E$5)/Simulador!$G$5)&lt;=0,(($A162-Simulador!$E$5)/Simulador!$G$5)&gt;=1),0,IF((($A162-Simulador!$E$5)/Simulador!$G$5)&lt;Simulador!$B$11,Simulador!$B$9*(1-COS(PI()*(($A162-Simulador!$E$5)/Simulador!$G$5)/Simulador!$B$11))/2,IF((($A162-Simulador!$E$5)/Simulador!$G$5)&gt;1-Simulador!$B$11,Simulador!$B$9*(1-COS(PI()*(1-(($A162-Simulador!$E$5)/Simulador!$G$5))/Simulador!$B$11))/2,Simulador!$B$9)))</f>
        <v>3.820654243358423</v>
      </c>
      <c r="C162" s="18">
        <f>IF(OR((($A162-Simulador!$E$6)/Simulador!$G$6)&lt;=0,(($A162-Simulador!$E$6)/Simulador!$G$6)&gt;=1),0,IF((($A162-Simulador!$E$6)/Simulador!$G$6)&lt;Simulador!$B$11,Simulador!$B$9*(1-COS(PI()*(($A162-Simulador!$E$6)/Simulador!$G$6)/Simulador!$B$11))/2,IF((($A162-Simulador!$E$6)/Simulador!$G$6)&gt;1-Simulador!$B$11,Simulador!$B$9*(1-COS(PI()*(1-(($A162-Simulador!$E$6)/Simulador!$G$6))/Simulador!$B$11))/2,Simulador!$B$9)))</f>
        <v>5.9758881407227991</v>
      </c>
      <c r="D162" s="18">
        <f>IF(OR((($A162-Simulador!$E$7)/Simulador!$G$7)&lt;=0,(($A162-Simulador!$E$7)/Simulador!$G$7)&gt;=1),0,IF((($A162-Simulador!$E$7)/Simulador!$G$7)&lt;Simulador!$B$11,Simulador!$B$9*(1-COS(PI()*(($A162-Simulador!$E$7)/Simulador!$G$7)/Simulador!$B$11))/2,IF((($A162-Simulador!$E$7)/Simulador!$G$7)&gt;1-Simulador!$B$11,Simulador!$B$9*(1-COS(PI()*(1-(($A162-Simulador!$E$7)/Simulador!$G$7))/Simulador!$B$11))/2,Simulador!$B$9)))</f>
        <v>7.8784839511626208</v>
      </c>
      <c r="E162" s="18">
        <f>IF(OR((($A162-Simulador!$E$8)/Simulador!$G$8)&lt;=0,(($A162-Simulador!$E$8)/Simulador!$G$8)&gt;=1),0,IF((($A162-Simulador!$E$8)/Simulador!$G$8)&lt;Simulador!$B$11,Simulador!$B$10*(1-COS(PI()*(($A162-Simulador!$E$8)/Simulador!$G$8)/Simulador!$B$11))/2,IF((($A162-Simulador!$E$8)/Simulador!$G$8)&gt;1-Simulador!$B$11,Simulador!$B$10*(1-COS(PI()*(1-(($A162-Simulador!$E$8)/Simulador!$G$8))/Simulador!$B$11))/2,Simulador!$B$10)))</f>
        <v>0</v>
      </c>
      <c r="F162" s="18">
        <f>IF(OR((($A162-Simulador!$E$9)/Simulador!$G$9)&lt;=0,(($A162-Simulador!$E$9)/Simulador!$G$9)&gt;=1),0,IF((($A162-Simulador!$E$9)/Simulador!$G$9)&lt;Simulador!$B$11,Simulador!$B$10*(1-COS(PI()*(($A162-Simulador!$E$9)/Simulador!$G$9)/Simulador!$B$11))/2,IF((($A162-Simulador!$E$9)/Simulador!$G$9)&gt;1-Simulador!$B$11,Simulador!$B$10*(1-COS(PI()*(1-(($A162-Simulador!$E$9)/Simulador!$G$9))/Simulador!$B$11))/2,Simulador!$B$10)))</f>
        <v>0</v>
      </c>
      <c r="G162" s="18">
        <f>IF(OR((($A162-Simulador!$E$10)/Simulador!$G$10)&lt;=0,(($A162-Simulador!$E$10)/Simulador!$G$10)&gt;=1),0,IF((($A162-Simulador!$E$10)/Simulador!$G$10)&lt;Simulador!$B$11,Simulador!$B$10*(1-COS(PI()*(($A162-Simulador!$E$10)/Simulador!$G$10)/Simulador!$B$11))/2,IF((($A162-Simulador!$E$10)/Simulador!$G$10)&gt;1-Simulador!$B$11,Simulador!$B$10*(1-COS(PI()*(1-(($A162-Simulador!$E$10)/Simulador!$G$10))/Simulador!$B$11))/2,Simulador!$B$10)))</f>
        <v>0</v>
      </c>
    </row>
    <row r="163" spans="1:7" x14ac:dyDescent="0.25">
      <c r="A163" s="17">
        <f>A162+Simulador!$B$14</f>
        <v>322</v>
      </c>
      <c r="B163" s="18">
        <f>IF(OR((($A163-Simulador!$E$5)/Simulador!$G$5)&lt;=0,(($A163-Simulador!$E$5)/Simulador!$G$5)&gt;=1),0,IF((($A163-Simulador!$E$5)/Simulador!$G$5)&lt;Simulador!$B$11,Simulador!$B$9*(1-COS(PI()*(($A163-Simulador!$E$5)/Simulador!$G$5)/Simulador!$B$11))/2,IF((($A163-Simulador!$E$5)/Simulador!$G$5)&gt;1-Simulador!$B$11,Simulador!$B$9*(1-COS(PI()*(1-(($A163-Simulador!$E$5)/Simulador!$G$5))/Simulador!$B$11))/2,Simulador!$B$9)))</f>
        <v>3.5381282745950924</v>
      </c>
      <c r="C163" s="18">
        <f>IF(OR((($A163-Simulador!$E$6)/Simulador!$G$6)&lt;=0,(($A163-Simulador!$E$6)/Simulador!$G$6)&gt;=1),0,IF((($A163-Simulador!$E$6)/Simulador!$G$6)&lt;Simulador!$B$11,Simulador!$B$9*(1-COS(PI()*(($A163-Simulador!$E$6)/Simulador!$G$6)/Simulador!$B$11))/2,IF((($A163-Simulador!$E$6)/Simulador!$G$6)&gt;1-Simulador!$B$11,Simulador!$B$9*(1-COS(PI()*(1-(($A163-Simulador!$E$6)/Simulador!$G$6))/Simulador!$B$11))/2,Simulador!$B$9)))</f>
        <v>5.6935631362786907</v>
      </c>
      <c r="D163" s="18">
        <f>IF(OR((($A163-Simulador!$E$7)/Simulador!$G$7)&lt;=0,(($A163-Simulador!$E$7)/Simulador!$G$7)&gt;=1),0,IF((($A163-Simulador!$E$7)/Simulador!$G$7)&lt;Simulador!$B$11,Simulador!$B$9*(1-COS(PI()*(($A163-Simulador!$E$7)/Simulador!$G$7)/Simulador!$B$11))/2,IF((($A163-Simulador!$E$7)/Simulador!$G$7)&gt;1-Simulador!$B$11,Simulador!$B$9*(1-COS(PI()*(1-(($A163-Simulador!$E$7)/Simulador!$G$7))/Simulador!$B$11))/2,Simulador!$B$9)))</f>
        <v>7.6545430736317392</v>
      </c>
      <c r="E163" s="18">
        <f>IF(OR((($A163-Simulador!$E$8)/Simulador!$G$8)&lt;=0,(($A163-Simulador!$E$8)/Simulador!$G$8)&gt;=1),0,IF((($A163-Simulador!$E$8)/Simulador!$G$8)&lt;Simulador!$B$11,Simulador!$B$10*(1-COS(PI()*(($A163-Simulador!$E$8)/Simulador!$G$8)/Simulador!$B$11))/2,IF((($A163-Simulador!$E$8)/Simulador!$G$8)&gt;1-Simulador!$B$11,Simulador!$B$10*(1-COS(PI()*(1-(($A163-Simulador!$E$8)/Simulador!$G$8))/Simulador!$B$11))/2,Simulador!$B$10)))</f>
        <v>0</v>
      </c>
      <c r="F163" s="18">
        <f>IF(OR((($A163-Simulador!$E$9)/Simulador!$G$9)&lt;=0,(($A163-Simulador!$E$9)/Simulador!$G$9)&gt;=1),0,IF((($A163-Simulador!$E$9)/Simulador!$G$9)&lt;Simulador!$B$11,Simulador!$B$10*(1-COS(PI()*(($A163-Simulador!$E$9)/Simulador!$G$9)/Simulador!$B$11))/2,IF((($A163-Simulador!$E$9)/Simulador!$G$9)&gt;1-Simulador!$B$11,Simulador!$B$10*(1-COS(PI()*(1-(($A163-Simulador!$E$9)/Simulador!$G$9))/Simulador!$B$11))/2,Simulador!$B$10)))</f>
        <v>0</v>
      </c>
      <c r="G163" s="18">
        <f>IF(OR((($A163-Simulador!$E$10)/Simulador!$G$10)&lt;=0,(($A163-Simulador!$E$10)/Simulador!$G$10)&gt;=1),0,IF((($A163-Simulador!$E$10)/Simulador!$G$10)&lt;Simulador!$B$11,Simulador!$B$10*(1-COS(PI()*(($A163-Simulador!$E$10)/Simulador!$G$10)/Simulador!$B$11))/2,IF((($A163-Simulador!$E$10)/Simulador!$G$10)&gt;1-Simulador!$B$11,Simulador!$B$10*(1-COS(PI()*(1-(($A163-Simulador!$E$10)/Simulador!$G$10))/Simulador!$B$11))/2,Simulador!$B$10)))</f>
        <v>0</v>
      </c>
    </row>
    <row r="164" spans="1:7" x14ac:dyDescent="0.25">
      <c r="A164" s="17">
        <f>A163+Simulador!$B$14</f>
        <v>324</v>
      </c>
      <c r="B164" s="18">
        <f>IF(OR((($A164-Simulador!$E$5)/Simulador!$G$5)&lt;=0,(($A164-Simulador!$E$5)/Simulador!$G$5)&gt;=1),0,IF((($A164-Simulador!$E$5)/Simulador!$G$5)&lt;Simulador!$B$11,Simulador!$B$9*(1-COS(PI()*(($A164-Simulador!$E$5)/Simulador!$G$5)/Simulador!$B$11))/2,IF((($A164-Simulador!$E$5)/Simulador!$G$5)&gt;1-Simulador!$B$11,Simulador!$B$9*(1-COS(PI()*(1-(($A164-Simulador!$E$5)/Simulador!$G$5))/Simulador!$B$11))/2,Simulador!$B$9)))</f>
        <v>3.260119312155898</v>
      </c>
      <c r="C164" s="18">
        <f>IF(OR((($A164-Simulador!$E$6)/Simulador!$G$6)&lt;=0,(($A164-Simulador!$E$6)/Simulador!$G$6)&gt;=1),0,IF((($A164-Simulador!$E$6)/Simulador!$G$6)&lt;Simulador!$B$11,Simulador!$B$9*(1-COS(PI()*(($A164-Simulador!$E$6)/Simulador!$G$6)/Simulador!$B$11))/2,IF((($A164-Simulador!$E$6)/Simulador!$G$6)&gt;1-Simulador!$B$11,Simulador!$B$9*(1-COS(PI()*(1-(($A164-Simulador!$E$6)/Simulador!$G$6))/Simulador!$B$11))/2,Simulador!$B$9)))</f>
        <v>5.4077211914155257</v>
      </c>
      <c r="D164" s="18">
        <f>IF(OR((($A164-Simulador!$E$7)/Simulador!$G$7)&lt;=0,(($A164-Simulador!$E$7)/Simulador!$G$7)&gt;=1),0,IF((($A164-Simulador!$E$7)/Simulador!$G$7)&lt;Simulador!$B$11,Simulador!$B$9*(1-COS(PI()*(($A164-Simulador!$E$7)/Simulador!$G$7)/Simulador!$B$11))/2,IF((($A164-Simulador!$E$7)/Simulador!$G$7)&gt;1-Simulador!$B$11,Simulador!$B$9*(1-COS(PI()*(1-(($A164-Simulador!$E$7)/Simulador!$G$7))/Simulador!$B$11))/2,Simulador!$B$9)))</f>
        <v>7.4197761002713305</v>
      </c>
      <c r="E164" s="18">
        <f>IF(OR((($A164-Simulador!$E$8)/Simulador!$G$8)&lt;=0,(($A164-Simulador!$E$8)/Simulador!$G$8)&gt;=1),0,IF((($A164-Simulador!$E$8)/Simulador!$G$8)&lt;Simulador!$B$11,Simulador!$B$10*(1-COS(PI()*(($A164-Simulador!$E$8)/Simulador!$G$8)/Simulador!$B$11))/2,IF((($A164-Simulador!$E$8)/Simulador!$G$8)&gt;1-Simulador!$B$11,Simulador!$B$10*(1-COS(PI()*(1-(($A164-Simulador!$E$8)/Simulador!$G$8))/Simulador!$B$11))/2,Simulador!$B$10)))</f>
        <v>0</v>
      </c>
      <c r="F164" s="18">
        <f>IF(OR((($A164-Simulador!$E$9)/Simulador!$G$9)&lt;=0,(($A164-Simulador!$E$9)/Simulador!$G$9)&gt;=1),0,IF((($A164-Simulador!$E$9)/Simulador!$G$9)&lt;Simulador!$B$11,Simulador!$B$10*(1-COS(PI()*(($A164-Simulador!$E$9)/Simulador!$G$9)/Simulador!$B$11))/2,IF((($A164-Simulador!$E$9)/Simulador!$G$9)&gt;1-Simulador!$B$11,Simulador!$B$10*(1-COS(PI()*(1-(($A164-Simulador!$E$9)/Simulador!$G$9))/Simulador!$B$11))/2,Simulador!$B$10)))</f>
        <v>0</v>
      </c>
      <c r="G164" s="18">
        <f>IF(OR((($A164-Simulador!$E$10)/Simulador!$G$10)&lt;=0,(($A164-Simulador!$E$10)/Simulador!$G$10)&gt;=1),0,IF((($A164-Simulador!$E$10)/Simulador!$G$10)&lt;Simulador!$B$11,Simulador!$B$10*(1-COS(PI()*(($A164-Simulador!$E$10)/Simulador!$G$10)/Simulador!$B$11))/2,IF((($A164-Simulador!$E$10)/Simulador!$G$10)&gt;1-Simulador!$B$11,Simulador!$B$10*(1-COS(PI()*(1-(($A164-Simulador!$E$10)/Simulador!$G$10))/Simulador!$B$11))/2,Simulador!$B$10)))</f>
        <v>0</v>
      </c>
    </row>
    <row r="165" spans="1:7" x14ac:dyDescent="0.25">
      <c r="A165" s="17">
        <f>A164+Simulador!$B$14</f>
        <v>326</v>
      </c>
      <c r="B165" s="18">
        <f>IF(OR((($A165-Simulador!$E$5)/Simulador!$G$5)&lt;=0,(($A165-Simulador!$E$5)/Simulador!$G$5)&gt;=1),0,IF((($A165-Simulador!$E$5)/Simulador!$G$5)&lt;Simulador!$B$11,Simulador!$B$9*(1-COS(PI()*(($A165-Simulador!$E$5)/Simulador!$G$5)/Simulador!$B$11))/2,IF((($A165-Simulador!$E$5)/Simulador!$G$5)&gt;1-Simulador!$B$11,Simulador!$B$9*(1-COS(PI()*(1-(($A165-Simulador!$E$5)/Simulador!$G$5))/Simulador!$B$11))/2,Simulador!$B$9)))</f>
        <v>2.9876635781220915</v>
      </c>
      <c r="C165" s="18">
        <f>IF(OR((($A165-Simulador!$E$6)/Simulador!$G$6)&lt;=0,(($A165-Simulador!$E$6)/Simulador!$G$6)&gt;=1),0,IF((($A165-Simulador!$E$6)/Simulador!$G$6)&lt;Simulador!$B$11,Simulador!$B$9*(1-COS(PI()*(($A165-Simulador!$E$6)/Simulador!$G$6)/Simulador!$B$11))/2,IF((($A165-Simulador!$E$6)/Simulador!$G$6)&gt;1-Simulador!$B$11,Simulador!$B$9*(1-COS(PI()*(1-(($A165-Simulador!$E$6)/Simulador!$G$6))/Simulador!$B$11))/2,Simulador!$B$9)))</f>
        <v>5.1194277240695252</v>
      </c>
      <c r="D165" s="18">
        <f>IF(OR((($A165-Simulador!$E$7)/Simulador!$G$7)&lt;=0,(($A165-Simulador!$E$7)/Simulador!$G$7)&gt;=1),0,IF((($A165-Simulador!$E$7)/Simulador!$G$7)&lt;Simulador!$B$11,Simulador!$B$9*(1-COS(PI()*(($A165-Simulador!$E$7)/Simulador!$G$7)/Simulador!$B$11))/2,IF((($A165-Simulador!$E$7)/Simulador!$G$7)&gt;1-Simulador!$B$11,Simulador!$B$9*(1-COS(PI()*(1-(($A165-Simulador!$E$7)/Simulador!$G$7))/Simulador!$B$11))/2,Simulador!$B$9)))</f>
        <v>7.1750580774094326</v>
      </c>
      <c r="E165" s="18">
        <f>IF(OR((($A165-Simulador!$E$8)/Simulador!$G$8)&lt;=0,(($A165-Simulador!$E$8)/Simulador!$G$8)&gt;=1),0,IF((($A165-Simulador!$E$8)/Simulador!$G$8)&lt;Simulador!$B$11,Simulador!$B$10*(1-COS(PI()*(($A165-Simulador!$E$8)/Simulador!$G$8)/Simulador!$B$11))/2,IF((($A165-Simulador!$E$8)/Simulador!$G$8)&gt;1-Simulador!$B$11,Simulador!$B$10*(1-COS(PI()*(1-(($A165-Simulador!$E$8)/Simulador!$G$8))/Simulador!$B$11))/2,Simulador!$B$10)))</f>
        <v>1.9021627951108788E-3</v>
      </c>
      <c r="F165" s="18">
        <f>IF(OR((($A165-Simulador!$E$9)/Simulador!$G$9)&lt;=0,(($A165-Simulador!$E$9)/Simulador!$G$9)&gt;=1),0,IF((($A165-Simulador!$E$9)/Simulador!$G$9)&lt;Simulador!$B$11,Simulador!$B$10*(1-COS(PI()*(($A165-Simulador!$E$9)/Simulador!$G$9)/Simulador!$B$11))/2,IF((($A165-Simulador!$E$9)/Simulador!$G$9)&gt;1-Simulador!$B$11,Simulador!$B$10*(1-COS(PI()*(1-(($A165-Simulador!$E$9)/Simulador!$G$9))/Simulador!$B$11))/2,Simulador!$B$10)))</f>
        <v>0</v>
      </c>
      <c r="G165" s="18">
        <f>IF(OR((($A165-Simulador!$E$10)/Simulador!$G$10)&lt;=0,(($A165-Simulador!$E$10)/Simulador!$G$10)&gt;=1),0,IF((($A165-Simulador!$E$10)/Simulador!$G$10)&lt;Simulador!$B$11,Simulador!$B$10*(1-COS(PI()*(($A165-Simulador!$E$10)/Simulador!$G$10)/Simulador!$B$11))/2,IF((($A165-Simulador!$E$10)/Simulador!$G$10)&gt;1-Simulador!$B$11,Simulador!$B$10*(1-COS(PI()*(1-(($A165-Simulador!$E$10)/Simulador!$G$10))/Simulador!$B$11))/2,Simulador!$B$10)))</f>
        <v>0</v>
      </c>
    </row>
    <row r="166" spans="1:7" x14ac:dyDescent="0.25">
      <c r="A166" s="17">
        <f>A165+Simulador!$B$14</f>
        <v>328</v>
      </c>
      <c r="B166" s="18">
        <f>IF(OR((($A166-Simulador!$E$5)/Simulador!$G$5)&lt;=0,(($A166-Simulador!$E$5)/Simulador!$G$5)&gt;=1),0,IF((($A166-Simulador!$E$5)/Simulador!$G$5)&lt;Simulador!$B$11,Simulador!$B$9*(1-COS(PI()*(($A166-Simulador!$E$5)/Simulador!$G$5)/Simulador!$B$11))/2,IF((($A166-Simulador!$E$5)/Simulador!$G$5)&gt;1-Simulador!$B$11,Simulador!$B$9*(1-COS(PI()*(1-(($A166-Simulador!$E$5)/Simulador!$G$5))/Simulador!$B$11))/2,Simulador!$B$9)))</f>
        <v>2.7217765960411531</v>
      </c>
      <c r="C166" s="18">
        <f>IF(OR((($A166-Simulador!$E$6)/Simulador!$G$6)&lt;=0,(($A166-Simulador!$E$6)/Simulador!$G$6)&gt;=1),0,IF((($A166-Simulador!$E$6)/Simulador!$G$6)&lt;Simulador!$B$11,Simulador!$B$9*(1-COS(PI()*(($A166-Simulador!$E$6)/Simulador!$G$6)/Simulador!$B$11))/2,IF((($A166-Simulador!$E$6)/Simulador!$G$6)&gt;1-Simulador!$B$11,Simulador!$B$9*(1-COS(PI()*(1-(($A166-Simulador!$E$6)/Simulador!$G$6))/Simulador!$B$11))/2,Simulador!$B$9)))</f>
        <v>4.8297572897302725</v>
      </c>
      <c r="D166" s="18">
        <f>IF(OR((($A166-Simulador!$E$7)/Simulador!$G$7)&lt;=0,(($A166-Simulador!$E$7)/Simulador!$G$7)&gt;=1),0,IF((($A166-Simulador!$E$7)/Simulador!$G$7)&lt;Simulador!$B$11,Simulador!$B$9*(1-COS(PI()*(($A166-Simulador!$E$7)/Simulador!$G$7)/Simulador!$B$11))/2,IF((($A166-Simulador!$E$7)/Simulador!$G$7)&gt;1-Simulador!$B$11,Simulador!$B$9*(1-COS(PI()*(1-(($A166-Simulador!$E$7)/Simulador!$G$7))/Simulador!$B$11))/2,Simulador!$B$9)))</f>
        <v>6.9213011418949595</v>
      </c>
      <c r="E166" s="18">
        <f>IF(OR((($A166-Simulador!$E$8)/Simulador!$G$8)&lt;=0,(($A166-Simulador!$E$8)/Simulador!$G$8)&gt;=1),0,IF((($A166-Simulador!$E$8)/Simulador!$G$8)&lt;Simulador!$B$11,Simulador!$B$10*(1-COS(PI()*(($A166-Simulador!$E$8)/Simulador!$G$8)/Simulador!$B$11))/2,IF((($A166-Simulador!$E$8)/Simulador!$G$8)&gt;1-Simulador!$B$11,Simulador!$B$10*(1-COS(PI()*(1-(($A166-Simulador!$E$8)/Simulador!$G$8))/Simulador!$B$11))/2,Simulador!$B$10)))</f>
        <v>1.710925052023396E-2</v>
      </c>
      <c r="F166" s="18">
        <f>IF(OR((($A166-Simulador!$E$9)/Simulador!$G$9)&lt;=0,(($A166-Simulador!$E$9)/Simulador!$G$9)&gt;=1),0,IF((($A166-Simulador!$E$9)/Simulador!$G$9)&lt;Simulador!$B$11,Simulador!$B$10*(1-COS(PI()*(($A166-Simulador!$E$9)/Simulador!$G$9)/Simulador!$B$11))/2,IF((($A166-Simulador!$E$9)/Simulador!$G$9)&gt;1-Simulador!$B$11,Simulador!$B$10*(1-COS(PI()*(1-(($A166-Simulador!$E$9)/Simulador!$G$9))/Simulador!$B$11))/2,Simulador!$B$10)))</f>
        <v>0</v>
      </c>
      <c r="G166" s="18">
        <f>IF(OR((($A166-Simulador!$E$10)/Simulador!$G$10)&lt;=0,(($A166-Simulador!$E$10)/Simulador!$G$10)&gt;=1),0,IF((($A166-Simulador!$E$10)/Simulador!$G$10)&lt;Simulador!$B$11,Simulador!$B$10*(1-COS(PI()*(($A166-Simulador!$E$10)/Simulador!$G$10)/Simulador!$B$11))/2,IF((($A166-Simulador!$E$10)/Simulador!$G$10)&gt;1-Simulador!$B$11,Simulador!$B$10*(1-COS(PI()*(1-(($A166-Simulador!$E$10)/Simulador!$G$10))/Simulador!$B$11))/2,Simulador!$B$10)))</f>
        <v>0</v>
      </c>
    </row>
    <row r="167" spans="1:7" x14ac:dyDescent="0.25">
      <c r="A167" s="17">
        <f>A166+Simulador!$B$14</f>
        <v>330</v>
      </c>
      <c r="B167" s="18">
        <f>IF(OR((($A167-Simulador!$E$5)/Simulador!$G$5)&lt;=0,(($A167-Simulador!$E$5)/Simulador!$G$5)&gt;=1),0,IF((($A167-Simulador!$E$5)/Simulador!$G$5)&lt;Simulador!$B$11,Simulador!$B$9*(1-COS(PI()*(($A167-Simulador!$E$5)/Simulador!$G$5)/Simulador!$B$11))/2,IF((($A167-Simulador!$E$5)/Simulador!$G$5)&gt;1-Simulador!$B$11,Simulador!$B$9*(1-COS(PI()*(1-(($A167-Simulador!$E$5)/Simulador!$G$5))/Simulador!$B$11))/2,Simulador!$B$9)))</f>
        <v>2.4634494057685323</v>
      </c>
      <c r="C167" s="18">
        <f>IF(OR((($A167-Simulador!$E$6)/Simulador!$G$6)&lt;=0,(($A167-Simulador!$E$6)/Simulador!$G$6)&gt;=1),0,IF((($A167-Simulador!$E$6)/Simulador!$G$6)&lt;Simulador!$B$11,Simulador!$B$9*(1-COS(PI()*(($A167-Simulador!$E$6)/Simulador!$G$6)/Simulador!$B$11))/2,IF((($A167-Simulador!$E$6)/Simulador!$G$6)&gt;1-Simulador!$B$11,Simulador!$B$9*(1-COS(PI()*(1-(($A167-Simulador!$E$6)/Simulador!$G$6))/Simulador!$B$11))/2,Simulador!$B$9)))</f>
        <v>4.5397895762528488</v>
      </c>
      <c r="D167" s="18">
        <f>IF(OR((($A167-Simulador!$E$7)/Simulador!$G$7)&lt;=0,(($A167-Simulador!$E$7)/Simulador!$G$7)&gt;=1),0,IF((($A167-Simulador!$E$7)/Simulador!$G$7)&lt;Simulador!$B$11,Simulador!$B$9*(1-COS(PI()*(($A167-Simulador!$E$7)/Simulador!$G$7)/Simulador!$B$11))/2,IF((($A167-Simulador!$E$7)/Simulador!$G$7)&gt;1-Simulador!$B$11,Simulador!$B$9*(1-COS(PI()*(1-(($A167-Simulador!$E$7)/Simulador!$G$7))/Simulador!$B$11))/2,Simulador!$B$9)))</f>
        <v>6.6594511212924044</v>
      </c>
      <c r="E167" s="18">
        <f>IF(OR((($A167-Simulador!$E$8)/Simulador!$G$8)&lt;=0,(($A167-Simulador!$E$8)/Simulador!$G$8)&gt;=1),0,IF((($A167-Simulador!$E$8)/Simulador!$G$8)&lt;Simulador!$B$11,Simulador!$B$10*(1-COS(PI()*(($A167-Simulador!$E$8)/Simulador!$G$8)/Simulador!$B$11))/2,IF((($A167-Simulador!$E$8)/Simulador!$G$8)&gt;1-Simulador!$B$11,Simulador!$B$10*(1-COS(PI()*(1-(($A167-Simulador!$E$8)/Simulador!$G$8))/Simulador!$B$11))/2,Simulador!$B$10)))</f>
        <v>4.7468988543203777E-2</v>
      </c>
      <c r="F167" s="18">
        <f>IF(OR((($A167-Simulador!$E$9)/Simulador!$G$9)&lt;=0,(($A167-Simulador!$E$9)/Simulador!$G$9)&gt;=1),0,IF((($A167-Simulador!$E$9)/Simulador!$G$9)&lt;Simulador!$B$11,Simulador!$B$10*(1-COS(PI()*(($A167-Simulador!$E$9)/Simulador!$G$9)/Simulador!$B$11))/2,IF((($A167-Simulador!$E$9)/Simulador!$G$9)&gt;1-Simulador!$B$11,Simulador!$B$10*(1-COS(PI()*(1-(($A167-Simulador!$E$9)/Simulador!$G$9))/Simulador!$B$11))/2,Simulador!$B$10)))</f>
        <v>0</v>
      </c>
      <c r="G167" s="18">
        <f>IF(OR((($A167-Simulador!$E$10)/Simulador!$G$10)&lt;=0,(($A167-Simulador!$E$10)/Simulador!$G$10)&gt;=1),0,IF((($A167-Simulador!$E$10)/Simulador!$G$10)&lt;Simulador!$B$11,Simulador!$B$10*(1-COS(PI()*(($A167-Simulador!$E$10)/Simulador!$G$10)/Simulador!$B$11))/2,IF((($A167-Simulador!$E$10)/Simulador!$G$10)&gt;1-Simulador!$B$11,Simulador!$B$10*(1-COS(PI()*(1-(($A167-Simulador!$E$10)/Simulador!$G$10))/Simulador!$B$11))/2,Simulador!$B$10)))</f>
        <v>0</v>
      </c>
    </row>
    <row r="168" spans="1:7" x14ac:dyDescent="0.25">
      <c r="A168" s="17">
        <f>A167+Simulador!$B$14</f>
        <v>332</v>
      </c>
      <c r="B168" s="18">
        <f>IF(OR((($A168-Simulador!$E$5)/Simulador!$G$5)&lt;=0,(($A168-Simulador!$E$5)/Simulador!$G$5)&gt;=1),0,IF((($A168-Simulador!$E$5)/Simulador!$G$5)&lt;Simulador!$B$11,Simulador!$B$9*(1-COS(PI()*(($A168-Simulador!$E$5)/Simulador!$G$5)/Simulador!$B$11))/2,IF((($A168-Simulador!$E$5)/Simulador!$G$5)&gt;1-Simulador!$B$11,Simulador!$B$9*(1-COS(PI()*(1-(($A168-Simulador!$E$5)/Simulador!$G$5))/Simulador!$B$11))/2,Simulador!$B$9)))</f>
        <v>2.2136448695673643</v>
      </c>
      <c r="C168" s="18">
        <f>IF(OR((($A168-Simulador!$E$6)/Simulador!$G$6)&lt;=0,(($A168-Simulador!$E$6)/Simulador!$G$6)&gt;=1),0,IF((($A168-Simulador!$E$6)/Simulador!$G$6)&lt;Simulador!$B$11,Simulador!$B$9*(1-COS(PI()*(($A168-Simulador!$E$6)/Simulador!$G$6)/Simulador!$B$11))/2,IF((($A168-Simulador!$E$6)/Simulador!$G$6)&gt;1-Simulador!$B$11,Simulador!$B$9*(1-COS(PI()*(1-(($A168-Simulador!$E$6)/Simulador!$G$6))/Simulador!$B$11))/2,Simulador!$B$9)))</f>
        <v>4.2506053795400778</v>
      </c>
      <c r="D168" s="18">
        <f>IF(OR((($A168-Simulador!$E$7)/Simulador!$G$7)&lt;=0,(($A168-Simulador!$E$7)/Simulador!$G$7)&gt;=1),0,IF((($A168-Simulador!$E$7)/Simulador!$G$7)&lt;Simulador!$B$11,Simulador!$B$9*(1-COS(PI()*(($A168-Simulador!$E$7)/Simulador!$G$7)/Simulador!$B$11))/2,IF((($A168-Simulador!$E$7)/Simulador!$G$7)&gt;1-Simulador!$B$11,Simulador!$B$9*(1-COS(PI()*(1-(($A168-Simulador!$E$7)/Simulador!$G$7))/Simulador!$B$11))/2,Simulador!$B$9)))</f>
        <v>6.3904840085012093</v>
      </c>
      <c r="E168" s="18">
        <f>IF(OR((($A168-Simulador!$E$8)/Simulador!$G$8)&lt;=0,(($A168-Simulador!$E$8)/Simulador!$G$8)&gt;=1),0,IF((($A168-Simulador!$E$8)/Simulador!$G$8)&lt;Simulador!$B$11,Simulador!$B$10*(1-COS(PI()*(($A168-Simulador!$E$8)/Simulador!$G$8)/Simulador!$B$11))/2,IF((($A168-Simulador!$E$8)/Simulador!$G$8)&gt;1-Simulador!$B$11,Simulador!$B$10*(1-COS(PI()*(1-(($A168-Simulador!$E$8)/Simulador!$G$8))/Simulador!$B$11))/2,Simulador!$B$10)))</f>
        <v>9.2872696881325822E-2</v>
      </c>
      <c r="F168" s="18">
        <f>IF(OR((($A168-Simulador!$E$9)/Simulador!$G$9)&lt;=0,(($A168-Simulador!$E$9)/Simulador!$G$9)&gt;=1),0,IF((($A168-Simulador!$E$9)/Simulador!$G$9)&lt;Simulador!$B$11,Simulador!$B$10*(1-COS(PI()*(($A168-Simulador!$E$9)/Simulador!$G$9)/Simulador!$B$11))/2,IF((($A168-Simulador!$E$9)/Simulador!$G$9)&gt;1-Simulador!$B$11,Simulador!$B$10*(1-COS(PI()*(1-(($A168-Simulador!$E$9)/Simulador!$G$9))/Simulador!$B$11))/2,Simulador!$B$10)))</f>
        <v>0</v>
      </c>
      <c r="G168" s="18">
        <f>IF(OR((($A168-Simulador!$E$10)/Simulador!$G$10)&lt;=0,(($A168-Simulador!$E$10)/Simulador!$G$10)&gt;=1),0,IF((($A168-Simulador!$E$10)/Simulador!$G$10)&lt;Simulador!$B$11,Simulador!$B$10*(1-COS(PI()*(($A168-Simulador!$E$10)/Simulador!$G$10)/Simulador!$B$11))/2,IF((($A168-Simulador!$E$10)/Simulador!$G$10)&gt;1-Simulador!$B$11,Simulador!$B$10*(1-COS(PI()*(1-(($A168-Simulador!$E$10)/Simulador!$G$10))/Simulador!$B$11))/2,Simulador!$B$10)))</f>
        <v>0</v>
      </c>
    </row>
    <row r="169" spans="1:7" x14ac:dyDescent="0.25">
      <c r="A169" s="17">
        <f>A168+Simulador!$B$14</f>
        <v>334</v>
      </c>
      <c r="B169" s="18">
        <f>IF(OR((($A169-Simulador!$E$5)/Simulador!$G$5)&lt;=0,(($A169-Simulador!$E$5)/Simulador!$G$5)&gt;=1),0,IF((($A169-Simulador!$E$5)/Simulador!$G$5)&lt;Simulador!$B$11,Simulador!$B$9*(1-COS(PI()*(($A169-Simulador!$E$5)/Simulador!$G$5)/Simulador!$B$11))/2,IF((($A169-Simulador!$E$5)/Simulador!$G$5)&gt;1-Simulador!$B$11,Simulador!$B$9*(1-COS(PI()*(1-(($A169-Simulador!$E$5)/Simulador!$G$5))/Simulador!$B$11))/2,Simulador!$B$9)))</f>
        <v>1.9732940832344832</v>
      </c>
      <c r="C169" s="18">
        <f>IF(OR((($A169-Simulador!$E$6)/Simulador!$G$6)&lt;=0,(($A169-Simulador!$E$6)/Simulador!$G$6)&gt;=1),0,IF((($A169-Simulador!$E$6)/Simulador!$G$6)&lt;Simulador!$B$11,Simulador!$B$9*(1-COS(PI()*(($A169-Simulador!$E$6)/Simulador!$G$6)/Simulador!$B$11))/2,IF((($A169-Simulador!$E$6)/Simulador!$G$6)&gt;1-Simulador!$B$11,Simulador!$B$9*(1-COS(PI()*(1-(($A169-Simulador!$E$6)/Simulador!$G$6))/Simulador!$B$11))/2,Simulador!$B$9)))</f>
        <v>3.9632825750947958</v>
      </c>
      <c r="D169" s="18">
        <f>IF(OR((($A169-Simulador!$E$7)/Simulador!$G$7)&lt;=0,(($A169-Simulador!$E$7)/Simulador!$G$7)&gt;=1),0,IF((($A169-Simulador!$E$7)/Simulador!$G$7)&lt;Simulador!$B$11,Simulador!$B$9*(1-COS(PI()*(($A169-Simulador!$E$7)/Simulador!$G$7)/Simulador!$B$11))/2,IF((($A169-Simulador!$E$7)/Simulador!$G$7)&gt;1-Simulador!$B$11,Simulador!$B$9*(1-COS(PI()*(1-(($A169-Simulador!$E$7)/Simulador!$G$7))/Simulador!$B$11))/2,Simulador!$B$9)))</f>
        <v>6.1154023239399962</v>
      </c>
      <c r="E169" s="18">
        <f>IF(OR((($A169-Simulador!$E$8)/Simulador!$G$8)&lt;=0,(($A169-Simulador!$E$8)/Simulador!$G$8)&gt;=1),0,IF((($A169-Simulador!$E$8)/Simulador!$G$8)&lt;Simulador!$B$11,Simulador!$B$10*(1-COS(PI()*(($A169-Simulador!$E$8)/Simulador!$G$8)/Simulador!$B$11))/2,IF((($A169-Simulador!$E$8)/Simulador!$G$8)&gt;1-Simulador!$B$11,Simulador!$B$10*(1-COS(PI()*(1-(($A169-Simulador!$E$8)/Simulador!$G$8))/Simulador!$B$11))/2,Simulador!$B$10)))</f>
        <v>0.15315784204262373</v>
      </c>
      <c r="F169" s="18">
        <f>IF(OR((($A169-Simulador!$E$9)/Simulador!$G$9)&lt;=0,(($A169-Simulador!$E$9)/Simulador!$G$9)&gt;=1),0,IF((($A169-Simulador!$E$9)/Simulador!$G$9)&lt;Simulador!$B$11,Simulador!$B$10*(1-COS(PI()*(($A169-Simulador!$E$9)/Simulador!$G$9)/Simulador!$B$11))/2,IF((($A169-Simulador!$E$9)/Simulador!$G$9)&gt;1-Simulador!$B$11,Simulador!$B$10*(1-COS(PI()*(1-(($A169-Simulador!$E$9)/Simulador!$G$9))/Simulador!$B$11))/2,Simulador!$B$10)))</f>
        <v>0</v>
      </c>
      <c r="G169" s="18">
        <f>IF(OR((($A169-Simulador!$E$10)/Simulador!$G$10)&lt;=0,(($A169-Simulador!$E$10)/Simulador!$G$10)&gt;=1),0,IF((($A169-Simulador!$E$10)/Simulador!$G$10)&lt;Simulador!$B$11,Simulador!$B$10*(1-COS(PI()*(($A169-Simulador!$E$10)/Simulador!$G$10)/Simulador!$B$11))/2,IF((($A169-Simulador!$E$10)/Simulador!$G$10)&gt;1-Simulador!$B$11,Simulador!$B$10*(1-COS(PI()*(1-(($A169-Simulador!$E$10)/Simulador!$G$10))/Simulador!$B$11))/2,Simulador!$B$10)))</f>
        <v>0</v>
      </c>
    </row>
    <row r="170" spans="1:7" x14ac:dyDescent="0.25">
      <c r="A170" s="17">
        <f>A169+Simulador!$B$14</f>
        <v>336</v>
      </c>
      <c r="B170" s="18">
        <f>IF(OR((($A170-Simulador!$E$5)/Simulador!$G$5)&lt;=0,(($A170-Simulador!$E$5)/Simulador!$G$5)&gt;=1),0,IF((($A170-Simulador!$E$5)/Simulador!$G$5)&lt;Simulador!$B$11,Simulador!$B$9*(1-COS(PI()*(($A170-Simulador!$E$5)/Simulador!$G$5)/Simulador!$B$11))/2,IF((($A170-Simulador!$E$5)/Simulador!$G$5)&gt;1-Simulador!$B$11,Simulador!$B$9*(1-COS(PI()*(1-(($A170-Simulador!$E$5)/Simulador!$G$5))/Simulador!$B$11))/2,Simulador!$B$9)))</f>
        <v>1.7432929056294639</v>
      </c>
      <c r="C170" s="18">
        <f>IF(OR((($A170-Simulador!$E$6)/Simulador!$G$6)&lt;=0,(($A170-Simulador!$E$6)/Simulador!$G$6)&gt;=1),0,IF((($A170-Simulador!$E$6)/Simulador!$G$6)&lt;Simulador!$B$11,Simulador!$B$9*(1-COS(PI()*(($A170-Simulador!$E$6)/Simulador!$G$6)/Simulador!$B$11))/2,IF((($A170-Simulador!$E$6)/Simulador!$G$6)&gt;1-Simulador!$B$11,Simulador!$B$9*(1-COS(PI()*(1-(($A170-Simulador!$E$6)/Simulador!$G$6))/Simulador!$B$11))/2,Simulador!$B$9)))</f>
        <v>3.6788921004572916</v>
      </c>
      <c r="D170" s="18">
        <f>IF(OR((($A170-Simulador!$E$7)/Simulador!$G$7)&lt;=0,(($A170-Simulador!$E$7)/Simulador!$G$7)&gt;=1),0,IF((($A170-Simulador!$E$7)/Simulador!$G$7)&lt;Simulador!$B$11,Simulador!$B$9*(1-COS(PI()*(($A170-Simulador!$E$7)/Simulador!$G$7)/Simulador!$B$11))/2,IF((($A170-Simulador!$E$7)/Simulador!$G$7)&gt;1-Simulador!$B$11,Simulador!$B$9*(1-COS(PI()*(1-(($A170-Simulador!$E$7)/Simulador!$G$7))/Simulador!$B$11))/2,Simulador!$B$9)))</f>
        <v>5.8352313788548029</v>
      </c>
      <c r="E170" s="18">
        <f>IF(OR((($A170-Simulador!$E$8)/Simulador!$G$8)&lt;=0,(($A170-Simulador!$E$8)/Simulador!$G$8)&gt;=1),0,IF((($A170-Simulador!$E$8)/Simulador!$G$8)&lt;Simulador!$B$11,Simulador!$B$10*(1-COS(PI()*(($A170-Simulador!$E$8)/Simulador!$G$8)/Simulador!$B$11))/2,IF((($A170-Simulador!$E$8)/Simulador!$G$8)&gt;1-Simulador!$B$11,Simulador!$B$10*(1-COS(PI()*(1-(($A170-Simulador!$E$8)/Simulador!$G$8))/Simulador!$B$11))/2,Simulador!$B$10)))</f>
        <v>0.22810861885355191</v>
      </c>
      <c r="F170" s="18">
        <f>IF(OR((($A170-Simulador!$E$9)/Simulador!$G$9)&lt;=0,(($A170-Simulador!$E$9)/Simulador!$G$9)&gt;=1),0,IF((($A170-Simulador!$E$9)/Simulador!$G$9)&lt;Simulador!$B$11,Simulador!$B$10*(1-COS(PI()*(($A170-Simulador!$E$9)/Simulador!$G$9)/Simulador!$B$11))/2,IF((($A170-Simulador!$E$9)/Simulador!$G$9)&gt;1-Simulador!$B$11,Simulador!$B$10*(1-COS(PI()*(1-(($A170-Simulador!$E$9)/Simulador!$G$9))/Simulador!$B$11))/2,Simulador!$B$10)))</f>
        <v>0</v>
      </c>
      <c r="G170" s="18">
        <f>IF(OR((($A170-Simulador!$E$10)/Simulador!$G$10)&lt;=0,(($A170-Simulador!$E$10)/Simulador!$G$10)&gt;=1),0,IF((($A170-Simulador!$E$10)/Simulador!$G$10)&lt;Simulador!$B$11,Simulador!$B$10*(1-COS(PI()*(($A170-Simulador!$E$10)/Simulador!$G$10)/Simulador!$B$11))/2,IF((($A170-Simulador!$E$10)/Simulador!$G$10)&gt;1-Simulador!$B$11,Simulador!$B$10*(1-COS(PI()*(1-(($A170-Simulador!$E$10)/Simulador!$G$10))/Simulador!$B$11))/2,Simulador!$B$10)))</f>
        <v>0</v>
      </c>
    </row>
    <row r="171" spans="1:7" x14ac:dyDescent="0.25">
      <c r="A171" s="17">
        <f>A170+Simulador!$B$14</f>
        <v>338</v>
      </c>
      <c r="B171" s="18">
        <f>IF(OR((($A171-Simulador!$E$5)/Simulador!$G$5)&lt;=0,(($A171-Simulador!$E$5)/Simulador!$G$5)&gt;=1),0,IF((($A171-Simulador!$E$5)/Simulador!$G$5)&lt;Simulador!$B$11,Simulador!$B$9*(1-COS(PI()*(($A171-Simulador!$E$5)/Simulador!$G$5)/Simulador!$B$11))/2,IF((($A171-Simulador!$E$5)/Simulador!$G$5)&gt;1-Simulador!$B$11,Simulador!$B$9*(1-COS(PI()*(1-(($A171-Simulador!$E$5)/Simulador!$G$5))/Simulador!$B$11))/2,Simulador!$B$9)))</f>
        <v>1.5244986195422456</v>
      </c>
      <c r="C171" s="18">
        <f>IF(OR((($A171-Simulador!$E$6)/Simulador!$G$6)&lt;=0,(($A171-Simulador!$E$6)/Simulador!$G$6)&gt;=1),0,IF((($A171-Simulador!$E$6)/Simulador!$G$6)&lt;Simulador!$B$11,Simulador!$B$9*(1-COS(PI()*(($A171-Simulador!$E$6)/Simulador!$G$6)/Simulador!$B$11))/2,IF((($A171-Simulador!$E$6)/Simulador!$G$6)&gt;1-Simulador!$B$11,Simulador!$B$9*(1-COS(PI()*(1-(($A171-Simulador!$E$6)/Simulador!$G$6))/Simulador!$B$11))/2,Simulador!$B$9)))</f>
        <v>3.3984939635025939</v>
      </c>
      <c r="D171" s="18">
        <f>IF(OR((($A171-Simulador!$E$7)/Simulador!$G$7)&lt;=0,(($A171-Simulador!$E$7)/Simulador!$G$7)&gt;=1),0,IF((($A171-Simulador!$E$7)/Simulador!$G$7)&lt;Simulador!$B$11,Simulador!$B$9*(1-COS(PI()*(($A171-Simulador!$E$7)/Simulador!$G$7)/Simulador!$B$11))/2,IF((($A171-Simulador!$E$7)/Simulador!$G$7)&gt;1-Simulador!$B$11,Simulador!$B$9*(1-COS(PI()*(1-(($A171-Simulador!$E$7)/Simulador!$G$7))/Simulador!$B$11))/2,Simulador!$B$9)))</f>
        <v>5.5510154536791614</v>
      </c>
      <c r="E171" s="18">
        <f>IF(OR((($A171-Simulador!$E$8)/Simulador!$G$8)&lt;=0,(($A171-Simulador!$E$8)/Simulador!$G$8)&gt;=1),0,IF((($A171-Simulador!$E$8)/Simulador!$G$8)&lt;Simulador!$B$11,Simulador!$B$10*(1-COS(PI()*(($A171-Simulador!$E$8)/Simulador!$G$8)/Simulador!$B$11))/2,IF((($A171-Simulador!$E$8)/Simulador!$G$8)&gt;1-Simulador!$B$11,Simulador!$B$10*(1-COS(PI()*(1-(($A171-Simulador!$E$8)/Simulador!$G$8))/Simulador!$B$11))/2,Simulador!$B$10)))</f>
        <v>0.31745672298551403</v>
      </c>
      <c r="F171" s="18">
        <f>IF(OR((($A171-Simulador!$E$9)/Simulador!$G$9)&lt;=0,(($A171-Simulador!$E$9)/Simulador!$G$9)&gt;=1),0,IF((($A171-Simulador!$E$9)/Simulador!$G$9)&lt;Simulador!$B$11,Simulador!$B$10*(1-COS(PI()*(($A171-Simulador!$E$9)/Simulador!$G$9)/Simulador!$B$11))/2,IF((($A171-Simulador!$E$9)/Simulador!$G$9)&gt;1-Simulador!$B$11,Simulador!$B$10*(1-COS(PI()*(1-(($A171-Simulador!$E$9)/Simulador!$G$9))/Simulador!$B$11))/2,Simulador!$B$10)))</f>
        <v>0</v>
      </c>
      <c r="G171" s="18">
        <f>IF(OR((($A171-Simulador!$E$10)/Simulador!$G$10)&lt;=0,(($A171-Simulador!$E$10)/Simulador!$G$10)&gt;=1),0,IF((($A171-Simulador!$E$10)/Simulador!$G$10)&lt;Simulador!$B$11,Simulador!$B$10*(1-COS(PI()*(($A171-Simulador!$E$10)/Simulador!$G$10)/Simulador!$B$11))/2,IF((($A171-Simulador!$E$10)/Simulador!$G$10)&gt;1-Simulador!$B$11,Simulador!$B$10*(1-COS(PI()*(1-(($A171-Simulador!$E$10)/Simulador!$G$10))/Simulador!$B$11))/2,Simulador!$B$10)))</f>
        <v>0</v>
      </c>
    </row>
    <row r="172" spans="1:7" x14ac:dyDescent="0.25">
      <c r="A172" s="17">
        <f>A171+Simulador!$B$14</f>
        <v>340</v>
      </c>
      <c r="B172" s="18">
        <f>IF(OR((($A172-Simulador!$E$5)/Simulador!$G$5)&lt;=0,(($A172-Simulador!$E$5)/Simulador!$G$5)&gt;=1),0,IF((($A172-Simulador!$E$5)/Simulador!$G$5)&lt;Simulador!$B$11,Simulador!$B$9*(1-COS(PI()*(($A172-Simulador!$E$5)/Simulador!$G$5)/Simulador!$B$11))/2,IF((($A172-Simulador!$E$5)/Simulador!$G$5)&gt;1-Simulador!$B$11,Simulador!$B$9*(1-COS(PI()*(1-(($A172-Simulador!$E$5)/Simulador!$G$5))/Simulador!$B$11))/2,Simulador!$B$9)))</f>
        <v>1.3177267363452128</v>
      </c>
      <c r="C172" s="18">
        <f>IF(OR((($A172-Simulador!$E$6)/Simulador!$G$6)&lt;=0,(($A172-Simulador!$E$6)/Simulador!$G$6)&gt;=1),0,IF((($A172-Simulador!$E$6)/Simulador!$G$6)&lt;Simulador!$B$11,Simulador!$B$9*(1-COS(PI()*(($A172-Simulador!$E$6)/Simulador!$G$6)/Simulador!$B$11))/2,IF((($A172-Simulador!$E$6)/Simulador!$G$6)&gt;1-Simulador!$B$11,Simulador!$B$9*(1-COS(PI()*(1-(($A172-Simulador!$E$6)/Simulador!$G$6))/Simulador!$B$11))/2,Simulador!$B$9)))</f>
        <v>3.1231332914759071</v>
      </c>
      <c r="D172" s="18">
        <f>IF(OR((($A172-Simulador!$E$7)/Simulador!$G$7)&lt;=0,(($A172-Simulador!$E$7)/Simulador!$G$7)&gt;=1),0,IF((($A172-Simulador!$E$7)/Simulador!$G$7)&lt;Simulador!$B$11,Simulador!$B$9*(1-COS(PI()*(($A172-Simulador!$E$7)/Simulador!$G$7)/Simulador!$B$11))/2,IF((($A172-Simulador!$E$7)/Simulador!$G$7)&gt;1-Simulador!$B$11,Simulador!$B$9*(1-COS(PI()*(1-(($A172-Simulador!$E$7)/Simulador!$G$7))/Simulador!$B$11))/2,Simulador!$B$9)))</f>
        <v>5.2638139056903537</v>
      </c>
      <c r="E172" s="18">
        <f>IF(OR((($A172-Simulador!$E$8)/Simulador!$G$8)&lt;=0,(($A172-Simulador!$E$8)/Simulador!$G$8)&gt;=1),0,IF((($A172-Simulador!$E$8)/Simulador!$G$8)&lt;Simulador!$B$11,Simulador!$B$10*(1-COS(PI()*(($A172-Simulador!$E$8)/Simulador!$G$8)/Simulador!$B$11))/2,IF((($A172-Simulador!$E$8)/Simulador!$G$8)&gt;1-Simulador!$B$11,Simulador!$B$10*(1-COS(PI()*(1-(($A172-Simulador!$E$8)/Simulador!$G$8))/Simulador!$B$11))/2,Simulador!$B$10)))</f>
        <v>0.42088231141471866</v>
      </c>
      <c r="F172" s="18">
        <f>IF(OR((($A172-Simulador!$E$9)/Simulador!$G$9)&lt;=0,(($A172-Simulador!$E$9)/Simulador!$G$9)&gt;=1),0,IF((($A172-Simulador!$E$9)/Simulador!$G$9)&lt;Simulador!$B$11,Simulador!$B$10*(1-COS(PI()*(($A172-Simulador!$E$9)/Simulador!$G$9)/Simulador!$B$11))/2,IF((($A172-Simulador!$E$9)/Simulador!$G$9)&gt;1-Simulador!$B$11,Simulador!$B$10*(1-COS(PI()*(1-(($A172-Simulador!$E$9)/Simulador!$G$9))/Simulador!$B$11))/2,Simulador!$B$10)))</f>
        <v>0</v>
      </c>
      <c r="G172" s="18">
        <f>IF(OR((($A172-Simulador!$E$10)/Simulador!$G$10)&lt;=0,(($A172-Simulador!$E$10)/Simulador!$G$10)&gt;=1),0,IF((($A172-Simulador!$E$10)/Simulador!$G$10)&lt;Simulador!$B$11,Simulador!$B$10*(1-COS(PI()*(($A172-Simulador!$E$10)/Simulador!$G$10)/Simulador!$B$11))/2,IF((($A172-Simulador!$E$10)/Simulador!$G$10)&gt;1-Simulador!$B$11,Simulador!$B$10*(1-COS(PI()*(1-(($A172-Simulador!$E$10)/Simulador!$G$10))/Simulador!$B$11))/2,Simulador!$B$10)))</f>
        <v>0</v>
      </c>
    </row>
    <row r="173" spans="1:7" x14ac:dyDescent="0.25">
      <c r="A173" s="17">
        <f>A172+Simulador!$B$14</f>
        <v>342</v>
      </c>
      <c r="B173" s="18">
        <f>IF(OR((($A173-Simulador!$E$5)/Simulador!$G$5)&lt;=0,(($A173-Simulador!$E$5)/Simulador!$G$5)&gt;=1),0,IF((($A173-Simulador!$E$5)/Simulador!$G$5)&lt;Simulador!$B$11,Simulador!$B$9*(1-COS(PI()*(($A173-Simulador!$E$5)/Simulador!$G$5)/Simulador!$B$11))/2,IF((($A173-Simulador!$E$5)/Simulador!$G$5)&gt;1-Simulador!$B$11,Simulador!$B$9*(1-COS(PI()*(1-(($A173-Simulador!$E$5)/Simulador!$G$5))/Simulador!$B$11))/2,Simulador!$B$9)))</f>
        <v>1.1237479563397885</v>
      </c>
      <c r="C173" s="18">
        <f>IF(OR((($A173-Simulador!$E$6)/Simulador!$G$6)&lt;=0,(($A173-Simulador!$E$6)/Simulador!$G$6)&gt;=1),0,IF((($A173-Simulador!$E$6)/Simulador!$G$6)&lt;Simulador!$B$11,Simulador!$B$9*(1-COS(PI()*(($A173-Simulador!$E$6)/Simulador!$G$6)/Simulador!$B$11))/2,IF((($A173-Simulador!$E$6)/Simulador!$G$6)&gt;1-Simulador!$B$11,Simulador!$B$9*(1-COS(PI()*(1-(($A173-Simulador!$E$6)/Simulador!$G$6))/Simulador!$B$11))/2,Simulador!$B$9)))</f>
        <v>2.8538364354925205</v>
      </c>
      <c r="D173" s="18">
        <f>IF(OR((($A173-Simulador!$E$7)/Simulador!$G$7)&lt;=0,(($A173-Simulador!$E$7)/Simulador!$G$7)&gt;=1),0,IF((($A173-Simulador!$E$7)/Simulador!$G$7)&lt;Simulador!$B$11,Simulador!$B$9*(1-COS(PI()*(($A173-Simulador!$E$7)/Simulador!$G$7)/Simulador!$B$11))/2,IF((($A173-Simulador!$E$7)/Simulador!$G$7)&gt;1-Simulador!$B$11,Simulador!$B$9*(1-COS(PI()*(1-(($A173-Simulador!$E$7)/Simulador!$G$7))/Simulador!$B$11))/2,Simulador!$B$9)))</f>
        <v>4.9746972204697908</v>
      </c>
      <c r="E173" s="18">
        <f>IF(OR((($A173-Simulador!$E$8)/Simulador!$G$8)&lt;=0,(($A173-Simulador!$E$8)/Simulador!$G$8)&gt;=1),0,IF((($A173-Simulador!$E$8)/Simulador!$G$8)&lt;Simulador!$B$11,Simulador!$B$10*(1-COS(PI()*(($A173-Simulador!$E$8)/Simulador!$G$8)/Simulador!$B$11))/2,IF((($A173-Simulador!$E$8)/Simulador!$G$8)&gt;1-Simulador!$B$11,Simulador!$B$10*(1-COS(PI()*(1-(($A173-Simulador!$E$8)/Simulador!$G$8))/Simulador!$B$11))/2,Simulador!$B$10)))</f>
        <v>0.53801514737719858</v>
      </c>
      <c r="F173" s="18">
        <f>IF(OR((($A173-Simulador!$E$9)/Simulador!$G$9)&lt;=0,(($A173-Simulador!$E$9)/Simulador!$G$9)&gt;=1),0,IF((($A173-Simulador!$E$9)/Simulador!$G$9)&lt;Simulador!$B$11,Simulador!$B$10*(1-COS(PI()*(($A173-Simulador!$E$9)/Simulador!$G$9)/Simulador!$B$11))/2,IF((($A173-Simulador!$E$9)/Simulador!$G$9)&gt;1-Simulador!$B$11,Simulador!$B$10*(1-COS(PI()*(1-(($A173-Simulador!$E$9)/Simulador!$G$9))/Simulador!$B$11))/2,Simulador!$B$10)))</f>
        <v>7.6069484871255921E-3</v>
      </c>
      <c r="G173" s="18">
        <f>IF(OR((($A173-Simulador!$E$10)/Simulador!$G$10)&lt;=0,(($A173-Simulador!$E$10)/Simulador!$G$10)&gt;=1),0,IF((($A173-Simulador!$E$10)/Simulador!$G$10)&lt;Simulador!$B$11,Simulador!$B$10*(1-COS(PI()*(($A173-Simulador!$E$10)/Simulador!$G$10)/Simulador!$B$11))/2,IF((($A173-Simulador!$E$10)/Simulador!$G$10)&gt;1-Simulador!$B$11,Simulador!$B$10*(1-COS(PI()*(1-(($A173-Simulador!$E$10)/Simulador!$G$10))/Simulador!$B$11))/2,Simulador!$B$10)))</f>
        <v>0</v>
      </c>
    </row>
    <row r="174" spans="1:7" x14ac:dyDescent="0.25">
      <c r="A174" s="17">
        <f>A173+Simulador!$B$14</f>
        <v>344</v>
      </c>
      <c r="B174" s="18">
        <f>IF(OR((($A174-Simulador!$E$5)/Simulador!$G$5)&lt;=0,(($A174-Simulador!$E$5)/Simulador!$G$5)&gt;=1),0,IF((($A174-Simulador!$E$5)/Simulador!$G$5)&lt;Simulador!$B$11,Simulador!$B$9*(1-COS(PI()*(($A174-Simulador!$E$5)/Simulador!$G$5)/Simulador!$B$11))/2,IF((($A174-Simulador!$E$5)/Simulador!$G$5)&gt;1-Simulador!$B$11,Simulador!$B$9*(1-COS(PI()*(1-(($A174-Simulador!$E$5)/Simulador!$G$5))/Simulador!$B$11))/2,Simulador!$B$9)))</f>
        <v>0.94328529612720657</v>
      </c>
      <c r="C174" s="18">
        <f>IF(OR((($A174-Simulador!$E$6)/Simulador!$G$6)&lt;=0,(($A174-Simulador!$E$6)/Simulador!$G$6)&gt;=1),0,IF((($A174-Simulador!$E$6)/Simulador!$G$6)&lt;Simulador!$B$11,Simulador!$B$9*(1-COS(PI()*(($A174-Simulador!$E$6)/Simulador!$G$6)/Simulador!$B$11))/2,IF((($A174-Simulador!$E$6)/Simulador!$G$6)&gt;1-Simulador!$B$11,Simulador!$B$9*(1-COS(PI()*(1-(($A174-Simulador!$E$6)/Simulador!$G$6))/Simulador!$B$11))/2,Simulador!$B$9)))</f>
        <v>2.5916071450219924</v>
      </c>
      <c r="D174" s="18">
        <f>IF(OR((($A174-Simulador!$E$7)/Simulador!$G$7)&lt;=0,(($A174-Simulador!$E$7)/Simulador!$G$7)&gt;=1),0,IF((($A174-Simulador!$E$7)/Simulador!$G$7)&lt;Simulador!$B$11,Simulador!$B$9*(1-COS(PI()*(($A174-Simulador!$E$7)/Simulador!$G$7)/Simulador!$B$11))/2,IF((($A174-Simulador!$E$7)/Simulador!$G$7)&gt;1-Simulador!$B$11,Simulador!$B$9*(1-COS(PI()*(1-(($A174-Simulador!$E$7)/Simulador!$G$7))/Simulador!$B$11))/2,Simulador!$B$9)))</f>
        <v>4.6847430218848993</v>
      </c>
      <c r="E174" s="18">
        <f>IF(OR((($A174-Simulador!$E$8)/Simulador!$G$8)&lt;=0,(($A174-Simulador!$E$8)/Simulador!$G$8)&gt;=1),0,IF((($A174-Simulador!$E$8)/Simulador!$G$8)&lt;Simulador!$B$11,Simulador!$B$10*(1-COS(PI()*(($A174-Simulador!$E$8)/Simulador!$G$8)/Simulador!$B$11))/2,IF((($A174-Simulador!$E$8)/Simulador!$G$8)&gt;1-Simulador!$B$11,Simulador!$B$10*(1-COS(PI()*(1-(($A174-Simulador!$E$8)/Simulador!$G$8))/Simulador!$B$11))/2,Simulador!$B$10)))</f>
        <v>0.6684359257203335</v>
      </c>
      <c r="F174" s="18">
        <f>IF(OR((($A174-Simulador!$E$9)/Simulador!$G$9)&lt;=0,(($A174-Simulador!$E$9)/Simulador!$G$9)&gt;=1),0,IF((($A174-Simulador!$E$9)/Simulador!$G$9)&lt;Simulador!$B$11,Simulador!$B$10*(1-COS(PI()*(($A174-Simulador!$E$9)/Simulador!$G$9)/Simulador!$B$11))/2,IF((($A174-Simulador!$E$9)/Simulador!$G$9)&gt;1-Simulador!$B$11,Simulador!$B$10*(1-COS(PI()*(1-(($A174-Simulador!$E$9)/Simulador!$G$9))/Simulador!$B$11))/2,Simulador!$B$10)))</f>
        <v>3.0400563047191242E-2</v>
      </c>
      <c r="G174" s="18">
        <f>IF(OR((($A174-Simulador!$E$10)/Simulador!$G$10)&lt;=0,(($A174-Simulador!$E$10)/Simulador!$G$10)&gt;=1),0,IF((($A174-Simulador!$E$10)/Simulador!$G$10)&lt;Simulador!$B$11,Simulador!$B$10*(1-COS(PI()*(($A174-Simulador!$E$10)/Simulador!$G$10)/Simulador!$B$11))/2,IF((($A174-Simulador!$E$10)/Simulador!$G$10)&gt;1-Simulador!$B$11,Simulador!$B$10*(1-COS(PI()*(1-(($A174-Simulador!$E$10)/Simulador!$G$10))/Simulador!$B$11))/2,Simulador!$B$10)))</f>
        <v>0</v>
      </c>
    </row>
    <row r="175" spans="1:7" x14ac:dyDescent="0.25">
      <c r="A175" s="17">
        <f>A174+Simulador!$B$14</f>
        <v>346</v>
      </c>
      <c r="B175" s="18">
        <f>IF(OR((($A175-Simulador!$E$5)/Simulador!$G$5)&lt;=0,(($A175-Simulador!$E$5)/Simulador!$G$5)&gt;=1),0,IF((($A175-Simulador!$E$5)/Simulador!$G$5)&lt;Simulador!$B$11,Simulador!$B$9*(1-COS(PI()*(($A175-Simulador!$E$5)/Simulador!$G$5)/Simulador!$B$11))/2,IF((($A175-Simulador!$E$5)/Simulador!$G$5)&gt;1-Simulador!$B$11,Simulador!$B$9*(1-COS(PI()*(1-(($A175-Simulador!$E$5)/Simulador!$G$5))/Simulador!$B$11))/2,Simulador!$B$9)))</f>
        <v>0.77701139371061678</v>
      </c>
      <c r="C175" s="18">
        <f>IF(OR((($A175-Simulador!$E$6)/Simulador!$G$6)&lt;=0,(($A175-Simulador!$E$6)/Simulador!$G$6)&gt;=1),0,IF((($A175-Simulador!$E$6)/Simulador!$G$6)&lt;Simulador!$B$11,Simulador!$B$9*(1-COS(PI()*(($A175-Simulador!$E$6)/Simulador!$G$6)/Simulador!$B$11))/2,IF((($A175-Simulador!$E$6)/Simulador!$G$6)&gt;1-Simulador!$B$11,Simulador!$B$9*(1-COS(PI()*(1-(($A175-Simulador!$E$6)/Simulador!$G$6))/Simulador!$B$11))/2,Simulador!$B$9)))</f>
        <v>2.3374228266153612</v>
      </c>
      <c r="D175" s="18">
        <f>IF(OR((($A175-Simulador!$E$7)/Simulador!$G$7)&lt;=0,(($A175-Simulador!$E$7)/Simulador!$G$7)&gt;=1),0,IF((($A175-Simulador!$E$7)/Simulador!$G$7)&lt;Simulador!$B$11,Simulador!$B$9*(1-COS(PI()*(($A175-Simulador!$E$7)/Simulador!$G$7)/Simulador!$B$11))/2,IF((($A175-Simulador!$E$7)/Simulador!$G$7)&gt;1-Simulador!$B$11,Simulador!$B$9*(1-COS(PI()*(1-(($A175-Simulador!$E$7)/Simulador!$G$7))/Simulador!$B$11))/2,Simulador!$B$9)))</f>
        <v>4.3950320554644833</v>
      </c>
      <c r="E175" s="18">
        <f>IF(OR((($A175-Simulador!$E$8)/Simulador!$G$8)&lt;=0,(($A175-Simulador!$E$8)/Simulador!$G$8)&gt;=1),0,IF((($A175-Simulador!$E$8)/Simulador!$G$8)&lt;Simulador!$B$11,Simulador!$B$10*(1-COS(PI()*(($A175-Simulador!$E$8)/Simulador!$G$8)/Simulador!$B$11))/2,IF((($A175-Simulador!$E$8)/Simulador!$G$8)&gt;1-Simulador!$B$11,Simulador!$B$10*(1-COS(PI()*(1-(($A175-Simulador!$E$8)/Simulador!$G$8))/Simulador!$B$11))/2,Simulador!$B$10)))</f>
        <v>0.81167777390647378</v>
      </c>
      <c r="F175" s="18">
        <f>IF(OR((($A175-Simulador!$E$9)/Simulador!$G$9)&lt;=0,(($A175-Simulador!$E$9)/Simulador!$G$9)&gt;=1),0,IF((($A175-Simulador!$E$9)/Simulador!$G$9)&lt;Simulador!$B$11,Simulador!$B$10*(1-COS(PI()*(($A175-Simulador!$E$9)/Simulador!$G$9)/Simulador!$B$11))/2,IF((($A175-Simulador!$E$9)/Simulador!$G$9)&gt;1-Simulador!$B$11,Simulador!$B$10*(1-COS(PI()*(1-(($A175-Simulador!$E$9)/Simulador!$G$9))/Simulador!$B$11))/2,Simulador!$B$10)))</f>
        <v>6.8299248455823913E-2</v>
      </c>
      <c r="G175" s="18">
        <f>IF(OR((($A175-Simulador!$E$10)/Simulador!$G$10)&lt;=0,(($A175-Simulador!$E$10)/Simulador!$G$10)&gt;=1),0,IF((($A175-Simulador!$E$10)/Simulador!$G$10)&lt;Simulador!$B$11,Simulador!$B$10*(1-COS(PI()*(($A175-Simulador!$E$10)/Simulador!$G$10)/Simulador!$B$11))/2,IF((($A175-Simulador!$E$10)/Simulador!$G$10)&gt;1-Simulador!$B$11,Simulador!$B$10*(1-COS(PI()*(1-(($A175-Simulador!$E$10)/Simulador!$G$10))/Simulador!$B$11))/2,Simulador!$B$10)))</f>
        <v>0</v>
      </c>
    </row>
    <row r="176" spans="1:7" x14ac:dyDescent="0.25">
      <c r="A176" s="17">
        <f>A175+Simulador!$B$14</f>
        <v>348</v>
      </c>
      <c r="B176" s="18">
        <f>IF(OR((($A176-Simulador!$E$5)/Simulador!$G$5)&lt;=0,(($A176-Simulador!$E$5)/Simulador!$G$5)&gt;=1),0,IF((($A176-Simulador!$E$5)/Simulador!$G$5)&lt;Simulador!$B$11,Simulador!$B$9*(1-COS(PI()*(($A176-Simulador!$E$5)/Simulador!$G$5)/Simulador!$B$11))/2,IF((($A176-Simulador!$E$5)/Simulador!$G$5)&gt;1-Simulador!$B$11,Simulador!$B$9*(1-COS(PI()*(1-(($A176-Simulador!$E$5)/Simulador!$G$5))/Simulador!$B$11))/2,Simulador!$B$9)))</f>
        <v>0.6255460013732107</v>
      </c>
      <c r="C176" s="18">
        <f>IF(OR((($A176-Simulador!$E$6)/Simulador!$G$6)&lt;=0,(($A176-Simulador!$E$6)/Simulador!$G$6)&gt;=1),0,IF((($A176-Simulador!$E$6)/Simulador!$G$6)&lt;Simulador!$B$11,Simulador!$B$9*(1-COS(PI()*(($A176-Simulador!$E$6)/Simulador!$G$6)/Simulador!$B$11))/2,IF((($A176-Simulador!$E$6)/Simulador!$G$6)&gt;1-Simulador!$B$11,Simulador!$B$9*(1-COS(PI()*(1-(($A176-Simulador!$E$6)/Simulador!$G$6))/Simulador!$B$11))/2,Simulador!$B$9)))</f>
        <v>2.092230900820256</v>
      </c>
      <c r="D176" s="18">
        <f>IF(OR((($A176-Simulador!$E$7)/Simulador!$G$7)&lt;=0,(($A176-Simulador!$E$7)/Simulador!$G$7)&gt;=1),0,IF((($A176-Simulador!$E$7)/Simulador!$G$7)&lt;Simulador!$B$11,Simulador!$B$9*(1-COS(PI()*(($A176-Simulador!$E$7)/Simulador!$G$7)/Simulador!$B$11))/2,IF((($A176-Simulador!$E$7)/Simulador!$G$7)&gt;1-Simulador!$B$11,Simulador!$B$9*(1-COS(PI()*(1-(($A176-Simulador!$E$7)/Simulador!$G$7))/Simulador!$B$11))/2,Simulador!$B$9)))</f>
        <v>4.1066441601387416</v>
      </c>
      <c r="E176" s="18">
        <f>IF(OR((($A176-Simulador!$E$8)/Simulador!$G$8)&lt;=0,(($A176-Simulador!$E$8)/Simulador!$G$8)&gt;=1),0,IF((($A176-Simulador!$E$8)/Simulador!$G$8)&lt;Simulador!$B$11,Simulador!$B$10*(1-COS(PI()*(($A176-Simulador!$E$8)/Simulador!$G$8)/Simulador!$B$11))/2,IF((($A176-Simulador!$E$8)/Simulador!$G$8)&gt;1-Simulador!$B$11,Simulador!$B$10*(1-COS(PI()*(1-(($A176-Simulador!$E$8)/Simulador!$G$8))/Simulador!$B$11))/2,Simulador!$B$10)))</f>
        <v>0.96722792329545204</v>
      </c>
      <c r="F176" s="18">
        <f>IF(OR((($A176-Simulador!$E$9)/Simulador!$G$9)&lt;=0,(($A176-Simulador!$E$9)/Simulador!$G$9)&gt;=1),0,IF((($A176-Simulador!$E$9)/Simulador!$G$9)&lt;Simulador!$B$11,Simulador!$B$10*(1-COS(PI()*(($A176-Simulador!$E$9)/Simulador!$G$9)/Simulador!$B$11))/2,IF((($A176-Simulador!$E$9)/Simulador!$G$9)&gt;1-Simulador!$B$11,Simulador!$B$10*(1-COS(PI()*(1-(($A176-Simulador!$E$9)/Simulador!$G$9))/Simulador!$B$11))/2,Simulador!$B$10)))</f>
        <v>0.12116733725531356</v>
      </c>
      <c r="G176" s="18">
        <f>IF(OR((($A176-Simulador!$E$10)/Simulador!$G$10)&lt;=0,(($A176-Simulador!$E$10)/Simulador!$G$10)&gt;=1),0,IF((($A176-Simulador!$E$10)/Simulador!$G$10)&lt;Simulador!$B$11,Simulador!$B$10*(1-COS(PI()*(($A176-Simulador!$E$10)/Simulador!$G$10)/Simulador!$B$11))/2,IF((($A176-Simulador!$E$10)/Simulador!$G$10)&gt;1-Simulador!$B$11,Simulador!$B$10*(1-COS(PI()*(1-(($A176-Simulador!$E$10)/Simulador!$G$10))/Simulador!$B$11))/2,Simulador!$B$10)))</f>
        <v>0</v>
      </c>
    </row>
    <row r="177" spans="1:7" x14ac:dyDescent="0.25">
      <c r="A177" s="17">
        <f>A176+Simulador!$B$14</f>
        <v>350</v>
      </c>
      <c r="B177" s="18">
        <f>IF(OR((($A177-Simulador!$E$5)/Simulador!$G$5)&lt;=0,(($A177-Simulador!$E$5)/Simulador!$G$5)&gt;=1),0,IF((($A177-Simulador!$E$5)/Simulador!$G$5)&lt;Simulador!$B$11,Simulador!$B$9*(1-COS(PI()*(($A177-Simulador!$E$5)/Simulador!$G$5)/Simulador!$B$11))/2,IF((($A177-Simulador!$E$5)/Simulador!$G$5)&gt;1-Simulador!$B$11,Simulador!$B$9*(1-COS(PI()*(1-(($A177-Simulador!$E$5)/Simulador!$G$5))/Simulador!$B$11))/2,Simulador!$B$9)))</f>
        <v>0.48945367567714926</v>
      </c>
      <c r="C177" s="18">
        <f>IF(OR((($A177-Simulador!$E$6)/Simulador!$G$6)&lt;=0,(($A177-Simulador!$E$6)/Simulador!$G$6)&gt;=1),0,IF((($A177-Simulador!$E$6)/Simulador!$G$6)&lt;Simulador!$B$11,Simulador!$B$9*(1-COS(PI()*(($A177-Simulador!$E$6)/Simulador!$G$6)/Simulador!$B$11))/2,IF((($A177-Simulador!$E$6)/Simulador!$G$6)&gt;1-Simulador!$B$11,Simulador!$B$9*(1-COS(PI()*(1-(($A177-Simulador!$E$6)/Simulador!$G$6))/Simulador!$B$11))/2,Simulador!$B$9)))</f>
        <v>1.8569452708627592</v>
      </c>
      <c r="D177" s="18">
        <f>IF(OR((($A177-Simulador!$E$7)/Simulador!$G$7)&lt;=0,(($A177-Simulador!$E$7)/Simulador!$G$7)&gt;=1),0,IF((($A177-Simulador!$E$7)/Simulador!$G$7)&lt;Simulador!$B$11,Simulador!$B$9*(1-COS(PI()*(($A177-Simulador!$E$7)/Simulador!$G$7)/Simulador!$B$11))/2,IF((($A177-Simulador!$E$7)/Simulador!$G$7)&gt;1-Simulador!$B$11,Simulador!$B$9*(1-COS(PI()*(1-(($A177-Simulador!$E$7)/Simulador!$G$7))/Simulador!$B$11))/2,Simulador!$B$9)))</f>
        <v>3.820654243358423</v>
      </c>
      <c r="E177" s="18">
        <f>IF(OR((($A177-Simulador!$E$8)/Simulador!$G$8)&lt;=0,(($A177-Simulador!$E$8)/Simulador!$G$8)&gt;=1),0,IF((($A177-Simulador!$E$8)/Simulador!$G$8)&lt;Simulador!$B$11,Simulador!$B$10*(1-COS(PI()*(($A177-Simulador!$E$8)/Simulador!$G$8)/Simulador!$B$11))/2,IF((($A177-Simulador!$E$8)/Simulador!$G$8)&gt;1-Simulador!$B$11,Simulador!$B$10*(1-COS(PI()*(1-(($A177-Simulador!$E$8)/Simulador!$G$8))/Simulador!$B$11))/2,Simulador!$B$10)))</f>
        <v>1.134529544723238</v>
      </c>
      <c r="F177" s="18">
        <f>IF(OR((($A177-Simulador!$E$9)/Simulador!$G$9)&lt;=0,(($A177-Simulador!$E$9)/Simulador!$G$9)&gt;=1),0,IF((($A177-Simulador!$E$9)/Simulador!$G$9)&lt;Simulador!$B$11,Simulador!$B$10*(1-COS(PI()*(($A177-Simulador!$E$9)/Simulador!$G$9)/Simulador!$B$11))/2,IF((($A177-Simulador!$E$9)/Simulador!$G$9)&gt;1-Simulador!$B$11,Simulador!$B$10*(1-COS(PI()*(1-(($A177-Simulador!$E$9)/Simulador!$G$9))/Simulador!$B$11))/2,Simulador!$B$10)))</f>
        <v>0.18881557540890212</v>
      </c>
      <c r="G177" s="18">
        <f>IF(OR((($A177-Simulador!$E$10)/Simulador!$G$10)&lt;=0,(($A177-Simulador!$E$10)/Simulador!$G$10)&gt;=1),0,IF((($A177-Simulador!$E$10)/Simulador!$G$10)&lt;Simulador!$B$11,Simulador!$B$10*(1-COS(PI()*(($A177-Simulador!$E$10)/Simulador!$G$10)/Simulador!$B$11))/2,IF((($A177-Simulador!$E$10)/Simulador!$G$10)&gt;1-Simulador!$B$11,Simulador!$B$10*(1-COS(PI()*(1-(($A177-Simulador!$E$10)/Simulador!$G$10))/Simulador!$B$11))/2,Simulador!$B$10)))</f>
        <v>0</v>
      </c>
    </row>
    <row r="178" spans="1:7" x14ac:dyDescent="0.25">
      <c r="A178" s="17">
        <f>A177+Simulador!$B$14</f>
        <v>352</v>
      </c>
      <c r="B178" s="18">
        <f>IF(OR((($A178-Simulador!$E$5)/Simulador!$G$5)&lt;=0,(($A178-Simulador!$E$5)/Simulador!$G$5)&gt;=1),0,IF((($A178-Simulador!$E$5)/Simulador!$G$5)&lt;Simulador!$B$11,Simulador!$B$9*(1-COS(PI()*(($A178-Simulador!$E$5)/Simulador!$G$5)/Simulador!$B$11))/2,IF((($A178-Simulador!$E$5)/Simulador!$G$5)&gt;1-Simulador!$B$11,Simulador!$B$9*(1-COS(PI()*(1-(($A178-Simulador!$E$5)/Simulador!$G$5))/Simulador!$B$11))/2,Simulador!$B$9)))</f>
        <v>0.36924167319336521</v>
      </c>
      <c r="C178" s="18">
        <f>IF(OR((($A178-Simulador!$E$6)/Simulador!$G$6)&lt;=0,(($A178-Simulador!$E$6)/Simulador!$G$6)&gt;=1),0,IF((($A178-Simulador!$E$6)/Simulador!$G$6)&lt;Simulador!$B$11,Simulador!$B$9*(1-COS(PI()*(($A178-Simulador!$E$6)/Simulador!$G$6)/Simulador!$B$11))/2,IF((($A178-Simulador!$E$6)/Simulador!$G$6)&gt;1-Simulador!$B$11,Simulador!$B$9*(1-COS(PI()*(1-(($A178-Simulador!$E$6)/Simulador!$G$6))/Simulador!$B$11))/2,Simulador!$B$9)))</f>
        <v>1.6324429162582894</v>
      </c>
      <c r="D178" s="18">
        <f>IF(OR((($A178-Simulador!$E$7)/Simulador!$G$7)&lt;=0,(($A178-Simulador!$E$7)/Simulador!$G$7)&gt;=1),0,IF((($A178-Simulador!$E$7)/Simulador!$G$7)&lt;Simulador!$B$11,Simulador!$B$9*(1-COS(PI()*(($A178-Simulador!$E$7)/Simulador!$G$7)/Simulador!$B$11))/2,IF((($A178-Simulador!$E$7)/Simulador!$G$7)&gt;1-Simulador!$B$11,Simulador!$B$9*(1-COS(PI()*(1-(($A178-Simulador!$E$7)/Simulador!$G$7))/Simulador!$B$11))/2,Simulador!$B$9)))</f>
        <v>3.5381282745950924</v>
      </c>
      <c r="E178" s="18">
        <f>IF(OR((($A178-Simulador!$E$8)/Simulador!$G$8)&lt;=0,(($A178-Simulador!$E$8)/Simulador!$G$8)&gt;=1),0,IF((($A178-Simulador!$E$8)/Simulador!$G$8)&lt;Simulador!$B$11,Simulador!$B$10*(1-COS(PI()*(($A178-Simulador!$E$8)/Simulador!$G$8)/Simulador!$B$11))/2,IF((($A178-Simulador!$E$8)/Simulador!$G$8)&gt;1-Simulador!$B$11,Simulador!$B$10*(1-COS(PI()*(1-(($A178-Simulador!$E$8)/Simulador!$G$8))/Simulador!$B$11))/2,Simulador!$B$10)))</f>
        <v>1.3129837418058252</v>
      </c>
      <c r="F178" s="18">
        <f>IF(OR((($A178-Simulador!$E$9)/Simulador!$G$9)&lt;=0,(($A178-Simulador!$E$9)/Simulador!$G$9)&gt;=1),0,IF((($A178-Simulador!$E$9)/Simulador!$G$9)&lt;Simulador!$B$11,Simulador!$B$10*(1-COS(PI()*(($A178-Simulador!$E$9)/Simulador!$G$9)/Simulador!$B$11))/2,IF((($A178-Simulador!$E$9)/Simulador!$G$9)&gt;1-Simulador!$B$11,Simulador!$B$10*(1-COS(PI()*(1-(($A178-Simulador!$E$9)/Simulador!$G$9))/Simulador!$B$11))/2,Simulador!$B$10)))</f>
        <v>0.27100179978111688</v>
      </c>
      <c r="G178" s="18">
        <f>IF(OR((($A178-Simulador!$E$10)/Simulador!$G$10)&lt;=0,(($A178-Simulador!$E$10)/Simulador!$G$10)&gt;=1),0,IF((($A178-Simulador!$E$10)/Simulador!$G$10)&lt;Simulador!$B$11,Simulador!$B$10*(1-COS(PI()*(($A178-Simulador!$E$10)/Simulador!$G$10)/Simulador!$B$11))/2,IF((($A178-Simulador!$E$10)/Simulador!$G$10)&gt;1-Simulador!$B$11,Simulador!$B$10*(1-COS(PI()*(1-(($A178-Simulador!$E$10)/Simulador!$G$10))/Simulador!$B$11))/2,Simulador!$B$10)))</f>
        <v>0</v>
      </c>
    </row>
    <row r="179" spans="1:7" x14ac:dyDescent="0.25">
      <c r="A179" s="17">
        <f>A178+Simulador!$B$14</f>
        <v>354</v>
      </c>
      <c r="B179" s="18">
        <f>IF(OR((($A179-Simulador!$E$5)/Simulador!$G$5)&lt;=0,(($A179-Simulador!$E$5)/Simulador!$G$5)&gt;=1),0,IF((($A179-Simulador!$E$5)/Simulador!$G$5)&lt;Simulador!$B$11,Simulador!$B$9*(1-COS(PI()*(($A179-Simulador!$E$5)/Simulador!$G$5)/Simulador!$B$11))/2,IF((($A179-Simulador!$E$5)/Simulador!$G$5)&gt;1-Simulador!$B$11,Simulador!$B$9*(1-COS(PI()*(1-(($A179-Simulador!$E$5)/Simulador!$G$5))/Simulador!$B$11))/2,Simulador!$B$9)))</f>
        <v>0.26535805980546001</v>
      </c>
      <c r="C179" s="18">
        <f>IF(OR((($A179-Simulador!$E$6)/Simulador!$G$6)&lt;=0,(($A179-Simulador!$E$6)/Simulador!$G$6)&gt;=1),0,IF((($A179-Simulador!$E$6)/Simulador!$G$6)&lt;Simulador!$B$11,Simulador!$B$9*(1-COS(PI()*(($A179-Simulador!$E$6)/Simulador!$G$6)/Simulador!$B$11))/2,IF((($A179-Simulador!$E$6)/Simulador!$G$6)&gt;1-Simulador!$B$11,Simulador!$B$9*(1-COS(PI()*(1-(($A179-Simulador!$E$6)/Simulador!$G$6))/Simulador!$B$11))/2,Simulador!$B$9)))</f>
        <v>1.4195606240481433</v>
      </c>
      <c r="D179" s="18">
        <f>IF(OR((($A179-Simulador!$E$7)/Simulador!$G$7)&lt;=0,(($A179-Simulador!$E$7)/Simulador!$G$7)&gt;=1),0,IF((($A179-Simulador!$E$7)/Simulador!$G$7)&lt;Simulador!$B$11,Simulador!$B$9*(1-COS(PI()*(($A179-Simulador!$E$7)/Simulador!$G$7)/Simulador!$B$11))/2,IF((($A179-Simulador!$E$7)/Simulador!$G$7)&gt;1-Simulador!$B$11,Simulador!$B$9*(1-COS(PI()*(1-(($A179-Simulador!$E$7)/Simulador!$G$7))/Simulador!$B$11))/2,Simulador!$B$9)))</f>
        <v>3.260119312155898</v>
      </c>
      <c r="E179" s="18">
        <f>IF(OR((($A179-Simulador!$E$8)/Simulador!$G$8)&lt;=0,(($A179-Simulador!$E$8)/Simulador!$G$8)&gt;=1),0,IF((($A179-Simulador!$E$8)/Simulador!$G$8)&lt;Simulador!$B$11,Simulador!$B$10*(1-COS(PI()*(($A179-Simulador!$E$8)/Simulador!$G$8)/Simulador!$B$11))/2,IF((($A179-Simulador!$E$8)/Simulador!$G$8)&gt;1-Simulador!$B$11,Simulador!$B$10*(1-COS(PI()*(1-(($A179-Simulador!$E$8)/Simulador!$G$8))/Simulador!$B$11))/2,Simulador!$B$10)))</f>
        <v>1.5019516948328515</v>
      </c>
      <c r="F179" s="18">
        <f>IF(OR((($A179-Simulador!$E$9)/Simulador!$G$9)&lt;=0,(($A179-Simulador!$E$9)/Simulador!$G$9)&gt;=1),0,IF((($A179-Simulador!$E$9)/Simulador!$G$9)&lt;Simulador!$B$11,Simulador!$B$10*(1-COS(PI()*(($A179-Simulador!$E$9)/Simulador!$G$9)/Simulador!$B$11))/2,IF((($A179-Simulador!$E$9)/Simulador!$G$9)&gt;1-Simulador!$B$11,Simulador!$B$10*(1-COS(PI()*(1-(($A179-Simulador!$E$9)/Simulador!$G$9))/Simulador!$B$11))/2,Simulador!$B$10)))</f>
        <v>0.36743180501894634</v>
      </c>
      <c r="G179" s="18">
        <f>IF(OR((($A179-Simulador!$E$10)/Simulador!$G$10)&lt;=0,(($A179-Simulador!$E$10)/Simulador!$G$10)&gt;=1),0,IF((($A179-Simulador!$E$10)/Simulador!$G$10)&lt;Simulador!$B$11,Simulador!$B$10*(1-COS(PI()*(($A179-Simulador!$E$10)/Simulador!$G$10)/Simulador!$B$11))/2,IF((($A179-Simulador!$E$10)/Simulador!$G$10)&gt;1-Simulador!$B$11,Simulador!$B$10*(1-COS(PI()*(1-(($A179-Simulador!$E$10)/Simulador!$G$10))/Simulador!$B$11))/2,Simulador!$B$10)))</f>
        <v>0</v>
      </c>
    </row>
    <row r="180" spans="1:7" x14ac:dyDescent="0.25">
      <c r="A180" s="17">
        <f>A179+Simulador!$B$14</f>
        <v>356</v>
      </c>
      <c r="B180" s="18">
        <f>IF(OR((($A180-Simulador!$E$5)/Simulador!$G$5)&lt;=0,(($A180-Simulador!$E$5)/Simulador!$G$5)&gt;=1),0,IF((($A180-Simulador!$E$5)/Simulador!$G$5)&lt;Simulador!$B$11,Simulador!$B$9*(1-COS(PI()*(($A180-Simulador!$E$5)/Simulador!$G$5)/Simulador!$B$11))/2,IF((($A180-Simulador!$E$5)/Simulador!$G$5)&gt;1-Simulador!$B$11,Simulador!$B$9*(1-COS(PI()*(1-(($A180-Simulador!$E$5)/Simulador!$G$5))/Simulador!$B$11))/2,Simulador!$B$9)))</f>
        <v>0.17819004063490779</v>
      </c>
      <c r="C180" s="18">
        <f>IF(OR((($A180-Simulador!$E$6)/Simulador!$G$6)&lt;=0,(($A180-Simulador!$E$6)/Simulador!$G$6)&gt;=1),0,IF((($A180-Simulador!$E$6)/Simulador!$G$6)&lt;Simulador!$B$11,Simulador!$B$9*(1-COS(PI()*(($A180-Simulador!$E$6)/Simulador!$G$6)/Simulador!$B$11))/2,IF((($A180-Simulador!$E$6)/Simulador!$G$6)&gt;1-Simulador!$B$11,Simulador!$B$9*(1-COS(PI()*(1-(($A180-Simulador!$E$6)/Simulador!$G$6))/Simulador!$B$11))/2,Simulador!$B$9)))</f>
        <v>1.2190918698453335</v>
      </c>
      <c r="D180" s="18">
        <f>IF(OR((($A180-Simulador!$E$7)/Simulador!$G$7)&lt;=0,(($A180-Simulador!$E$7)/Simulador!$G$7)&gt;=1),0,IF((($A180-Simulador!$E$7)/Simulador!$G$7)&lt;Simulador!$B$11,Simulador!$B$9*(1-COS(PI()*(($A180-Simulador!$E$7)/Simulador!$G$7)/Simulador!$B$11))/2,IF((($A180-Simulador!$E$7)/Simulador!$G$7)&gt;1-Simulador!$B$11,Simulador!$B$9*(1-COS(PI()*(1-(($A180-Simulador!$E$7)/Simulador!$G$7))/Simulador!$B$11))/2,Simulador!$B$9)))</f>
        <v>2.9876635781220915</v>
      </c>
      <c r="E180" s="18">
        <f>IF(OR((($A180-Simulador!$E$8)/Simulador!$G$8)&lt;=0,(($A180-Simulador!$E$8)/Simulador!$G$8)&gt;=1),0,IF((($A180-Simulador!$E$8)/Simulador!$G$8)&lt;Simulador!$B$11,Simulador!$B$10*(1-COS(PI()*(($A180-Simulador!$E$8)/Simulador!$G$8)/Simulador!$B$11))/2,IF((($A180-Simulador!$E$8)/Simulador!$G$8)&gt;1-Simulador!$B$11,Simulador!$B$10*(1-COS(PI()*(1-(($A180-Simulador!$E$8)/Simulador!$G$8))/Simulador!$B$11))/2,Simulador!$B$10)))</f>
        <v>1.7007569475763664</v>
      </c>
      <c r="F180" s="18">
        <f>IF(OR((($A180-Simulador!$E$9)/Simulador!$G$9)&lt;=0,(($A180-Simulador!$E$9)/Simulador!$G$9)&gt;=1),0,IF((($A180-Simulador!$E$9)/Simulador!$G$9)&lt;Simulador!$B$11,Simulador!$B$10*(1-COS(PI()*(($A180-Simulador!$E$9)/Simulador!$G$9)/Simulador!$B$11))/2,IF((($A180-Simulador!$E$9)/Simulador!$G$9)&gt;1-Simulador!$B$11,Simulador!$B$10*(1-COS(PI()*(1-(($A180-Simulador!$E$9)/Simulador!$G$9))/Simulador!$B$11))/2,Simulador!$B$10)))</f>
        <v>0.47776039673064508</v>
      </c>
      <c r="G180" s="18">
        <f>IF(OR((($A180-Simulador!$E$10)/Simulador!$G$10)&lt;=0,(($A180-Simulador!$E$10)/Simulador!$G$10)&gt;=1),0,IF((($A180-Simulador!$E$10)/Simulador!$G$10)&lt;Simulador!$B$11,Simulador!$B$10*(1-COS(PI()*(($A180-Simulador!$E$10)/Simulador!$G$10)/Simulador!$B$11))/2,IF((($A180-Simulador!$E$10)/Simulador!$G$10)&gt;1-Simulador!$B$11,Simulador!$B$10*(1-COS(PI()*(1-(($A180-Simulador!$E$10)/Simulador!$G$10))/Simulador!$B$11))/2,Simulador!$B$10)))</f>
        <v>1.9021627951108788E-3</v>
      </c>
    </row>
    <row r="181" spans="1:7" x14ac:dyDescent="0.25">
      <c r="A181" s="17">
        <f>A180+Simulador!$B$14</f>
        <v>358</v>
      </c>
      <c r="B181" s="18">
        <f>IF(OR((($A181-Simulador!$E$5)/Simulador!$G$5)&lt;=0,(($A181-Simulador!$E$5)/Simulador!$G$5)&gt;=1),0,IF((($A181-Simulador!$E$5)/Simulador!$G$5)&lt;Simulador!$B$11,Simulador!$B$9*(1-COS(PI()*(($A181-Simulador!$E$5)/Simulador!$G$5)/Simulador!$B$11))/2,IF((($A181-Simulador!$E$5)/Simulador!$G$5)&gt;1-Simulador!$B$11,Simulador!$B$9*(1-COS(PI()*(1-(($A181-Simulador!$E$5)/Simulador!$G$5))/Simulador!$B$11))/2,Simulador!$B$9)))</f>
        <v>0.10806251681241599</v>
      </c>
      <c r="C181" s="18">
        <f>IF(OR((($A181-Simulador!$E$6)/Simulador!$G$6)&lt;=0,(($A181-Simulador!$E$6)/Simulador!$G$6)&gt;=1),0,IF((($A181-Simulador!$E$6)/Simulador!$G$6)&lt;Simulador!$B$11,Simulador!$B$9*(1-COS(PI()*(($A181-Simulador!$E$6)/Simulador!$G$6)/Simulador!$B$11))/2,IF((($A181-Simulador!$E$6)/Simulador!$G$6)&gt;1-Simulador!$B$11,Simulador!$B$9*(1-COS(PI()*(1-(($A181-Simulador!$E$6)/Simulador!$G$6))/Simulador!$B$11))/2,Simulador!$B$9)))</f>
        <v>1.0317838603150107</v>
      </c>
      <c r="D181" s="18">
        <f>IF(OR((($A181-Simulador!$E$7)/Simulador!$G$7)&lt;=0,(($A181-Simulador!$E$7)/Simulador!$G$7)&gt;=1),0,IF((($A181-Simulador!$E$7)/Simulador!$G$7)&lt;Simulador!$B$11,Simulador!$B$9*(1-COS(PI()*(($A181-Simulador!$E$7)/Simulador!$G$7)/Simulador!$B$11))/2,IF((($A181-Simulador!$E$7)/Simulador!$G$7)&gt;1-Simulador!$B$11,Simulador!$B$9*(1-COS(PI()*(1-(($A181-Simulador!$E$7)/Simulador!$G$7))/Simulador!$B$11))/2,Simulador!$B$9)))</f>
        <v>2.7217765960411531</v>
      </c>
      <c r="E181" s="18">
        <f>IF(OR((($A181-Simulador!$E$8)/Simulador!$G$8)&lt;=0,(($A181-Simulador!$E$8)/Simulador!$G$8)&gt;=1),0,IF((($A181-Simulador!$E$8)/Simulador!$G$8)&lt;Simulador!$B$11,Simulador!$B$10*(1-COS(PI()*(($A181-Simulador!$E$8)/Simulador!$G$8)/Simulador!$B$11))/2,IF((($A181-Simulador!$E$8)/Simulador!$G$8)&gt;1-Simulador!$B$11,Simulador!$B$10*(1-COS(PI()*(1-(($A181-Simulador!$E$8)/Simulador!$G$8))/Simulador!$B$11))/2,Simulador!$B$10)))</f>
        <v>1.9086878288285647</v>
      </c>
      <c r="F181" s="18">
        <f>IF(OR((($A181-Simulador!$E$9)/Simulador!$G$9)&lt;=0,(($A181-Simulador!$E$9)/Simulador!$G$9)&gt;=1),0,IF((($A181-Simulador!$E$9)/Simulador!$G$9)&lt;Simulador!$B$11,Simulador!$B$10*(1-COS(PI()*(($A181-Simulador!$E$9)/Simulador!$G$9)/Simulador!$B$11))/2,IF((($A181-Simulador!$E$9)/Simulador!$G$9)&gt;1-Simulador!$B$11,Simulador!$B$10*(1-COS(PI()*(1-(($A181-Simulador!$E$9)/Simulador!$G$9))/Simulador!$B$11))/2,Simulador!$B$10)))</f>
        <v>0.60159262719206907</v>
      </c>
      <c r="G181" s="18">
        <f>IF(OR((($A181-Simulador!$E$10)/Simulador!$G$10)&lt;=0,(($A181-Simulador!$E$10)/Simulador!$G$10)&gt;=1),0,IF((($A181-Simulador!$E$10)/Simulador!$G$10)&lt;Simulador!$B$11,Simulador!$B$10*(1-COS(PI()*(($A181-Simulador!$E$10)/Simulador!$G$10)/Simulador!$B$11))/2,IF((($A181-Simulador!$E$10)/Simulador!$G$10)&gt;1-Simulador!$B$11,Simulador!$B$10*(1-COS(PI()*(1-(($A181-Simulador!$E$10)/Simulador!$G$10))/Simulador!$B$11))/2,Simulador!$B$10)))</f>
        <v>1.710925052023396E-2</v>
      </c>
    </row>
    <row r="182" spans="1:7" x14ac:dyDescent="0.25">
      <c r="A182" s="17">
        <f>A181+Simulador!$B$14</f>
        <v>360</v>
      </c>
      <c r="B182" s="18">
        <f>IF(OR((($A182-Simulador!$E$5)/Simulador!$G$5)&lt;=0,(($A182-Simulador!$E$5)/Simulador!$G$5)&gt;=1),0,IF((($A182-Simulador!$E$5)/Simulador!$G$5)&lt;Simulador!$B$11,Simulador!$B$9*(1-COS(PI()*(($A182-Simulador!$E$5)/Simulador!$G$5)/Simulador!$B$11))/2,IF((($A182-Simulador!$E$5)/Simulador!$G$5)&gt;1-Simulador!$B$11,Simulador!$B$9*(1-COS(PI()*(1-(($A182-Simulador!$E$5)/Simulador!$G$5))/Simulador!$B$11))/2,Simulador!$B$9)))</f>
        <v>5.5236874474785841E-2</v>
      </c>
      <c r="C182" s="18">
        <f>IF(OR((($A182-Simulador!$E$6)/Simulador!$G$6)&lt;=0,(($A182-Simulador!$E$6)/Simulador!$G$6)&gt;=1),0,IF((($A182-Simulador!$E$6)/Simulador!$G$6)&lt;Simulador!$B$11,Simulador!$B$9*(1-COS(PI()*(($A182-Simulador!$E$6)/Simulador!$G$6)/Simulador!$B$11))/2,IF((($A182-Simulador!$E$6)/Simulador!$G$6)&gt;1-Simulador!$B$11,Simulador!$B$9*(1-COS(PI()*(1-(($A182-Simulador!$E$6)/Simulador!$G$6))/Simulador!$B$11))/2,Simulador!$B$9)))</f>
        <v>0.85833474811299837</v>
      </c>
      <c r="D182" s="18">
        <f>IF(OR((($A182-Simulador!$E$7)/Simulador!$G$7)&lt;=0,(($A182-Simulador!$E$7)/Simulador!$G$7)&gt;=1),0,IF((($A182-Simulador!$E$7)/Simulador!$G$7)&lt;Simulador!$B$11,Simulador!$B$9*(1-COS(PI()*(($A182-Simulador!$E$7)/Simulador!$G$7)/Simulador!$B$11))/2,IF((($A182-Simulador!$E$7)/Simulador!$G$7)&gt;1-Simulador!$B$11,Simulador!$B$9*(1-COS(PI()*(1-(($A182-Simulador!$E$7)/Simulador!$G$7))/Simulador!$B$11))/2,Simulador!$B$9)))</f>
        <v>2.4634494057685323</v>
      </c>
      <c r="E182" s="18">
        <f>IF(OR((($A182-Simulador!$E$8)/Simulador!$G$8)&lt;=0,(($A182-Simulador!$E$8)/Simulador!$G$8)&gt;=1),0,IF((($A182-Simulador!$E$8)/Simulador!$G$8)&lt;Simulador!$B$11,Simulador!$B$10*(1-COS(PI()*(($A182-Simulador!$E$8)/Simulador!$G$8)/Simulador!$B$11))/2,IF((($A182-Simulador!$E$8)/Simulador!$G$8)&gt;1-Simulador!$B$11,Simulador!$B$10*(1-COS(PI()*(1-(($A182-Simulador!$E$8)/Simulador!$G$8))/Simulador!$B$11))/2,Simulador!$B$10)))</f>
        <v>2.1250000000000004</v>
      </c>
      <c r="F182" s="18">
        <f>IF(OR((($A182-Simulador!$E$9)/Simulador!$G$9)&lt;=0,(($A182-Simulador!$E$9)/Simulador!$G$9)&gt;=1),0,IF((($A182-Simulador!$E$9)/Simulador!$G$9)&lt;Simulador!$B$11,Simulador!$B$10*(1-COS(PI()*(($A182-Simulador!$E$9)/Simulador!$G$9)/Simulador!$B$11))/2,IF((($A182-Simulador!$E$9)/Simulador!$G$9)&gt;1-Simulador!$B$11,Simulador!$B$10*(1-COS(PI()*(1-(($A182-Simulador!$E$9)/Simulador!$G$9))/Simulador!$B$11))/2,Simulador!$B$10)))</f>
        <v>0.73848520915702165</v>
      </c>
      <c r="G182" s="18">
        <f>IF(OR((($A182-Simulador!$E$10)/Simulador!$G$10)&lt;=0,(($A182-Simulador!$E$10)/Simulador!$G$10)&gt;=1),0,IF((($A182-Simulador!$E$10)/Simulador!$G$10)&lt;Simulador!$B$11,Simulador!$B$10*(1-COS(PI()*(($A182-Simulador!$E$10)/Simulador!$G$10)/Simulador!$B$11))/2,IF((($A182-Simulador!$E$10)/Simulador!$G$10)&gt;1-Simulador!$B$11,Simulador!$B$10*(1-COS(PI()*(1-(($A182-Simulador!$E$10)/Simulador!$G$10))/Simulador!$B$11))/2,Simulador!$B$10)))</f>
        <v>4.7468988543203777E-2</v>
      </c>
    </row>
    <row r="183" spans="1:7" x14ac:dyDescent="0.25">
      <c r="A183" s="17">
        <f>A182+Simulador!$B$14</f>
        <v>362</v>
      </c>
      <c r="B183" s="18">
        <f>IF(OR((($A183-Simulador!$E$5)/Simulador!$G$5)&lt;=0,(($A183-Simulador!$E$5)/Simulador!$G$5)&gt;=1),0,IF((($A183-Simulador!$E$5)/Simulador!$G$5)&lt;Simulador!$B$11,Simulador!$B$9*(1-COS(PI()*(($A183-Simulador!$E$5)/Simulador!$G$5)/Simulador!$B$11))/2,IF((($A183-Simulador!$E$5)/Simulador!$G$5)&gt;1-Simulador!$B$11,Simulador!$B$9*(1-COS(PI()*(1-(($A183-Simulador!$E$5)/Simulador!$G$5))/Simulador!$B$11))/2,Simulador!$B$9)))</f>
        <v>1.9910010501046349E-2</v>
      </c>
      <c r="C183" s="18">
        <f>IF(OR((($A183-Simulador!$E$6)/Simulador!$G$6)&lt;=0,(($A183-Simulador!$E$6)/Simulador!$G$6)&gt;=1),0,IF((($A183-Simulador!$E$6)/Simulador!$G$6)&lt;Simulador!$B$11,Simulador!$B$9*(1-COS(PI()*(($A183-Simulador!$E$6)/Simulador!$G$6)/Simulador!$B$11))/2,IF((($A183-Simulador!$E$6)/Simulador!$G$6)&gt;1-Simulador!$B$11,Simulador!$B$9*(1-COS(PI()*(1-(($A183-Simulador!$E$6)/Simulador!$G$6))/Simulador!$B$11))/2,Simulador!$B$9)))</f>
        <v>0.69939102966322286</v>
      </c>
      <c r="D183" s="18">
        <f>IF(OR((($A183-Simulador!$E$7)/Simulador!$G$7)&lt;=0,(($A183-Simulador!$E$7)/Simulador!$G$7)&gt;=1),0,IF((($A183-Simulador!$E$7)/Simulador!$G$7)&lt;Simulador!$B$11,Simulador!$B$9*(1-COS(PI()*(($A183-Simulador!$E$7)/Simulador!$G$7)/Simulador!$B$11))/2,IF((($A183-Simulador!$E$7)/Simulador!$G$7)&gt;1-Simulador!$B$11,Simulador!$B$9*(1-COS(PI()*(1-(($A183-Simulador!$E$7)/Simulador!$G$7))/Simulador!$B$11))/2,Simulador!$B$9)))</f>
        <v>2.2136448695673643</v>
      </c>
      <c r="E183" s="18">
        <f>IF(OR((($A183-Simulador!$E$8)/Simulador!$G$8)&lt;=0,(($A183-Simulador!$E$8)/Simulador!$G$8)&gt;=1),0,IF((($A183-Simulador!$E$8)/Simulador!$G$8)&lt;Simulador!$B$11,Simulador!$B$10*(1-COS(PI()*(($A183-Simulador!$E$8)/Simulador!$G$8)/Simulador!$B$11))/2,IF((($A183-Simulador!$E$8)/Simulador!$G$8)&gt;1-Simulador!$B$11,Simulador!$B$10*(1-COS(PI()*(1-(($A183-Simulador!$E$8)/Simulador!$G$8))/Simulador!$B$11))/2,Simulador!$B$10)))</f>
        <v>2.3489191196585613</v>
      </c>
      <c r="F183" s="18">
        <f>IF(OR((($A183-Simulador!$E$9)/Simulador!$G$9)&lt;=0,(($A183-Simulador!$E$9)/Simulador!$G$9)&gt;=1),0,IF((($A183-Simulador!$E$9)/Simulador!$G$9)&lt;Simulador!$B$11,Simulador!$B$10*(1-COS(PI()*(($A183-Simulador!$E$9)/Simulador!$G$9)/Simulador!$B$11))/2,IF((($A183-Simulador!$E$9)/Simulador!$G$9)&gt;1-Simulador!$B$11,Simulador!$B$10*(1-COS(PI()*(1-(($A183-Simulador!$E$9)/Simulador!$G$9))/Simulador!$B$11))/2,Simulador!$B$10)))</f>
        <v>0.88794810271054936</v>
      </c>
      <c r="G183" s="18">
        <f>IF(OR((($A183-Simulador!$E$10)/Simulador!$G$10)&lt;=0,(($A183-Simulador!$E$10)/Simulador!$G$10)&gt;=1),0,IF((($A183-Simulador!$E$10)/Simulador!$G$10)&lt;Simulador!$B$11,Simulador!$B$10*(1-COS(PI()*(($A183-Simulador!$E$10)/Simulador!$G$10)/Simulador!$B$11))/2,IF((($A183-Simulador!$E$10)/Simulador!$G$10)&gt;1-Simulador!$B$11,Simulador!$B$10*(1-COS(PI()*(1-(($A183-Simulador!$E$10)/Simulador!$G$10))/Simulador!$B$11))/2,Simulador!$B$10)))</f>
        <v>9.2872696881325822E-2</v>
      </c>
    </row>
    <row r="184" spans="1:7" x14ac:dyDescent="0.25">
      <c r="A184" s="17">
        <f>A183+Simulador!$B$14</f>
        <v>364</v>
      </c>
      <c r="B184" s="18">
        <f>IF(OR((($A184-Simulador!$E$5)/Simulador!$G$5)&lt;=0,(($A184-Simulador!$E$5)/Simulador!$G$5)&gt;=1),0,IF((($A184-Simulador!$E$5)/Simulador!$G$5)&lt;Simulador!$B$11,Simulador!$B$9*(1-COS(PI()*(($A184-Simulador!$E$5)/Simulador!$G$5)/Simulador!$B$11))/2,IF((($A184-Simulador!$E$5)/Simulador!$G$5)&gt;1-Simulador!$B$11,Simulador!$B$9*(1-COS(PI()*(1-(($A184-Simulador!$E$5)/Simulador!$G$5))/Simulador!$B$11))/2,Simulador!$B$9)))</f>
        <v>2.2135986192304002E-3</v>
      </c>
      <c r="C184" s="18">
        <f>IF(OR((($A184-Simulador!$E$6)/Simulador!$G$6)&lt;=0,(($A184-Simulador!$E$6)/Simulador!$G$6)&gt;=1),0,IF((($A184-Simulador!$E$6)/Simulador!$G$6)&lt;Simulador!$B$11,Simulador!$B$9*(1-COS(PI()*(($A184-Simulador!$E$6)/Simulador!$G$6)/Simulador!$B$11))/2,IF((($A184-Simulador!$E$6)/Simulador!$G$6)&gt;1-Simulador!$B$11,Simulador!$B$9*(1-COS(PI()*(1-(($A184-Simulador!$E$6)/Simulador!$G$6))/Simulador!$B$11))/2,Simulador!$B$9)))</f>
        <v>0.555545135473277</v>
      </c>
      <c r="D184" s="18">
        <f>IF(OR((($A184-Simulador!$E$7)/Simulador!$G$7)&lt;=0,(($A184-Simulador!$E$7)/Simulador!$G$7)&gt;=1),0,IF((($A184-Simulador!$E$7)/Simulador!$G$7)&lt;Simulador!$B$11,Simulador!$B$9*(1-COS(PI()*(($A184-Simulador!$E$7)/Simulador!$G$7)/Simulador!$B$11))/2,IF((($A184-Simulador!$E$7)/Simulador!$G$7)&gt;1-Simulador!$B$11,Simulador!$B$9*(1-COS(PI()*(1-(($A184-Simulador!$E$7)/Simulador!$G$7))/Simulador!$B$11))/2,Simulador!$B$9)))</f>
        <v>1.9732940832344832</v>
      </c>
      <c r="E184" s="18">
        <f>IF(OR((($A184-Simulador!$E$8)/Simulador!$G$8)&lt;=0,(($A184-Simulador!$E$8)/Simulador!$G$8)&gt;=1),0,IF((($A184-Simulador!$E$8)/Simulador!$G$8)&lt;Simulador!$B$11,Simulador!$B$10*(1-COS(PI()*(($A184-Simulador!$E$8)/Simulador!$G$8)/Simulador!$B$11))/2,IF((($A184-Simulador!$E$8)/Simulador!$G$8)&gt;1-Simulador!$B$11,Simulador!$B$10*(1-COS(PI()*(1-(($A184-Simulador!$E$8)/Simulador!$G$8))/Simulador!$B$11))/2,Simulador!$B$10)))</f>
        <v>2.5796436154708244</v>
      </c>
      <c r="F184" s="18">
        <f>IF(OR((($A184-Simulador!$E$9)/Simulador!$G$9)&lt;=0,(($A184-Simulador!$E$9)/Simulador!$G$9)&gt;=1),0,IF((($A184-Simulador!$E$9)/Simulador!$G$9)&lt;Simulador!$B$11,Simulador!$B$10*(1-COS(PI()*(($A184-Simulador!$E$9)/Simulador!$G$9)/Simulador!$B$11))/2,IF((($A184-Simulador!$E$9)/Simulador!$G$9)&gt;1-Simulador!$B$11,Simulador!$B$10*(1-COS(PI()*(1-(($A184-Simulador!$E$9)/Simulador!$G$9))/Simulador!$B$11))/2,Simulador!$B$10)))</f>
        <v>1.0494462694846534</v>
      </c>
      <c r="G184" s="18">
        <f>IF(OR((($A184-Simulador!$E$10)/Simulador!$G$10)&lt;=0,(($A184-Simulador!$E$10)/Simulador!$G$10)&gt;=1),0,IF((($A184-Simulador!$E$10)/Simulador!$G$10)&lt;Simulador!$B$11,Simulador!$B$10*(1-COS(PI()*(($A184-Simulador!$E$10)/Simulador!$G$10)/Simulador!$B$11))/2,IF((($A184-Simulador!$E$10)/Simulador!$G$10)&gt;1-Simulador!$B$11,Simulador!$B$10*(1-COS(PI()*(1-(($A184-Simulador!$E$10)/Simulador!$G$10))/Simulador!$B$11))/2,Simulador!$B$10)))</f>
        <v>0.15315784204262373</v>
      </c>
    </row>
    <row r="185" spans="1:7" x14ac:dyDescent="0.25">
      <c r="A185" s="17">
        <f>A184+Simulador!$B$14</f>
        <v>366</v>
      </c>
      <c r="B185" s="18">
        <f>IF(OR((($A185-Simulador!$E$5)/Simulador!$G$5)&lt;=0,(($A185-Simulador!$E$5)/Simulador!$G$5)&gt;=1),0,IF((($A185-Simulador!$E$5)/Simulador!$G$5)&lt;Simulador!$B$11,Simulador!$B$9*(1-COS(PI()*(($A185-Simulador!$E$5)/Simulador!$G$5)/Simulador!$B$11))/2,IF((($A185-Simulador!$E$5)/Simulador!$G$5)&gt;1-Simulador!$B$11,Simulador!$B$9*(1-COS(PI()*(1-(($A185-Simulador!$E$5)/Simulador!$G$5))/Simulador!$B$11))/2,Simulador!$B$9)))</f>
        <v>0</v>
      </c>
      <c r="C185" s="18">
        <f>IF(OR((($A185-Simulador!$E$6)/Simulador!$G$6)&lt;=0,(($A185-Simulador!$E$6)/Simulador!$G$6)&gt;=1),0,IF((($A185-Simulador!$E$6)/Simulador!$G$6)&lt;Simulador!$B$11,Simulador!$B$9*(1-COS(PI()*(($A185-Simulador!$E$6)/Simulador!$G$6)/Simulador!$B$11))/2,IF((($A185-Simulador!$E$6)/Simulador!$G$6)&gt;1-Simulador!$B$11,Simulador!$B$9*(1-COS(PI()*(1-(($A185-Simulador!$E$6)/Simulador!$G$6))/Simulador!$B$11))/2,Simulador!$B$9)))</f>
        <v>0.42733322196973361</v>
      </c>
      <c r="D185" s="18">
        <f>IF(OR((($A185-Simulador!$E$7)/Simulador!$G$7)&lt;=0,(($A185-Simulador!$E$7)/Simulador!$G$7)&gt;=1),0,IF((($A185-Simulador!$E$7)/Simulador!$G$7)&lt;Simulador!$B$11,Simulador!$B$9*(1-COS(PI()*(($A185-Simulador!$E$7)/Simulador!$G$7)/Simulador!$B$11))/2,IF((($A185-Simulador!$E$7)/Simulador!$G$7)&gt;1-Simulador!$B$11,Simulador!$B$9*(1-COS(PI()*(1-(($A185-Simulador!$E$7)/Simulador!$G$7))/Simulador!$B$11))/2,Simulador!$B$9)))</f>
        <v>1.7432929056294639</v>
      </c>
      <c r="E185" s="18">
        <f>IF(OR((($A185-Simulador!$E$8)/Simulador!$G$8)&lt;=0,(($A185-Simulador!$E$8)/Simulador!$G$8)&gt;=1),0,IF((($A185-Simulador!$E$8)/Simulador!$G$8)&lt;Simulador!$B$11,Simulador!$B$10*(1-COS(PI()*(($A185-Simulador!$E$8)/Simulador!$G$8)/Simulador!$B$11))/2,IF((($A185-Simulador!$E$8)/Simulador!$G$8)&gt;1-Simulador!$B$11,Simulador!$B$10*(1-COS(PI()*(1-(($A185-Simulador!$E$8)/Simulador!$G$8))/Simulador!$B$11))/2,Simulador!$B$10)))</f>
        <v>2.8163475536229727</v>
      </c>
      <c r="F185" s="18">
        <f>IF(OR((($A185-Simulador!$E$9)/Simulador!$G$9)&lt;=0,(($A185-Simulador!$E$9)/Simulador!$G$9)&gt;=1),0,IF((($A185-Simulador!$E$9)/Simulador!$G$9)&lt;Simulador!$B$11,Simulador!$B$10*(1-COS(PI()*(($A185-Simulador!$E$9)/Simulador!$G$9)/Simulador!$B$11))/2,IF((($A185-Simulador!$E$9)/Simulador!$G$9)&gt;1-Simulador!$B$11,Simulador!$B$10*(1-COS(PI()*(1-(($A185-Simulador!$E$9)/Simulador!$G$9))/Simulador!$B$11))/2,Simulador!$B$10)))</f>
        <v>1.2224015879567844</v>
      </c>
      <c r="G185" s="18">
        <f>IF(OR((($A185-Simulador!$E$10)/Simulador!$G$10)&lt;=0,(($A185-Simulador!$E$10)/Simulador!$G$10)&gt;=1),0,IF((($A185-Simulador!$E$10)/Simulador!$G$10)&lt;Simulador!$B$11,Simulador!$B$10*(1-COS(PI()*(($A185-Simulador!$E$10)/Simulador!$G$10)/Simulador!$B$11))/2,IF((($A185-Simulador!$E$10)/Simulador!$G$10)&gt;1-Simulador!$B$11,Simulador!$B$10*(1-COS(PI()*(1-(($A185-Simulador!$E$10)/Simulador!$G$10))/Simulador!$B$11))/2,Simulador!$B$10)))</f>
        <v>0.22810861885355191</v>
      </c>
    </row>
    <row r="186" spans="1:7" x14ac:dyDescent="0.25">
      <c r="A186" s="17">
        <f>A185+Simulador!$B$14</f>
        <v>368</v>
      </c>
      <c r="B186" s="18">
        <f>IF(OR((($A186-Simulador!$E$5)/Simulador!$G$5)&lt;=0,(($A186-Simulador!$E$5)/Simulador!$G$5)&gt;=1),0,IF((($A186-Simulador!$E$5)/Simulador!$G$5)&lt;Simulador!$B$11,Simulador!$B$9*(1-COS(PI()*(($A186-Simulador!$E$5)/Simulador!$G$5)/Simulador!$B$11))/2,IF((($A186-Simulador!$E$5)/Simulador!$G$5)&gt;1-Simulador!$B$11,Simulador!$B$9*(1-COS(PI()*(1-(($A186-Simulador!$E$5)/Simulador!$G$5))/Simulador!$B$11))/2,Simulador!$B$9)))</f>
        <v>0</v>
      </c>
      <c r="C186" s="18">
        <f>IF(OR((($A186-Simulador!$E$6)/Simulador!$G$6)&lt;=0,(($A186-Simulador!$E$6)/Simulador!$G$6)&gt;=1),0,IF((($A186-Simulador!$E$6)/Simulador!$G$6)&lt;Simulador!$B$11,Simulador!$B$9*(1-COS(PI()*(($A186-Simulador!$E$6)/Simulador!$G$6)/Simulador!$B$11))/2,IF((($A186-Simulador!$E$6)/Simulador!$G$6)&gt;1-Simulador!$B$11,Simulador!$B$9*(1-COS(PI()*(1-(($A186-Simulador!$E$6)/Simulador!$G$6))/Simulador!$B$11))/2,Simulador!$B$9)))</f>
        <v>0.31523317308369347</v>
      </c>
      <c r="D186" s="18">
        <f>IF(OR((($A186-Simulador!$E$7)/Simulador!$G$7)&lt;=0,(($A186-Simulador!$E$7)/Simulador!$G$7)&gt;=1),0,IF((($A186-Simulador!$E$7)/Simulador!$G$7)&lt;Simulador!$B$11,Simulador!$B$9*(1-COS(PI()*(($A186-Simulador!$E$7)/Simulador!$G$7)/Simulador!$B$11))/2,IF((($A186-Simulador!$E$7)/Simulador!$G$7)&gt;1-Simulador!$B$11,Simulador!$B$9*(1-COS(PI()*(1-(($A186-Simulador!$E$7)/Simulador!$G$7))/Simulador!$B$11))/2,Simulador!$B$9)))</f>
        <v>1.5244986195422456</v>
      </c>
      <c r="E186" s="18">
        <f>IF(OR((($A186-Simulador!$E$8)/Simulador!$G$8)&lt;=0,(($A186-Simulador!$E$8)/Simulador!$G$8)&gt;=1),0,IF((($A186-Simulador!$E$8)/Simulador!$G$8)&lt;Simulador!$B$11,Simulador!$B$10*(1-COS(PI()*(($A186-Simulador!$E$8)/Simulador!$G$8)/Simulador!$B$11))/2,IF((($A186-Simulador!$E$8)/Simulador!$G$8)&gt;1-Simulador!$B$11,Simulador!$B$10*(1-COS(PI()*(1-(($A186-Simulador!$E$8)/Simulador!$G$8))/Simulador!$B$11))/2,Simulador!$B$10)))</f>
        <v>3.0581835954494876</v>
      </c>
      <c r="F186" s="18">
        <f>IF(OR((($A186-Simulador!$E$9)/Simulador!$G$9)&lt;=0,(($A186-Simulador!$E$9)/Simulador!$G$9)&gt;=1),0,IF((($A186-Simulador!$E$9)/Simulador!$G$9)&lt;Simulador!$B$11,Simulador!$B$10*(1-COS(PI()*(($A186-Simulador!$E$9)/Simulador!$G$9)/Simulador!$B$11))/2,IF((($A186-Simulador!$E$9)/Simulador!$G$9)&gt;1-Simulador!$B$11,Simulador!$B$10*(1-COS(PI()*(1-(($A186-Simulador!$E$9)/Simulador!$G$9))/Simulador!$B$11))/2,Simulador!$B$10)))</f>
        <v>1.4061949229748525</v>
      </c>
      <c r="G186" s="18">
        <f>IF(OR((($A186-Simulador!$E$10)/Simulador!$G$10)&lt;=0,(($A186-Simulador!$E$10)/Simulador!$G$10)&gt;=1),0,IF((($A186-Simulador!$E$10)/Simulador!$G$10)&lt;Simulador!$B$11,Simulador!$B$10*(1-COS(PI()*(($A186-Simulador!$E$10)/Simulador!$G$10)/Simulador!$B$11))/2,IF((($A186-Simulador!$E$10)/Simulador!$G$10)&gt;1-Simulador!$B$11,Simulador!$B$10*(1-COS(PI()*(1-(($A186-Simulador!$E$10)/Simulador!$G$10))/Simulador!$B$11))/2,Simulador!$B$10)))</f>
        <v>0.31745672298551403</v>
      </c>
    </row>
    <row r="187" spans="1:7" x14ac:dyDescent="0.25">
      <c r="A187" s="17">
        <f>A186+Simulador!$B$14</f>
        <v>370</v>
      </c>
      <c r="B187" s="18">
        <f>IF(OR((($A187-Simulador!$E$5)/Simulador!$G$5)&lt;=0,(($A187-Simulador!$E$5)/Simulador!$G$5)&gt;=1),0,IF((($A187-Simulador!$E$5)/Simulador!$G$5)&lt;Simulador!$B$11,Simulador!$B$9*(1-COS(PI()*(($A187-Simulador!$E$5)/Simulador!$G$5)/Simulador!$B$11))/2,IF((($A187-Simulador!$E$5)/Simulador!$G$5)&gt;1-Simulador!$B$11,Simulador!$B$9*(1-COS(PI()*(1-(($A187-Simulador!$E$5)/Simulador!$G$5))/Simulador!$B$11))/2,Simulador!$B$9)))</f>
        <v>0</v>
      </c>
      <c r="C187" s="18">
        <f>IF(OR((($A187-Simulador!$E$6)/Simulador!$G$6)&lt;=0,(($A187-Simulador!$E$6)/Simulador!$G$6)&gt;=1),0,IF((($A187-Simulador!$E$6)/Simulador!$G$6)&lt;Simulador!$B$11,Simulador!$B$9*(1-COS(PI()*(($A187-Simulador!$E$6)/Simulador!$G$6)/Simulador!$B$11))/2,IF((($A187-Simulador!$E$6)/Simulador!$G$6)&gt;1-Simulador!$B$11,Simulador!$B$9*(1-COS(PI()*(1-(($A187-Simulador!$E$6)/Simulador!$G$6))/Simulador!$B$11))/2,Simulador!$B$9)))</f>
        <v>0.21966281903525151</v>
      </c>
      <c r="D187" s="18">
        <f>IF(OR((($A187-Simulador!$E$7)/Simulador!$G$7)&lt;=0,(($A187-Simulador!$E$7)/Simulador!$G$7)&gt;=1),0,IF((($A187-Simulador!$E$7)/Simulador!$G$7)&lt;Simulador!$B$11,Simulador!$B$9*(1-COS(PI()*(($A187-Simulador!$E$7)/Simulador!$G$7)/Simulador!$B$11))/2,IF((($A187-Simulador!$E$7)/Simulador!$G$7)&gt;1-Simulador!$B$11,Simulador!$B$9*(1-COS(PI()*(1-(($A187-Simulador!$E$7)/Simulador!$G$7))/Simulador!$B$11))/2,Simulador!$B$9)))</f>
        <v>1.3177267363452128</v>
      </c>
      <c r="E187" s="18">
        <f>IF(OR((($A187-Simulador!$E$8)/Simulador!$G$8)&lt;=0,(($A187-Simulador!$E$8)/Simulador!$G$8)&gt;=1),0,IF((($A187-Simulador!$E$8)/Simulador!$G$8)&lt;Simulador!$B$11,Simulador!$B$10*(1-COS(PI()*(($A187-Simulador!$E$8)/Simulador!$G$8)/Simulador!$B$11))/2,IF((($A187-Simulador!$E$8)/Simulador!$G$8)&gt;1-Simulador!$B$11,Simulador!$B$10*(1-COS(PI()*(1-(($A187-Simulador!$E$8)/Simulador!$G$8))/Simulador!$B$11))/2,Simulador!$B$10)))</f>
        <v>3.3042860306856636</v>
      </c>
      <c r="F187" s="18">
        <f>IF(OR((($A187-Simulador!$E$9)/Simulador!$G$9)&lt;=0,(($A187-Simulador!$E$9)/Simulador!$G$9)&gt;=1),0,IF((($A187-Simulador!$E$9)/Simulador!$G$9)&lt;Simulador!$B$11,Simulador!$B$10*(1-COS(PI()*(($A187-Simulador!$E$9)/Simulador!$G$9)/Simulador!$B$11))/2,IF((($A187-Simulador!$E$9)/Simulador!$G$9)&gt;1-Simulador!$B$11,Simulador!$B$10*(1-COS(PI()*(1-(($A187-Simulador!$E$9)/Simulador!$G$9))/Simulador!$B$11))/2,Simulador!$B$10)))</f>
        <v>1.6001683421003823</v>
      </c>
      <c r="G187" s="18">
        <f>IF(OR((($A187-Simulador!$E$10)/Simulador!$G$10)&lt;=0,(($A187-Simulador!$E$10)/Simulador!$G$10)&gt;=1),0,IF((($A187-Simulador!$E$10)/Simulador!$G$10)&lt;Simulador!$B$11,Simulador!$B$10*(1-COS(PI()*(($A187-Simulador!$E$10)/Simulador!$G$10)/Simulador!$B$11))/2,IF((($A187-Simulador!$E$10)/Simulador!$G$10)&gt;1-Simulador!$B$11,Simulador!$B$10*(1-COS(PI()*(1-(($A187-Simulador!$E$10)/Simulador!$G$10))/Simulador!$B$11))/2,Simulador!$B$10)))</f>
        <v>0.42088231141471866</v>
      </c>
    </row>
    <row r="188" spans="1:7" x14ac:dyDescent="0.25">
      <c r="A188" s="17">
        <f>A187+Simulador!$B$14</f>
        <v>372</v>
      </c>
      <c r="B188" s="18">
        <f>IF(OR((($A188-Simulador!$E$5)/Simulador!$G$5)&lt;=0,(($A188-Simulador!$E$5)/Simulador!$G$5)&gt;=1),0,IF((($A188-Simulador!$E$5)/Simulador!$G$5)&lt;Simulador!$B$11,Simulador!$B$9*(1-COS(PI()*(($A188-Simulador!$E$5)/Simulador!$G$5)/Simulador!$B$11))/2,IF((($A188-Simulador!$E$5)/Simulador!$G$5)&gt;1-Simulador!$B$11,Simulador!$B$9*(1-COS(PI()*(1-(($A188-Simulador!$E$5)/Simulador!$G$5))/Simulador!$B$11))/2,Simulador!$B$9)))</f>
        <v>0</v>
      </c>
      <c r="C188" s="18">
        <f>IF(OR((($A188-Simulador!$E$6)/Simulador!$G$6)&lt;=0,(($A188-Simulador!$E$6)/Simulador!$G$6)&gt;=1),0,IF((($A188-Simulador!$E$6)/Simulador!$G$6)&lt;Simulador!$B$11,Simulador!$B$9*(1-COS(PI()*(($A188-Simulador!$E$6)/Simulador!$G$6)/Simulador!$B$11))/2,IF((($A188-Simulador!$E$6)/Simulador!$G$6)&gt;1-Simulador!$B$11,Simulador!$B$9*(1-COS(PI()*(1-(($A188-Simulador!$E$6)/Simulador!$G$6))/Simulador!$B$11))/2,Simulador!$B$9)))</f>
        <v>0.14097837895600998</v>
      </c>
      <c r="D188" s="18">
        <f>IF(OR((($A188-Simulador!$E$7)/Simulador!$G$7)&lt;=0,(($A188-Simulador!$E$7)/Simulador!$G$7)&gt;=1),0,IF((($A188-Simulador!$E$7)/Simulador!$G$7)&lt;Simulador!$B$11,Simulador!$B$9*(1-COS(PI()*(($A188-Simulador!$E$7)/Simulador!$G$7)/Simulador!$B$11))/2,IF((($A188-Simulador!$E$7)/Simulador!$G$7)&gt;1-Simulador!$B$11,Simulador!$B$9*(1-COS(PI()*(1-(($A188-Simulador!$E$7)/Simulador!$G$7))/Simulador!$B$11))/2,Simulador!$B$9)))</f>
        <v>1.1237479563397885</v>
      </c>
      <c r="E188" s="18">
        <f>IF(OR((($A188-Simulador!$E$8)/Simulador!$G$8)&lt;=0,(($A188-Simulador!$E$8)/Simulador!$G$8)&gt;=1),0,IF((($A188-Simulador!$E$8)/Simulador!$G$8)&lt;Simulador!$B$11,Simulador!$B$10*(1-COS(PI()*(($A188-Simulador!$E$8)/Simulador!$G$8)/Simulador!$B$11))/2,IF((($A188-Simulador!$E$8)/Simulador!$G$8)&gt;1-Simulador!$B$11,Simulador!$B$10*(1-COS(PI()*(1-(($A188-Simulador!$E$8)/Simulador!$G$8))/Simulador!$B$11))/2,Simulador!$B$10)))</f>
        <v>3.5537738764856655</v>
      </c>
      <c r="F188" s="18">
        <f>IF(OR((($A188-Simulador!$E$9)/Simulador!$G$9)&lt;=0,(($A188-Simulador!$E$9)/Simulador!$G$9)&gt;=1),0,IF((($A188-Simulador!$E$9)/Simulador!$G$9)&lt;Simulador!$B$11,Simulador!$B$10*(1-COS(PI()*(($A188-Simulador!$E$9)/Simulador!$G$9)/Simulador!$B$11))/2,IF((($A188-Simulador!$E$9)/Simulador!$G$9)&gt;1-Simulador!$B$11,Simulador!$B$10*(1-COS(PI()*(1-(($A188-Simulador!$E$9)/Simulador!$G$9))/Simulador!$B$11))/2,Simulador!$B$10)))</f>
        <v>1.8036274708358877</v>
      </c>
      <c r="G188" s="18">
        <f>IF(OR((($A188-Simulador!$E$10)/Simulador!$G$10)&lt;=0,(($A188-Simulador!$E$10)/Simulador!$G$10)&gt;=1),0,IF((($A188-Simulador!$E$10)/Simulador!$G$10)&lt;Simulador!$B$11,Simulador!$B$10*(1-COS(PI()*(($A188-Simulador!$E$10)/Simulador!$G$10)/Simulador!$B$11))/2,IF((($A188-Simulador!$E$10)/Simulador!$G$10)&gt;1-Simulador!$B$11,Simulador!$B$10*(1-COS(PI()*(1-(($A188-Simulador!$E$10)/Simulador!$G$10))/Simulador!$B$11))/2,Simulador!$B$10)))</f>
        <v>0.53801514737719858</v>
      </c>
    </row>
    <row r="189" spans="1:7" x14ac:dyDescent="0.25">
      <c r="A189" s="17">
        <f>A188+Simulador!$B$14</f>
        <v>374</v>
      </c>
      <c r="B189" s="18">
        <f>IF(OR((($A189-Simulador!$E$5)/Simulador!$G$5)&lt;=0,(($A189-Simulador!$E$5)/Simulador!$G$5)&gt;=1),0,IF((($A189-Simulador!$E$5)/Simulador!$G$5)&lt;Simulador!$B$11,Simulador!$B$9*(1-COS(PI()*(($A189-Simulador!$E$5)/Simulador!$G$5)/Simulador!$B$11))/2,IF((($A189-Simulador!$E$5)/Simulador!$G$5)&gt;1-Simulador!$B$11,Simulador!$B$9*(1-COS(PI()*(1-(($A189-Simulador!$E$5)/Simulador!$G$5))/Simulador!$B$11))/2,Simulador!$B$9)))</f>
        <v>0</v>
      </c>
      <c r="C189" s="18">
        <f>IF(OR((($A189-Simulador!$E$6)/Simulador!$G$6)&lt;=0,(($A189-Simulador!$E$6)/Simulador!$G$6)&gt;=1),0,IF((($A189-Simulador!$E$6)/Simulador!$G$6)&lt;Simulador!$B$11,Simulador!$B$9*(1-COS(PI()*(($A189-Simulador!$E$6)/Simulador!$G$6)/Simulador!$B$11))/2,IF((($A189-Simulador!$E$6)/Simulador!$G$6)&gt;1-Simulador!$B$11,Simulador!$B$9*(1-COS(PI()*(1-(($A189-Simulador!$E$6)/Simulador!$G$6))/Simulador!$B$11))/2,Simulador!$B$9)))</f>
        <v>7.9473133154436881E-2</v>
      </c>
      <c r="D189" s="18">
        <f>IF(OR((($A189-Simulador!$E$7)/Simulador!$G$7)&lt;=0,(($A189-Simulador!$E$7)/Simulador!$G$7)&gt;=1),0,IF((($A189-Simulador!$E$7)/Simulador!$G$7)&lt;Simulador!$B$11,Simulador!$B$9*(1-COS(PI()*(($A189-Simulador!$E$7)/Simulador!$G$7)/Simulador!$B$11))/2,IF((($A189-Simulador!$E$7)/Simulador!$G$7)&gt;1-Simulador!$B$11,Simulador!$B$9*(1-COS(PI()*(1-(($A189-Simulador!$E$7)/Simulador!$G$7))/Simulador!$B$11))/2,Simulador!$B$9)))</f>
        <v>0.94328529612720657</v>
      </c>
      <c r="E189" s="18">
        <f>IF(OR((($A189-Simulador!$E$8)/Simulador!$G$8)&lt;=0,(($A189-Simulador!$E$8)/Simulador!$G$8)&gt;=1),0,IF((($A189-Simulador!$E$8)/Simulador!$G$8)&lt;Simulador!$B$11,Simulador!$B$10*(1-COS(PI()*(($A189-Simulador!$E$8)/Simulador!$G$8)/Simulador!$B$11))/2,IF((($A189-Simulador!$E$8)/Simulador!$G$8)&gt;1-Simulador!$B$11,Simulador!$B$10*(1-COS(PI()*(1-(($A189-Simulador!$E$8)/Simulador!$G$8))/Simulador!$B$11))/2,Simulador!$B$10)))</f>
        <v>3.8057540311124729</v>
      </c>
      <c r="F189" s="18">
        <f>IF(OR((($A189-Simulador!$E$9)/Simulador!$G$9)&lt;=0,(($A189-Simulador!$E$9)/Simulador!$G$9)&gt;=1),0,IF((($A189-Simulador!$E$9)/Simulador!$G$9)&lt;Simulador!$B$11,Simulador!$B$10*(1-COS(PI()*(($A189-Simulador!$E$9)/Simulador!$G$9)/Simulador!$B$11))/2,IF((($A189-Simulador!$E$9)/Simulador!$G$9)&gt;1-Simulador!$B$11,Simulador!$B$10*(1-COS(PI()*(1-(($A189-Simulador!$E$9)/Simulador!$G$9))/Simulador!$B$11))/2,Simulador!$B$10)))</f>
        <v>2.0158439783053552</v>
      </c>
      <c r="G189" s="18">
        <f>IF(OR((($A189-Simulador!$E$10)/Simulador!$G$10)&lt;=0,(($A189-Simulador!$E$10)/Simulador!$G$10)&gt;=1),0,IF((($A189-Simulador!$E$10)/Simulador!$G$10)&lt;Simulador!$B$11,Simulador!$B$10*(1-COS(PI()*(($A189-Simulador!$E$10)/Simulador!$G$10)/Simulador!$B$11))/2,IF((($A189-Simulador!$E$10)/Simulador!$G$10)&gt;1-Simulador!$B$11,Simulador!$B$10*(1-COS(PI()*(1-(($A189-Simulador!$E$10)/Simulador!$G$10))/Simulador!$B$11))/2,Simulador!$B$10)))</f>
        <v>0.6684359257203335</v>
      </c>
    </row>
    <row r="190" spans="1:7" x14ac:dyDescent="0.25">
      <c r="A190" s="17">
        <f>A189+Simulador!$B$14</f>
        <v>376</v>
      </c>
      <c r="B190" s="18">
        <f>IF(OR((($A190-Simulador!$E$5)/Simulador!$G$5)&lt;=0,(($A190-Simulador!$E$5)/Simulador!$G$5)&gt;=1),0,IF((($A190-Simulador!$E$5)/Simulador!$G$5)&lt;Simulador!$B$11,Simulador!$B$9*(1-COS(PI()*(($A190-Simulador!$E$5)/Simulador!$G$5)/Simulador!$B$11))/2,IF((($A190-Simulador!$E$5)/Simulador!$G$5)&gt;1-Simulador!$B$11,Simulador!$B$9*(1-COS(PI()*(1-(($A190-Simulador!$E$5)/Simulador!$G$5))/Simulador!$B$11))/2,Simulador!$B$9)))</f>
        <v>0</v>
      </c>
      <c r="C190" s="18">
        <f>IF(OR((($A190-Simulador!$E$6)/Simulador!$G$6)&lt;=0,(($A190-Simulador!$E$6)/Simulador!$G$6)&gt;=1),0,IF((($A190-Simulador!$E$6)/Simulador!$G$6)&lt;Simulador!$B$11,Simulador!$B$9*(1-COS(PI()*(($A190-Simulador!$E$6)/Simulador!$G$6)/Simulador!$B$11))/2,IF((($A190-Simulador!$E$6)/Simulador!$G$6)&gt;1-Simulador!$B$11,Simulador!$B$9*(1-COS(PI()*(1-(($A190-Simulador!$E$6)/Simulador!$G$6))/Simulador!$B$11))/2,Simulador!$B$9)))</f>
        <v>3.5376329972934412E-2</v>
      </c>
      <c r="D190" s="18">
        <f>IF(OR((($A190-Simulador!$E$7)/Simulador!$G$7)&lt;=0,(($A190-Simulador!$E$7)/Simulador!$G$7)&gt;=1),0,IF((($A190-Simulador!$E$7)/Simulador!$G$7)&lt;Simulador!$B$11,Simulador!$B$9*(1-COS(PI()*(($A190-Simulador!$E$7)/Simulador!$G$7)/Simulador!$B$11))/2,IF((($A190-Simulador!$E$7)/Simulador!$G$7)&gt;1-Simulador!$B$11,Simulador!$B$9*(1-COS(PI()*(1-(($A190-Simulador!$E$7)/Simulador!$G$7))/Simulador!$B$11))/2,Simulador!$B$9)))</f>
        <v>0.77701139371061678</v>
      </c>
      <c r="E190" s="18">
        <f>IF(OR((($A190-Simulador!$E$8)/Simulador!$G$8)&lt;=0,(($A190-Simulador!$E$8)/Simulador!$G$8)&gt;=1),0,IF((($A190-Simulador!$E$8)/Simulador!$G$8)&lt;Simulador!$B$11,Simulador!$B$10*(1-COS(PI()*(($A190-Simulador!$E$8)/Simulador!$G$8)/Simulador!$B$11))/2,IF((($A190-Simulador!$E$8)/Simulador!$G$8)&gt;1-Simulador!$B$11,Simulador!$B$10*(1-COS(PI()*(1-(($A190-Simulador!$E$8)/Simulador!$G$8))/Simulador!$B$11))/2,Simulador!$B$10)))</f>
        <v>4.0593244710103109</v>
      </c>
      <c r="F190" s="18">
        <f>IF(OR((($A190-Simulador!$E$9)/Simulador!$G$9)&lt;=0,(($A190-Simulador!$E$9)/Simulador!$G$9)&gt;=1),0,IF((($A190-Simulador!$E$9)/Simulador!$G$9)&lt;Simulador!$B$11,Simulador!$B$10*(1-COS(PI()*(($A190-Simulador!$E$9)/Simulador!$G$9)/Simulador!$B$11))/2,IF((($A190-Simulador!$E$9)/Simulador!$G$9)&gt;1-Simulador!$B$11,Simulador!$B$10*(1-COS(PI()*(1-(($A190-Simulador!$E$9)/Simulador!$G$9))/Simulador!$B$11))/2,Simulador!$B$10)))</f>
        <v>2.2360581844897558</v>
      </c>
      <c r="G190" s="18">
        <f>IF(OR((($A190-Simulador!$E$10)/Simulador!$G$10)&lt;=0,(($A190-Simulador!$E$10)/Simulador!$G$10)&gt;=1),0,IF((($A190-Simulador!$E$10)/Simulador!$G$10)&lt;Simulador!$B$11,Simulador!$B$10*(1-COS(PI()*(($A190-Simulador!$E$10)/Simulador!$G$10)/Simulador!$B$11))/2,IF((($A190-Simulador!$E$10)/Simulador!$G$10)&gt;1-Simulador!$B$11,Simulador!$B$10*(1-COS(PI()*(1-(($A190-Simulador!$E$10)/Simulador!$G$10))/Simulador!$B$11))/2,Simulador!$B$10)))</f>
        <v>0.81167777390647378</v>
      </c>
    </row>
    <row r="191" spans="1:7" x14ac:dyDescent="0.25">
      <c r="A191" s="17">
        <f>A190+Simulador!$B$14</f>
        <v>378</v>
      </c>
      <c r="B191" s="18">
        <f>IF(OR((($A191-Simulador!$E$5)/Simulador!$G$5)&lt;=0,(($A191-Simulador!$E$5)/Simulador!$G$5)&gt;=1),0,IF((($A191-Simulador!$E$5)/Simulador!$G$5)&lt;Simulador!$B$11,Simulador!$B$9*(1-COS(PI()*(($A191-Simulador!$E$5)/Simulador!$G$5)/Simulador!$B$11))/2,IF((($A191-Simulador!$E$5)/Simulador!$G$5)&gt;1-Simulador!$B$11,Simulador!$B$9*(1-COS(PI()*(1-(($A191-Simulador!$E$5)/Simulador!$G$5))/Simulador!$B$11))/2,Simulador!$B$9)))</f>
        <v>0</v>
      </c>
      <c r="C191" s="18">
        <f>IF(OR((($A191-Simulador!$E$6)/Simulador!$G$6)&lt;=0,(($A191-Simulador!$E$6)/Simulador!$G$6)&gt;=1),0,IF((($A191-Simulador!$E$6)/Simulador!$G$6)&lt;Simulador!$B$11,Simulador!$B$9*(1-COS(PI()*(($A191-Simulador!$E$6)/Simulador!$G$6)/Simulador!$B$11))/2,IF((($A191-Simulador!$E$6)/Simulador!$G$6)&gt;1-Simulador!$B$11,Simulador!$B$9*(1-COS(PI()*(1-(($A191-Simulador!$E$6)/Simulador!$G$6))/Simulador!$B$11))/2,Simulador!$B$9)))</f>
        <v>8.85233131109045E-3</v>
      </c>
      <c r="D191" s="18">
        <f>IF(OR((($A191-Simulador!$E$7)/Simulador!$G$7)&lt;=0,(($A191-Simulador!$E$7)/Simulador!$G$7)&gt;=1),0,IF((($A191-Simulador!$E$7)/Simulador!$G$7)&lt;Simulador!$B$11,Simulador!$B$9*(1-COS(PI()*(($A191-Simulador!$E$7)/Simulador!$G$7)/Simulador!$B$11))/2,IF((($A191-Simulador!$E$7)/Simulador!$G$7)&gt;1-Simulador!$B$11,Simulador!$B$9*(1-COS(PI()*(1-(($A191-Simulador!$E$7)/Simulador!$G$7))/Simulador!$B$11))/2,Simulador!$B$9)))</f>
        <v>0.6255460013732107</v>
      </c>
      <c r="E191" s="18">
        <f>IF(OR((($A191-Simulador!$E$8)/Simulador!$G$8)&lt;=0,(($A191-Simulador!$E$8)/Simulador!$G$8)&gt;=1),0,IF((($A191-Simulador!$E$8)/Simulador!$G$8)&lt;Simulador!$B$11,Simulador!$B$10*(1-COS(PI()*(($A191-Simulador!$E$8)/Simulador!$G$8)/Simulador!$B$11))/2,IF((($A191-Simulador!$E$8)/Simulador!$G$8)&gt;1-Simulador!$B$11,Simulador!$B$10*(1-COS(PI()*(1-(($A191-Simulador!$E$8)/Simulador!$G$8))/Simulador!$B$11))/2,Simulador!$B$10)))</f>
        <v>4.3135774798148692</v>
      </c>
      <c r="F191" s="18">
        <f>IF(OR((($A191-Simulador!$E$9)/Simulador!$G$9)&lt;=0,(($A191-Simulador!$E$9)/Simulador!$G$9)&gt;=1),0,IF((($A191-Simulador!$E$9)/Simulador!$G$9)&lt;Simulador!$B$11,Simulador!$B$10*(1-COS(PI()*(($A191-Simulador!$E$9)/Simulador!$G$9)/Simulador!$B$11))/2,IF((($A191-Simulador!$E$9)/Simulador!$G$9)&gt;1-Simulador!$B$11,Simulador!$B$10*(1-COS(PI()*(1-(($A191-Simulador!$E$9)/Simulador!$G$9))/Simulador!$B$11))/2,Simulador!$B$10)))</f>
        <v>2.4634817796843462</v>
      </c>
      <c r="G191" s="18">
        <f>IF(OR((($A191-Simulador!$E$10)/Simulador!$G$10)&lt;=0,(($A191-Simulador!$E$10)/Simulador!$G$10)&gt;=1),0,IF((($A191-Simulador!$E$10)/Simulador!$G$10)&lt;Simulador!$B$11,Simulador!$B$10*(1-COS(PI()*(($A191-Simulador!$E$10)/Simulador!$G$10)/Simulador!$B$11))/2,IF((($A191-Simulador!$E$10)/Simulador!$G$10)&gt;1-Simulador!$B$11,Simulador!$B$10*(1-COS(PI()*(1-(($A191-Simulador!$E$10)/Simulador!$G$10))/Simulador!$B$11))/2,Simulador!$B$10)))</f>
        <v>0.96722792329545204</v>
      </c>
    </row>
    <row r="192" spans="1:7" x14ac:dyDescent="0.25">
      <c r="A192" s="17">
        <f>A191+Simulador!$B$14</f>
        <v>380</v>
      </c>
      <c r="B192" s="18">
        <f>IF(OR((($A192-Simulador!$E$5)/Simulador!$G$5)&lt;=0,(($A192-Simulador!$E$5)/Simulador!$G$5)&gt;=1),0,IF((($A192-Simulador!$E$5)/Simulador!$G$5)&lt;Simulador!$B$11,Simulador!$B$9*(1-COS(PI()*(($A192-Simulador!$E$5)/Simulador!$G$5)/Simulador!$B$11))/2,IF((($A192-Simulador!$E$5)/Simulador!$G$5)&gt;1-Simulador!$B$11,Simulador!$B$9*(1-COS(PI()*(1-(($A192-Simulador!$E$5)/Simulador!$G$5))/Simulador!$B$11))/2,Simulador!$B$9)))</f>
        <v>0</v>
      </c>
      <c r="C192" s="18">
        <f>IF(OR((($A192-Simulador!$E$6)/Simulador!$G$6)&lt;=0,(($A192-Simulador!$E$6)/Simulador!$G$6)&gt;=1),0,IF((($A192-Simulador!$E$6)/Simulador!$G$6)&lt;Simulador!$B$11,Simulador!$B$9*(1-COS(PI()*(($A192-Simulador!$E$6)/Simulador!$G$6)/Simulador!$B$11))/2,IF((($A192-Simulador!$E$6)/Simulador!$G$6)&gt;1-Simulador!$B$11,Simulador!$B$9*(1-COS(PI()*(1-(($A192-Simulador!$E$6)/Simulador!$G$6))/Simulador!$B$11))/2,Simulador!$B$9)))</f>
        <v>0</v>
      </c>
      <c r="D192" s="18">
        <f>IF(OR((($A192-Simulador!$E$7)/Simulador!$G$7)&lt;=0,(($A192-Simulador!$E$7)/Simulador!$G$7)&gt;=1),0,IF((($A192-Simulador!$E$7)/Simulador!$G$7)&lt;Simulador!$B$11,Simulador!$B$9*(1-COS(PI()*(($A192-Simulador!$E$7)/Simulador!$G$7)/Simulador!$B$11))/2,IF((($A192-Simulador!$E$7)/Simulador!$G$7)&gt;1-Simulador!$B$11,Simulador!$B$9*(1-COS(PI()*(1-(($A192-Simulador!$E$7)/Simulador!$G$7))/Simulador!$B$11))/2,Simulador!$B$9)))</f>
        <v>0.48945367567714926</v>
      </c>
      <c r="E192" s="18">
        <f>IF(OR((($A192-Simulador!$E$8)/Simulador!$G$8)&lt;=0,(($A192-Simulador!$E$8)/Simulador!$G$8)&gt;=1),0,IF((($A192-Simulador!$E$8)/Simulador!$G$8)&lt;Simulador!$B$11,Simulador!$B$10*(1-COS(PI()*(($A192-Simulador!$E$8)/Simulador!$G$8)/Simulador!$B$11))/2,IF((($A192-Simulador!$E$8)/Simulador!$G$8)&gt;1-Simulador!$B$11,Simulador!$B$10*(1-COS(PI()*(1-(($A192-Simulador!$E$8)/Simulador!$G$8))/Simulador!$B$11))/2,Simulador!$B$10)))</f>
        <v>4.5676028977423035</v>
      </c>
      <c r="F192" s="18">
        <f>IF(OR((($A192-Simulador!$E$9)/Simulador!$G$9)&lt;=0,(($A192-Simulador!$E$9)/Simulador!$G$9)&gt;=1),0,IF((($A192-Simulador!$E$9)/Simulador!$G$9)&lt;Simulador!$B$11,Simulador!$B$10*(1-COS(PI()*(($A192-Simulador!$E$9)/Simulador!$G$9)/Simulador!$B$11))/2,IF((($A192-Simulador!$E$9)/Simulador!$G$9)&gt;1-Simulador!$B$11,Simulador!$B$10*(1-COS(PI()*(1-(($A192-Simulador!$E$9)/Simulador!$G$9))/Simulador!$B$11))/2,Simulador!$B$10)))</f>
        <v>2.6973006464428213</v>
      </c>
      <c r="G192" s="18">
        <f>IF(OR((($A192-Simulador!$E$10)/Simulador!$G$10)&lt;=0,(($A192-Simulador!$E$10)/Simulador!$G$10)&gt;=1),0,IF((($A192-Simulador!$E$10)/Simulador!$G$10)&lt;Simulador!$B$11,Simulador!$B$10*(1-COS(PI()*(($A192-Simulador!$E$10)/Simulador!$G$10)/Simulador!$B$11))/2,IF((($A192-Simulador!$E$10)/Simulador!$G$10)&gt;1-Simulador!$B$11,Simulador!$B$10*(1-COS(PI()*(1-(($A192-Simulador!$E$10)/Simulador!$G$10))/Simulador!$B$11))/2,Simulador!$B$10)))</f>
        <v>1.134529544723238</v>
      </c>
    </row>
    <row r="193" spans="1:7" x14ac:dyDescent="0.25">
      <c r="A193" s="17">
        <f>A192+Simulador!$B$14</f>
        <v>382</v>
      </c>
      <c r="B193" s="18">
        <f>IF(OR((($A193-Simulador!$E$5)/Simulador!$G$5)&lt;=0,(($A193-Simulador!$E$5)/Simulador!$G$5)&gt;=1),0,IF((($A193-Simulador!$E$5)/Simulador!$G$5)&lt;Simulador!$B$11,Simulador!$B$9*(1-COS(PI()*(($A193-Simulador!$E$5)/Simulador!$G$5)/Simulador!$B$11))/2,IF((($A193-Simulador!$E$5)/Simulador!$G$5)&gt;1-Simulador!$B$11,Simulador!$B$9*(1-COS(PI()*(1-(($A193-Simulador!$E$5)/Simulador!$G$5))/Simulador!$B$11))/2,Simulador!$B$9)))</f>
        <v>0</v>
      </c>
      <c r="C193" s="18">
        <f>IF(OR((($A193-Simulador!$E$6)/Simulador!$G$6)&lt;=0,(($A193-Simulador!$E$6)/Simulador!$G$6)&gt;=1),0,IF((($A193-Simulador!$E$6)/Simulador!$G$6)&lt;Simulador!$B$11,Simulador!$B$9*(1-COS(PI()*(($A193-Simulador!$E$6)/Simulador!$G$6)/Simulador!$B$11))/2,IF((($A193-Simulador!$E$6)/Simulador!$G$6)&gt;1-Simulador!$B$11,Simulador!$B$9*(1-COS(PI()*(1-(($A193-Simulador!$E$6)/Simulador!$G$6))/Simulador!$B$11))/2,Simulador!$B$9)))</f>
        <v>0</v>
      </c>
      <c r="D193" s="18">
        <f>IF(OR((($A193-Simulador!$E$7)/Simulador!$G$7)&lt;=0,(($A193-Simulador!$E$7)/Simulador!$G$7)&gt;=1),0,IF((($A193-Simulador!$E$7)/Simulador!$G$7)&lt;Simulador!$B$11,Simulador!$B$9*(1-COS(PI()*(($A193-Simulador!$E$7)/Simulador!$G$7)/Simulador!$B$11))/2,IF((($A193-Simulador!$E$7)/Simulador!$G$7)&gt;1-Simulador!$B$11,Simulador!$B$9*(1-COS(PI()*(1-(($A193-Simulador!$E$7)/Simulador!$G$7))/Simulador!$B$11))/2,Simulador!$B$9)))</f>
        <v>0.36924167319336521</v>
      </c>
      <c r="E193" s="18">
        <f>IF(OR((($A193-Simulador!$E$8)/Simulador!$G$8)&lt;=0,(($A193-Simulador!$E$8)/Simulador!$G$8)&gt;=1),0,IF((($A193-Simulador!$E$8)/Simulador!$G$8)&lt;Simulador!$B$11,Simulador!$B$10*(1-COS(PI()*(($A193-Simulador!$E$8)/Simulador!$G$8)/Simulador!$B$11))/2,IF((($A193-Simulador!$E$8)/Simulador!$G$8)&gt;1-Simulador!$B$11,Simulador!$B$10*(1-COS(PI()*(1-(($A193-Simulador!$E$8)/Simulador!$G$8))/Simulador!$B$11))/2,Simulador!$B$10)))</f>
        <v>4.8204913797250368</v>
      </c>
      <c r="F193" s="18">
        <f>IF(OR((($A193-Simulador!$E$9)/Simulador!$G$9)&lt;=0,(($A193-Simulador!$E$9)/Simulador!$G$9)&gt;=1),0,IF((($A193-Simulador!$E$9)/Simulador!$G$9)&lt;Simulador!$B$11,Simulador!$B$10*(1-COS(PI()*(($A193-Simulador!$E$9)/Simulador!$G$9)/Simulador!$B$11))/2,IF((($A193-Simulador!$E$9)/Simulador!$G$9)&gt;1-Simulador!$B$11,Simulador!$B$10*(1-COS(PI()*(1-(($A193-Simulador!$E$9)/Simulador!$G$9))/Simulador!$B$11))/2,Simulador!$B$10)))</f>
        <v>2.9366777739064744</v>
      </c>
      <c r="G193" s="18">
        <f>IF(OR((($A193-Simulador!$E$10)/Simulador!$G$10)&lt;=0,(($A193-Simulador!$E$10)/Simulador!$G$10)&gt;=1),0,IF((($A193-Simulador!$E$10)/Simulador!$G$10)&lt;Simulador!$B$11,Simulador!$B$10*(1-COS(PI()*(($A193-Simulador!$E$10)/Simulador!$G$10)/Simulador!$B$11))/2,IF((($A193-Simulador!$E$10)/Simulador!$G$10)&gt;1-Simulador!$B$11,Simulador!$B$10*(1-COS(PI()*(1-(($A193-Simulador!$E$10)/Simulador!$G$10))/Simulador!$B$11))/2,Simulador!$B$10)))</f>
        <v>1.3129837418058252</v>
      </c>
    </row>
    <row r="194" spans="1:7" x14ac:dyDescent="0.25">
      <c r="A194" s="17">
        <f>A193+Simulador!$B$14</f>
        <v>384</v>
      </c>
      <c r="B194" s="18">
        <f>IF(OR((($A194-Simulador!$E$5)/Simulador!$G$5)&lt;=0,(($A194-Simulador!$E$5)/Simulador!$G$5)&gt;=1),0,IF((($A194-Simulador!$E$5)/Simulador!$G$5)&lt;Simulador!$B$11,Simulador!$B$9*(1-COS(PI()*(($A194-Simulador!$E$5)/Simulador!$G$5)/Simulador!$B$11))/2,IF((($A194-Simulador!$E$5)/Simulador!$G$5)&gt;1-Simulador!$B$11,Simulador!$B$9*(1-COS(PI()*(1-(($A194-Simulador!$E$5)/Simulador!$G$5))/Simulador!$B$11))/2,Simulador!$B$9)))</f>
        <v>0</v>
      </c>
      <c r="C194" s="18">
        <f>IF(OR((($A194-Simulador!$E$6)/Simulador!$G$6)&lt;=0,(($A194-Simulador!$E$6)/Simulador!$G$6)&gt;=1),0,IF((($A194-Simulador!$E$6)/Simulador!$G$6)&lt;Simulador!$B$11,Simulador!$B$9*(1-COS(PI()*(($A194-Simulador!$E$6)/Simulador!$G$6)/Simulador!$B$11))/2,IF((($A194-Simulador!$E$6)/Simulador!$G$6)&gt;1-Simulador!$B$11,Simulador!$B$9*(1-COS(PI()*(1-(($A194-Simulador!$E$6)/Simulador!$G$6))/Simulador!$B$11))/2,Simulador!$B$9)))</f>
        <v>0</v>
      </c>
      <c r="D194" s="18">
        <f>IF(OR((($A194-Simulador!$E$7)/Simulador!$G$7)&lt;=0,(($A194-Simulador!$E$7)/Simulador!$G$7)&gt;=1),0,IF((($A194-Simulador!$E$7)/Simulador!$G$7)&lt;Simulador!$B$11,Simulador!$B$9*(1-COS(PI()*(($A194-Simulador!$E$7)/Simulador!$G$7)/Simulador!$B$11))/2,IF((($A194-Simulador!$E$7)/Simulador!$G$7)&gt;1-Simulador!$B$11,Simulador!$B$9*(1-COS(PI()*(1-(($A194-Simulador!$E$7)/Simulador!$G$7))/Simulador!$B$11))/2,Simulador!$B$9)))</f>
        <v>0.26535805980546001</v>
      </c>
      <c r="E194" s="18">
        <f>IF(OR((($A194-Simulador!$E$8)/Simulador!$G$8)&lt;=0,(($A194-Simulador!$E$8)/Simulador!$G$8)&gt;=1),0,IF((($A194-Simulador!$E$8)/Simulador!$G$8)&lt;Simulador!$B$11,Simulador!$B$10*(1-COS(PI()*(($A194-Simulador!$E$8)/Simulador!$G$8)/Simulador!$B$11))/2,IF((($A194-Simulador!$E$8)/Simulador!$G$8)&gt;1-Simulador!$B$11,Simulador!$B$10*(1-COS(PI()*(1-(($A194-Simulador!$E$8)/Simulador!$G$8))/Simulador!$B$11))/2,Simulador!$B$10)))</f>
        <v>5.0713376506311008</v>
      </c>
      <c r="F194" s="18">
        <f>IF(OR((($A194-Simulador!$E$9)/Simulador!$G$9)&lt;=0,(($A194-Simulador!$E$9)/Simulador!$G$9)&gt;=1),0,IF((($A194-Simulador!$E$9)/Simulador!$G$9)&lt;Simulador!$B$11,Simulador!$B$10*(1-COS(PI()*(($A194-Simulador!$E$9)/Simulador!$G$9)/Simulador!$B$11))/2,IF((($A194-Simulador!$E$9)/Simulador!$G$9)&gt;1-Simulador!$B$11,Simulador!$B$10*(1-COS(PI()*(1-(($A194-Simulador!$E$9)/Simulador!$G$9))/Simulador!$B$11))/2,Simulador!$B$10)))</f>
        <v>3.1807562540858383</v>
      </c>
      <c r="G194" s="18">
        <f>IF(OR((($A194-Simulador!$E$10)/Simulador!$G$10)&lt;=0,(($A194-Simulador!$E$10)/Simulador!$G$10)&gt;=1),0,IF((($A194-Simulador!$E$10)/Simulador!$G$10)&lt;Simulador!$B$11,Simulador!$B$10*(1-COS(PI()*(($A194-Simulador!$E$10)/Simulador!$G$10)/Simulador!$B$11))/2,IF((($A194-Simulador!$E$10)/Simulador!$G$10)&gt;1-Simulador!$B$11,Simulador!$B$10*(1-COS(PI()*(1-(($A194-Simulador!$E$10)/Simulador!$G$10))/Simulador!$B$11))/2,Simulador!$B$10)))</f>
        <v>1.5019516948328515</v>
      </c>
    </row>
    <row r="195" spans="1:7" x14ac:dyDescent="0.25">
      <c r="A195" s="17">
        <f>A194+Simulador!$B$14</f>
        <v>386</v>
      </c>
      <c r="B195" s="18">
        <f>IF(OR((($A195-Simulador!$E$5)/Simulador!$G$5)&lt;=0,(($A195-Simulador!$E$5)/Simulador!$G$5)&gt;=1),0,IF((($A195-Simulador!$E$5)/Simulador!$G$5)&lt;Simulador!$B$11,Simulador!$B$9*(1-COS(PI()*(($A195-Simulador!$E$5)/Simulador!$G$5)/Simulador!$B$11))/2,IF((($A195-Simulador!$E$5)/Simulador!$G$5)&gt;1-Simulador!$B$11,Simulador!$B$9*(1-COS(PI()*(1-(($A195-Simulador!$E$5)/Simulador!$G$5))/Simulador!$B$11))/2,Simulador!$B$9)))</f>
        <v>0</v>
      </c>
      <c r="C195" s="18">
        <f>IF(OR((($A195-Simulador!$E$6)/Simulador!$G$6)&lt;=0,(($A195-Simulador!$E$6)/Simulador!$G$6)&gt;=1),0,IF((($A195-Simulador!$E$6)/Simulador!$G$6)&lt;Simulador!$B$11,Simulador!$B$9*(1-COS(PI()*(($A195-Simulador!$E$6)/Simulador!$G$6)/Simulador!$B$11))/2,IF((($A195-Simulador!$E$6)/Simulador!$G$6)&gt;1-Simulador!$B$11,Simulador!$B$9*(1-COS(PI()*(1-(($A195-Simulador!$E$6)/Simulador!$G$6))/Simulador!$B$11))/2,Simulador!$B$9)))</f>
        <v>0</v>
      </c>
      <c r="D195" s="18">
        <f>IF(OR((($A195-Simulador!$E$7)/Simulador!$G$7)&lt;=0,(($A195-Simulador!$E$7)/Simulador!$G$7)&gt;=1),0,IF((($A195-Simulador!$E$7)/Simulador!$G$7)&lt;Simulador!$B$11,Simulador!$B$9*(1-COS(PI()*(($A195-Simulador!$E$7)/Simulador!$G$7)/Simulador!$B$11))/2,IF((($A195-Simulador!$E$7)/Simulador!$G$7)&gt;1-Simulador!$B$11,Simulador!$B$9*(1-COS(PI()*(1-(($A195-Simulador!$E$7)/Simulador!$G$7))/Simulador!$B$11))/2,Simulador!$B$9)))</f>
        <v>0.17819004063490779</v>
      </c>
      <c r="E195" s="18">
        <f>IF(OR((($A195-Simulador!$E$8)/Simulador!$G$8)&lt;=0,(($A195-Simulador!$E$8)/Simulador!$G$8)&gt;=1),0,IF((($A195-Simulador!$E$8)/Simulador!$G$8)&lt;Simulador!$B$11,Simulador!$B$10*(1-COS(PI()*(($A195-Simulador!$E$8)/Simulador!$G$8)/Simulador!$B$11))/2,IF((($A195-Simulador!$E$8)/Simulador!$G$8)&gt;1-Simulador!$B$11,Simulador!$B$10*(1-COS(PI()*(1-(($A195-Simulador!$E$8)/Simulador!$G$8))/Simulador!$B$11))/2,Simulador!$B$10)))</f>
        <v>5.3192437459141599</v>
      </c>
      <c r="F195" s="18">
        <f>IF(OR((($A195-Simulador!$E$9)/Simulador!$G$9)&lt;=0,(($A195-Simulador!$E$9)/Simulador!$G$9)&gt;=1),0,IF((($A195-Simulador!$E$9)/Simulador!$G$9)&lt;Simulador!$B$11,Simulador!$B$10*(1-COS(PI()*(($A195-Simulador!$E$9)/Simulador!$G$9)/Simulador!$B$11))/2,IF((($A195-Simulador!$E$9)/Simulador!$G$9)&gt;1-Simulador!$B$11,Simulador!$B$10*(1-COS(PI()*(1-(($A195-Simulador!$E$9)/Simulador!$G$9))/Simulador!$B$11))/2,Simulador!$B$10)))</f>
        <v>3.4286623493688984</v>
      </c>
      <c r="G195" s="18">
        <f>IF(OR((($A195-Simulador!$E$10)/Simulador!$G$10)&lt;=0,(($A195-Simulador!$E$10)/Simulador!$G$10)&gt;=1),0,IF((($A195-Simulador!$E$10)/Simulador!$G$10)&lt;Simulador!$B$11,Simulador!$B$10*(1-COS(PI()*(($A195-Simulador!$E$10)/Simulador!$G$10)/Simulador!$B$11))/2,IF((($A195-Simulador!$E$10)/Simulador!$G$10)&gt;1-Simulador!$B$11,Simulador!$B$10*(1-COS(PI()*(1-(($A195-Simulador!$E$10)/Simulador!$G$10))/Simulador!$B$11))/2,Simulador!$B$10)))</f>
        <v>1.7007569475763664</v>
      </c>
    </row>
    <row r="196" spans="1:7" x14ac:dyDescent="0.25">
      <c r="A196" s="17">
        <f>A195+Simulador!$B$14</f>
        <v>388</v>
      </c>
      <c r="B196" s="18">
        <f>IF(OR((($A196-Simulador!$E$5)/Simulador!$G$5)&lt;=0,(($A196-Simulador!$E$5)/Simulador!$G$5)&gt;=1),0,IF((($A196-Simulador!$E$5)/Simulador!$G$5)&lt;Simulador!$B$11,Simulador!$B$9*(1-COS(PI()*(($A196-Simulador!$E$5)/Simulador!$G$5)/Simulador!$B$11))/2,IF((($A196-Simulador!$E$5)/Simulador!$G$5)&gt;1-Simulador!$B$11,Simulador!$B$9*(1-COS(PI()*(1-(($A196-Simulador!$E$5)/Simulador!$G$5))/Simulador!$B$11))/2,Simulador!$B$9)))</f>
        <v>0</v>
      </c>
      <c r="C196" s="18">
        <f>IF(OR((($A196-Simulador!$E$6)/Simulador!$G$6)&lt;=0,(($A196-Simulador!$E$6)/Simulador!$G$6)&gt;=1),0,IF((($A196-Simulador!$E$6)/Simulador!$G$6)&lt;Simulador!$B$11,Simulador!$B$9*(1-COS(PI()*(($A196-Simulador!$E$6)/Simulador!$G$6)/Simulador!$B$11))/2,IF((($A196-Simulador!$E$6)/Simulador!$G$6)&gt;1-Simulador!$B$11,Simulador!$B$9*(1-COS(PI()*(1-(($A196-Simulador!$E$6)/Simulador!$G$6))/Simulador!$B$11))/2,Simulador!$B$9)))</f>
        <v>0</v>
      </c>
      <c r="D196" s="18">
        <f>IF(OR((($A196-Simulador!$E$7)/Simulador!$G$7)&lt;=0,(($A196-Simulador!$E$7)/Simulador!$G$7)&gt;=1),0,IF((($A196-Simulador!$E$7)/Simulador!$G$7)&lt;Simulador!$B$11,Simulador!$B$9*(1-COS(PI()*(($A196-Simulador!$E$7)/Simulador!$G$7)/Simulador!$B$11))/2,IF((($A196-Simulador!$E$7)/Simulador!$G$7)&gt;1-Simulador!$B$11,Simulador!$B$9*(1-COS(PI()*(1-(($A196-Simulador!$E$7)/Simulador!$G$7))/Simulador!$B$11))/2,Simulador!$B$9)))</f>
        <v>0.10806251681241599</v>
      </c>
      <c r="E196" s="18">
        <f>IF(OR((($A196-Simulador!$E$8)/Simulador!$G$8)&lt;=0,(($A196-Simulador!$E$8)/Simulador!$G$8)&gt;=1),0,IF((($A196-Simulador!$E$8)/Simulador!$G$8)&lt;Simulador!$B$11,Simulador!$B$10*(1-COS(PI()*(($A196-Simulador!$E$8)/Simulador!$G$8)/Simulador!$B$11))/2,IF((($A196-Simulador!$E$8)/Simulador!$G$8)&gt;1-Simulador!$B$11,Simulador!$B$10*(1-COS(PI()*(1-(($A196-Simulador!$E$8)/Simulador!$G$8))/Simulador!$B$11))/2,Simulador!$B$10)))</f>
        <v>5.5633222260935264</v>
      </c>
      <c r="F196" s="18">
        <f>IF(OR((($A196-Simulador!$E$9)/Simulador!$G$9)&lt;=0,(($A196-Simulador!$E$9)/Simulador!$G$9)&gt;=1),0,IF((($A196-Simulador!$E$9)/Simulador!$G$9)&lt;Simulador!$B$11,Simulador!$B$10*(1-COS(PI()*(($A196-Simulador!$E$9)/Simulador!$G$9)/Simulador!$B$11))/2,IF((($A196-Simulador!$E$9)/Simulador!$G$9)&gt;1-Simulador!$B$11,Simulador!$B$10*(1-COS(PI()*(1-(($A196-Simulador!$E$9)/Simulador!$G$9))/Simulador!$B$11))/2,Simulador!$B$10)))</f>
        <v>3.6795086202749641</v>
      </c>
      <c r="G196" s="18">
        <f>IF(OR((($A196-Simulador!$E$10)/Simulador!$G$10)&lt;=0,(($A196-Simulador!$E$10)/Simulador!$G$10)&gt;=1),0,IF((($A196-Simulador!$E$10)/Simulador!$G$10)&lt;Simulador!$B$11,Simulador!$B$10*(1-COS(PI()*(($A196-Simulador!$E$10)/Simulador!$G$10)/Simulador!$B$11))/2,IF((($A196-Simulador!$E$10)/Simulador!$G$10)&gt;1-Simulador!$B$11,Simulador!$B$10*(1-COS(PI()*(1-(($A196-Simulador!$E$10)/Simulador!$G$10))/Simulador!$B$11))/2,Simulador!$B$10)))</f>
        <v>1.9086878288285647</v>
      </c>
    </row>
    <row r="197" spans="1:7" x14ac:dyDescent="0.25">
      <c r="A197" s="17">
        <f>A196+Simulador!$B$14</f>
        <v>390</v>
      </c>
      <c r="B197" s="18">
        <f>IF(OR((($A197-Simulador!$E$5)/Simulador!$G$5)&lt;=0,(($A197-Simulador!$E$5)/Simulador!$G$5)&gt;=1),0,IF((($A197-Simulador!$E$5)/Simulador!$G$5)&lt;Simulador!$B$11,Simulador!$B$9*(1-COS(PI()*(($A197-Simulador!$E$5)/Simulador!$G$5)/Simulador!$B$11))/2,IF((($A197-Simulador!$E$5)/Simulador!$G$5)&gt;1-Simulador!$B$11,Simulador!$B$9*(1-COS(PI()*(1-(($A197-Simulador!$E$5)/Simulador!$G$5))/Simulador!$B$11))/2,Simulador!$B$9)))</f>
        <v>0</v>
      </c>
      <c r="C197" s="18">
        <f>IF(OR((($A197-Simulador!$E$6)/Simulador!$G$6)&lt;=0,(($A197-Simulador!$E$6)/Simulador!$G$6)&gt;=1),0,IF((($A197-Simulador!$E$6)/Simulador!$G$6)&lt;Simulador!$B$11,Simulador!$B$9*(1-COS(PI()*(($A197-Simulador!$E$6)/Simulador!$G$6)/Simulador!$B$11))/2,IF((($A197-Simulador!$E$6)/Simulador!$G$6)&gt;1-Simulador!$B$11,Simulador!$B$9*(1-COS(PI()*(1-(($A197-Simulador!$E$6)/Simulador!$G$6))/Simulador!$B$11))/2,Simulador!$B$9)))</f>
        <v>0</v>
      </c>
      <c r="D197" s="18">
        <f>IF(OR((($A197-Simulador!$E$7)/Simulador!$G$7)&lt;=0,(($A197-Simulador!$E$7)/Simulador!$G$7)&gt;=1),0,IF((($A197-Simulador!$E$7)/Simulador!$G$7)&lt;Simulador!$B$11,Simulador!$B$9*(1-COS(PI()*(($A197-Simulador!$E$7)/Simulador!$G$7)/Simulador!$B$11))/2,IF((($A197-Simulador!$E$7)/Simulador!$G$7)&gt;1-Simulador!$B$11,Simulador!$B$9*(1-COS(PI()*(1-(($A197-Simulador!$E$7)/Simulador!$G$7))/Simulador!$B$11))/2,Simulador!$B$9)))</f>
        <v>5.5236874474785841E-2</v>
      </c>
      <c r="E197" s="18">
        <f>IF(OR((($A197-Simulador!$E$8)/Simulador!$G$8)&lt;=0,(($A197-Simulador!$E$8)/Simulador!$G$8)&gt;=1),0,IF((($A197-Simulador!$E$8)/Simulador!$G$8)&lt;Simulador!$B$11,Simulador!$B$10*(1-COS(PI()*(($A197-Simulador!$E$8)/Simulador!$G$8)/Simulador!$B$11))/2,IF((($A197-Simulador!$E$8)/Simulador!$G$8)&gt;1-Simulador!$B$11,Simulador!$B$10*(1-COS(PI()*(1-(($A197-Simulador!$E$8)/Simulador!$G$8))/Simulador!$B$11))/2,Simulador!$B$10)))</f>
        <v>5.8026993535571787</v>
      </c>
      <c r="F197" s="18">
        <f>IF(OR((($A197-Simulador!$E$9)/Simulador!$G$9)&lt;=0,(($A197-Simulador!$E$9)/Simulador!$G$9)&gt;=1),0,IF((($A197-Simulador!$E$9)/Simulador!$G$9)&lt;Simulador!$B$11,Simulador!$B$10*(1-COS(PI()*(($A197-Simulador!$E$9)/Simulador!$G$9)/Simulador!$B$11))/2,IF((($A197-Simulador!$E$9)/Simulador!$G$9)&gt;1-Simulador!$B$11,Simulador!$B$10*(1-COS(PI()*(1-(($A197-Simulador!$E$9)/Simulador!$G$9))/Simulador!$B$11))/2,Simulador!$B$10)))</f>
        <v>3.9323971022576973</v>
      </c>
      <c r="G197" s="18">
        <f>IF(OR((($A197-Simulador!$E$10)/Simulador!$G$10)&lt;=0,(($A197-Simulador!$E$10)/Simulador!$G$10)&gt;=1),0,IF((($A197-Simulador!$E$10)/Simulador!$G$10)&lt;Simulador!$B$11,Simulador!$B$10*(1-COS(PI()*(($A197-Simulador!$E$10)/Simulador!$G$10)/Simulador!$B$11))/2,IF((($A197-Simulador!$E$10)/Simulador!$G$10)&gt;1-Simulador!$B$11,Simulador!$B$10*(1-COS(PI()*(1-(($A197-Simulador!$E$10)/Simulador!$G$10))/Simulador!$B$11))/2,Simulador!$B$10)))</f>
        <v>2.1250000000000004</v>
      </c>
    </row>
    <row r="198" spans="1:7" x14ac:dyDescent="0.25">
      <c r="A198" s="17">
        <f>A197+Simulador!$B$14</f>
        <v>392</v>
      </c>
      <c r="B198" s="18">
        <f>IF(OR((($A198-Simulador!$E$5)/Simulador!$G$5)&lt;=0,(($A198-Simulador!$E$5)/Simulador!$G$5)&gt;=1),0,IF((($A198-Simulador!$E$5)/Simulador!$G$5)&lt;Simulador!$B$11,Simulador!$B$9*(1-COS(PI()*(($A198-Simulador!$E$5)/Simulador!$G$5)/Simulador!$B$11))/2,IF((($A198-Simulador!$E$5)/Simulador!$G$5)&gt;1-Simulador!$B$11,Simulador!$B$9*(1-COS(PI()*(1-(($A198-Simulador!$E$5)/Simulador!$G$5))/Simulador!$B$11))/2,Simulador!$B$9)))</f>
        <v>0</v>
      </c>
      <c r="C198" s="18">
        <f>IF(OR((($A198-Simulador!$E$6)/Simulador!$G$6)&lt;=0,(($A198-Simulador!$E$6)/Simulador!$G$6)&gt;=1),0,IF((($A198-Simulador!$E$6)/Simulador!$G$6)&lt;Simulador!$B$11,Simulador!$B$9*(1-COS(PI()*(($A198-Simulador!$E$6)/Simulador!$G$6)/Simulador!$B$11))/2,IF((($A198-Simulador!$E$6)/Simulador!$G$6)&gt;1-Simulador!$B$11,Simulador!$B$9*(1-COS(PI()*(1-(($A198-Simulador!$E$6)/Simulador!$G$6))/Simulador!$B$11))/2,Simulador!$B$9)))</f>
        <v>0</v>
      </c>
      <c r="D198" s="18">
        <f>IF(OR((($A198-Simulador!$E$7)/Simulador!$G$7)&lt;=0,(($A198-Simulador!$E$7)/Simulador!$G$7)&gt;=1),0,IF((($A198-Simulador!$E$7)/Simulador!$G$7)&lt;Simulador!$B$11,Simulador!$B$9*(1-COS(PI()*(($A198-Simulador!$E$7)/Simulador!$G$7)/Simulador!$B$11))/2,IF((($A198-Simulador!$E$7)/Simulador!$G$7)&gt;1-Simulador!$B$11,Simulador!$B$9*(1-COS(PI()*(1-(($A198-Simulador!$E$7)/Simulador!$G$7))/Simulador!$B$11))/2,Simulador!$B$9)))</f>
        <v>1.9910010501046349E-2</v>
      </c>
      <c r="E198" s="18">
        <f>IF(OR((($A198-Simulador!$E$8)/Simulador!$G$8)&lt;=0,(($A198-Simulador!$E$8)/Simulador!$G$8)&gt;=1),0,IF((($A198-Simulador!$E$8)/Simulador!$G$8)&lt;Simulador!$B$11,Simulador!$B$10*(1-COS(PI()*(($A198-Simulador!$E$8)/Simulador!$G$8)/Simulador!$B$11))/2,IF((($A198-Simulador!$E$8)/Simulador!$G$8)&gt;1-Simulador!$B$11,Simulador!$B$10*(1-COS(PI()*(1-(($A198-Simulador!$E$8)/Simulador!$G$8))/Simulador!$B$11))/2,Simulador!$B$10)))</f>
        <v>6.0365182203156538</v>
      </c>
      <c r="F198" s="18">
        <f>IF(OR((($A198-Simulador!$E$9)/Simulador!$G$9)&lt;=0,(($A198-Simulador!$E$9)/Simulador!$G$9)&gt;=1),0,IF((($A198-Simulador!$E$9)/Simulador!$G$9)&lt;Simulador!$B$11,Simulador!$B$10*(1-COS(PI()*(($A198-Simulador!$E$9)/Simulador!$G$9)/Simulador!$B$11))/2,IF((($A198-Simulador!$E$9)/Simulador!$G$9)&gt;1-Simulador!$B$11,Simulador!$B$10*(1-COS(PI()*(1-(($A198-Simulador!$E$9)/Simulador!$G$9))/Simulador!$B$11))/2,Simulador!$B$10)))</f>
        <v>4.1864225201851291</v>
      </c>
      <c r="G198" s="18">
        <f>IF(OR((($A198-Simulador!$E$10)/Simulador!$G$10)&lt;=0,(($A198-Simulador!$E$10)/Simulador!$G$10)&gt;=1),0,IF((($A198-Simulador!$E$10)/Simulador!$G$10)&lt;Simulador!$B$11,Simulador!$B$10*(1-COS(PI()*(($A198-Simulador!$E$10)/Simulador!$G$10)/Simulador!$B$11))/2,IF((($A198-Simulador!$E$10)/Simulador!$G$10)&gt;1-Simulador!$B$11,Simulador!$B$10*(1-COS(PI()*(1-(($A198-Simulador!$E$10)/Simulador!$G$10))/Simulador!$B$11))/2,Simulador!$B$10)))</f>
        <v>2.3489191196585613</v>
      </c>
    </row>
    <row r="199" spans="1:7" x14ac:dyDescent="0.25">
      <c r="A199" s="17">
        <f>A198+Simulador!$B$14</f>
        <v>394</v>
      </c>
      <c r="B199" s="18">
        <f>IF(OR((($A199-Simulador!$E$5)/Simulador!$G$5)&lt;=0,(($A199-Simulador!$E$5)/Simulador!$G$5)&gt;=1),0,IF((($A199-Simulador!$E$5)/Simulador!$G$5)&lt;Simulador!$B$11,Simulador!$B$9*(1-COS(PI()*(($A199-Simulador!$E$5)/Simulador!$G$5)/Simulador!$B$11))/2,IF((($A199-Simulador!$E$5)/Simulador!$G$5)&gt;1-Simulador!$B$11,Simulador!$B$9*(1-COS(PI()*(1-(($A199-Simulador!$E$5)/Simulador!$G$5))/Simulador!$B$11))/2,Simulador!$B$9)))</f>
        <v>0</v>
      </c>
      <c r="C199" s="18">
        <f>IF(OR((($A199-Simulador!$E$6)/Simulador!$G$6)&lt;=0,(($A199-Simulador!$E$6)/Simulador!$G$6)&gt;=1),0,IF((($A199-Simulador!$E$6)/Simulador!$G$6)&lt;Simulador!$B$11,Simulador!$B$9*(1-COS(PI()*(($A199-Simulador!$E$6)/Simulador!$G$6)/Simulador!$B$11))/2,IF((($A199-Simulador!$E$6)/Simulador!$G$6)&gt;1-Simulador!$B$11,Simulador!$B$9*(1-COS(PI()*(1-(($A199-Simulador!$E$6)/Simulador!$G$6))/Simulador!$B$11))/2,Simulador!$B$9)))</f>
        <v>0</v>
      </c>
      <c r="D199" s="18">
        <f>IF(OR((($A199-Simulador!$E$7)/Simulador!$G$7)&lt;=0,(($A199-Simulador!$E$7)/Simulador!$G$7)&gt;=1),0,IF((($A199-Simulador!$E$7)/Simulador!$G$7)&lt;Simulador!$B$11,Simulador!$B$9*(1-COS(PI()*(($A199-Simulador!$E$7)/Simulador!$G$7)/Simulador!$B$11))/2,IF((($A199-Simulador!$E$7)/Simulador!$G$7)&gt;1-Simulador!$B$11,Simulador!$B$9*(1-COS(PI()*(1-(($A199-Simulador!$E$7)/Simulador!$G$7))/Simulador!$B$11))/2,Simulador!$B$9)))</f>
        <v>2.2135986192304002E-3</v>
      </c>
      <c r="E199" s="18">
        <f>IF(OR((($A199-Simulador!$E$8)/Simulador!$G$8)&lt;=0,(($A199-Simulador!$E$8)/Simulador!$G$8)&gt;=1),0,IF((($A199-Simulador!$E$8)/Simulador!$G$8)&lt;Simulador!$B$11,Simulador!$B$10*(1-COS(PI()*(($A199-Simulador!$E$8)/Simulador!$G$8)/Simulador!$B$11))/2,IF((($A199-Simulador!$E$8)/Simulador!$G$8)&gt;1-Simulador!$B$11,Simulador!$B$10*(1-COS(PI()*(1-(($A199-Simulador!$E$8)/Simulador!$G$8))/Simulador!$B$11))/2,Simulador!$B$10)))</f>
        <v>6.2639418155102442</v>
      </c>
      <c r="F199" s="18">
        <f>IF(OR((($A199-Simulador!$E$9)/Simulador!$G$9)&lt;=0,(($A199-Simulador!$E$9)/Simulador!$G$9)&gt;=1),0,IF((($A199-Simulador!$E$9)/Simulador!$G$9)&lt;Simulador!$B$11,Simulador!$B$10*(1-COS(PI()*(($A199-Simulador!$E$9)/Simulador!$G$9)/Simulador!$B$11))/2,IF((($A199-Simulador!$E$9)/Simulador!$G$9)&gt;1-Simulador!$B$11,Simulador!$B$10*(1-COS(PI()*(1-(($A199-Simulador!$E$9)/Simulador!$G$9))/Simulador!$B$11))/2,Simulador!$B$10)))</f>
        <v>4.4406755289896882</v>
      </c>
      <c r="G199" s="18">
        <f>IF(OR((($A199-Simulador!$E$10)/Simulador!$G$10)&lt;=0,(($A199-Simulador!$E$10)/Simulador!$G$10)&gt;=1),0,IF((($A199-Simulador!$E$10)/Simulador!$G$10)&lt;Simulador!$B$11,Simulador!$B$10*(1-COS(PI()*(($A199-Simulador!$E$10)/Simulador!$G$10)/Simulador!$B$11))/2,IF((($A199-Simulador!$E$10)/Simulador!$G$10)&gt;1-Simulador!$B$11,Simulador!$B$10*(1-COS(PI()*(1-(($A199-Simulador!$E$10)/Simulador!$G$10))/Simulador!$B$11))/2,Simulador!$B$10)))</f>
        <v>2.5796436154708244</v>
      </c>
    </row>
    <row r="200" spans="1:7" x14ac:dyDescent="0.25">
      <c r="A200" s="17">
        <f>A199+Simulador!$B$14</f>
        <v>396</v>
      </c>
      <c r="B200" s="18">
        <f>IF(OR((($A200-Simulador!$E$5)/Simulador!$G$5)&lt;=0,(($A200-Simulador!$E$5)/Simulador!$G$5)&gt;=1),0,IF((($A200-Simulador!$E$5)/Simulador!$G$5)&lt;Simulador!$B$11,Simulador!$B$9*(1-COS(PI()*(($A200-Simulador!$E$5)/Simulador!$G$5)/Simulador!$B$11))/2,IF((($A200-Simulador!$E$5)/Simulador!$G$5)&gt;1-Simulador!$B$11,Simulador!$B$9*(1-COS(PI()*(1-(($A200-Simulador!$E$5)/Simulador!$G$5))/Simulador!$B$11))/2,Simulador!$B$9)))</f>
        <v>0</v>
      </c>
      <c r="C200" s="18">
        <f>IF(OR((($A200-Simulador!$E$6)/Simulador!$G$6)&lt;=0,(($A200-Simulador!$E$6)/Simulador!$G$6)&gt;=1),0,IF((($A200-Simulador!$E$6)/Simulador!$G$6)&lt;Simulador!$B$11,Simulador!$B$9*(1-COS(PI()*(($A200-Simulador!$E$6)/Simulador!$G$6)/Simulador!$B$11))/2,IF((($A200-Simulador!$E$6)/Simulador!$G$6)&gt;1-Simulador!$B$11,Simulador!$B$9*(1-COS(PI()*(1-(($A200-Simulador!$E$6)/Simulador!$G$6))/Simulador!$B$11))/2,Simulador!$B$9)))</f>
        <v>0</v>
      </c>
      <c r="D200" s="18">
        <f>IF(OR((($A200-Simulador!$E$7)/Simulador!$G$7)&lt;=0,(($A200-Simulador!$E$7)/Simulador!$G$7)&gt;=1),0,IF((($A200-Simulador!$E$7)/Simulador!$G$7)&lt;Simulador!$B$11,Simulador!$B$9*(1-COS(PI()*(($A200-Simulador!$E$7)/Simulador!$G$7)/Simulador!$B$11))/2,IF((($A200-Simulador!$E$7)/Simulador!$G$7)&gt;1-Simulador!$B$11,Simulador!$B$9*(1-COS(PI()*(1-(($A200-Simulador!$E$7)/Simulador!$G$7))/Simulador!$B$11))/2,Simulador!$B$9)))</f>
        <v>0</v>
      </c>
      <c r="E200" s="18">
        <f>IF(OR((($A200-Simulador!$E$8)/Simulador!$G$8)&lt;=0,(($A200-Simulador!$E$8)/Simulador!$G$8)&gt;=1),0,IF((($A200-Simulador!$E$8)/Simulador!$G$8)&lt;Simulador!$B$11,Simulador!$B$10*(1-COS(PI()*(($A200-Simulador!$E$8)/Simulador!$G$8)/Simulador!$B$11))/2,IF((($A200-Simulador!$E$8)/Simulador!$G$8)&gt;1-Simulador!$B$11,Simulador!$B$10*(1-COS(PI()*(1-(($A200-Simulador!$E$8)/Simulador!$G$8))/Simulador!$B$11))/2,Simulador!$B$10)))</f>
        <v>6.4841560216946439</v>
      </c>
      <c r="F200" s="18">
        <f>IF(OR((($A200-Simulador!$E$9)/Simulador!$G$9)&lt;=0,(($A200-Simulador!$E$9)/Simulador!$G$9)&gt;=1),0,IF((($A200-Simulador!$E$9)/Simulador!$G$9)&lt;Simulador!$B$11,Simulador!$B$10*(1-COS(PI()*(($A200-Simulador!$E$9)/Simulador!$G$9)/Simulador!$B$11))/2,IF((($A200-Simulador!$E$9)/Simulador!$G$9)&gt;1-Simulador!$B$11,Simulador!$B$10*(1-COS(PI()*(1-(($A200-Simulador!$E$9)/Simulador!$G$9))/Simulador!$B$11))/2,Simulador!$B$10)))</f>
        <v>4.6942459688875262</v>
      </c>
      <c r="G200" s="18">
        <f>IF(OR((($A200-Simulador!$E$10)/Simulador!$G$10)&lt;=0,(($A200-Simulador!$E$10)/Simulador!$G$10)&gt;=1),0,IF((($A200-Simulador!$E$10)/Simulador!$G$10)&lt;Simulador!$B$11,Simulador!$B$10*(1-COS(PI()*(($A200-Simulador!$E$10)/Simulador!$G$10)/Simulador!$B$11))/2,IF((($A200-Simulador!$E$10)/Simulador!$G$10)&gt;1-Simulador!$B$11,Simulador!$B$10*(1-COS(PI()*(1-(($A200-Simulador!$E$10)/Simulador!$G$10))/Simulador!$B$11))/2,Simulador!$B$10)))</f>
        <v>2.8163475536229727</v>
      </c>
    </row>
    <row r="201" spans="1:7" x14ac:dyDescent="0.25">
      <c r="A201" s="17">
        <f>A200+Simulador!$B$14</f>
        <v>398</v>
      </c>
      <c r="B201" s="18">
        <f>IF(OR((($A201-Simulador!$E$5)/Simulador!$G$5)&lt;=0,(($A201-Simulador!$E$5)/Simulador!$G$5)&gt;=1),0,IF((($A201-Simulador!$E$5)/Simulador!$G$5)&lt;Simulador!$B$11,Simulador!$B$9*(1-COS(PI()*(($A201-Simulador!$E$5)/Simulador!$G$5)/Simulador!$B$11))/2,IF((($A201-Simulador!$E$5)/Simulador!$G$5)&gt;1-Simulador!$B$11,Simulador!$B$9*(1-COS(PI()*(1-(($A201-Simulador!$E$5)/Simulador!$G$5))/Simulador!$B$11))/2,Simulador!$B$9)))</f>
        <v>0</v>
      </c>
      <c r="C201" s="18">
        <f>IF(OR((($A201-Simulador!$E$6)/Simulador!$G$6)&lt;=0,(($A201-Simulador!$E$6)/Simulador!$G$6)&gt;=1),0,IF((($A201-Simulador!$E$6)/Simulador!$G$6)&lt;Simulador!$B$11,Simulador!$B$9*(1-COS(PI()*(($A201-Simulador!$E$6)/Simulador!$G$6)/Simulador!$B$11))/2,IF((($A201-Simulador!$E$6)/Simulador!$G$6)&gt;1-Simulador!$B$11,Simulador!$B$9*(1-COS(PI()*(1-(($A201-Simulador!$E$6)/Simulador!$G$6))/Simulador!$B$11))/2,Simulador!$B$9)))</f>
        <v>0</v>
      </c>
      <c r="D201" s="18">
        <f>IF(OR((($A201-Simulador!$E$7)/Simulador!$G$7)&lt;=0,(($A201-Simulador!$E$7)/Simulador!$G$7)&gt;=1),0,IF((($A201-Simulador!$E$7)/Simulador!$G$7)&lt;Simulador!$B$11,Simulador!$B$9*(1-COS(PI()*(($A201-Simulador!$E$7)/Simulador!$G$7)/Simulador!$B$11))/2,IF((($A201-Simulador!$E$7)/Simulador!$G$7)&gt;1-Simulador!$B$11,Simulador!$B$9*(1-COS(PI()*(1-(($A201-Simulador!$E$7)/Simulador!$G$7))/Simulador!$B$11))/2,Simulador!$B$9)))</f>
        <v>0</v>
      </c>
      <c r="E201" s="18">
        <f>IF(OR((($A201-Simulador!$E$8)/Simulador!$G$8)&lt;=0,(($A201-Simulador!$E$8)/Simulador!$G$8)&gt;=1),0,IF((($A201-Simulador!$E$8)/Simulador!$G$8)&lt;Simulador!$B$11,Simulador!$B$10*(1-COS(PI()*(($A201-Simulador!$E$8)/Simulador!$G$8)/Simulador!$B$11))/2,IF((($A201-Simulador!$E$8)/Simulador!$G$8)&gt;1-Simulador!$B$11,Simulador!$B$10*(1-COS(PI()*(1-(($A201-Simulador!$E$8)/Simulador!$G$8))/Simulador!$B$11))/2,Simulador!$B$10)))</f>
        <v>6.6963725291641119</v>
      </c>
      <c r="F201" s="18">
        <f>IF(OR((($A201-Simulador!$E$9)/Simulador!$G$9)&lt;=0,(($A201-Simulador!$E$9)/Simulador!$G$9)&gt;=1),0,IF((($A201-Simulador!$E$9)/Simulador!$G$9)&lt;Simulador!$B$11,Simulador!$B$10*(1-COS(PI()*(($A201-Simulador!$E$9)/Simulador!$G$9)/Simulador!$B$11))/2,IF((($A201-Simulador!$E$9)/Simulador!$G$9)&gt;1-Simulador!$B$11,Simulador!$B$10*(1-COS(PI()*(1-(($A201-Simulador!$E$9)/Simulador!$G$9))/Simulador!$B$11))/2,Simulador!$B$10)))</f>
        <v>4.9462261235143359</v>
      </c>
      <c r="G201" s="18">
        <f>IF(OR((($A201-Simulador!$E$10)/Simulador!$G$10)&lt;=0,(($A201-Simulador!$E$10)/Simulador!$G$10)&gt;=1),0,IF((($A201-Simulador!$E$10)/Simulador!$G$10)&lt;Simulador!$B$11,Simulador!$B$10*(1-COS(PI()*(($A201-Simulador!$E$10)/Simulador!$G$10)/Simulador!$B$11))/2,IF((($A201-Simulador!$E$10)/Simulador!$G$10)&gt;1-Simulador!$B$11,Simulador!$B$10*(1-COS(PI()*(1-(($A201-Simulador!$E$10)/Simulador!$G$10))/Simulador!$B$11))/2,Simulador!$B$10)))</f>
        <v>3.0581835954494876</v>
      </c>
    </row>
    <row r="202" spans="1:7" x14ac:dyDescent="0.25">
      <c r="A202" s="17">
        <f>A201+Simulador!$B$14</f>
        <v>400</v>
      </c>
      <c r="B202" s="18">
        <f>IF(OR((($A202-Simulador!$E$5)/Simulador!$G$5)&lt;=0,(($A202-Simulador!$E$5)/Simulador!$G$5)&gt;=1),0,IF((($A202-Simulador!$E$5)/Simulador!$G$5)&lt;Simulador!$B$11,Simulador!$B$9*(1-COS(PI()*(($A202-Simulador!$E$5)/Simulador!$G$5)/Simulador!$B$11))/2,IF((($A202-Simulador!$E$5)/Simulador!$G$5)&gt;1-Simulador!$B$11,Simulador!$B$9*(1-COS(PI()*(1-(($A202-Simulador!$E$5)/Simulador!$G$5))/Simulador!$B$11))/2,Simulador!$B$9)))</f>
        <v>0</v>
      </c>
      <c r="C202" s="18">
        <f>IF(OR((($A202-Simulador!$E$6)/Simulador!$G$6)&lt;=0,(($A202-Simulador!$E$6)/Simulador!$G$6)&gt;=1),0,IF((($A202-Simulador!$E$6)/Simulador!$G$6)&lt;Simulador!$B$11,Simulador!$B$9*(1-COS(PI()*(($A202-Simulador!$E$6)/Simulador!$G$6)/Simulador!$B$11))/2,IF((($A202-Simulador!$E$6)/Simulador!$G$6)&gt;1-Simulador!$B$11,Simulador!$B$9*(1-COS(PI()*(1-(($A202-Simulador!$E$6)/Simulador!$G$6))/Simulador!$B$11))/2,Simulador!$B$9)))</f>
        <v>0</v>
      </c>
      <c r="D202" s="18">
        <f>IF(OR((($A202-Simulador!$E$7)/Simulador!$G$7)&lt;=0,(($A202-Simulador!$E$7)/Simulador!$G$7)&gt;=1),0,IF((($A202-Simulador!$E$7)/Simulador!$G$7)&lt;Simulador!$B$11,Simulador!$B$9*(1-COS(PI()*(($A202-Simulador!$E$7)/Simulador!$G$7)/Simulador!$B$11))/2,IF((($A202-Simulador!$E$7)/Simulador!$G$7)&gt;1-Simulador!$B$11,Simulador!$B$9*(1-COS(PI()*(1-(($A202-Simulador!$E$7)/Simulador!$G$7))/Simulador!$B$11))/2,Simulador!$B$9)))</f>
        <v>0</v>
      </c>
      <c r="E202" s="18">
        <f>IF(OR((($A202-Simulador!$E$8)/Simulador!$G$8)&lt;=0,(($A202-Simulador!$E$8)/Simulador!$G$8)&gt;=1),0,IF((($A202-Simulador!$E$8)/Simulador!$G$8)&lt;Simulador!$B$11,Simulador!$B$10*(1-COS(PI()*(($A202-Simulador!$E$8)/Simulador!$G$8)/Simulador!$B$11))/2,IF((($A202-Simulador!$E$8)/Simulador!$G$8)&gt;1-Simulador!$B$11,Simulador!$B$10*(1-COS(PI()*(1-(($A202-Simulador!$E$8)/Simulador!$G$8))/Simulador!$B$11))/2,Simulador!$B$10)))</f>
        <v>6.8998316578996164</v>
      </c>
      <c r="F202" s="18">
        <f>IF(OR((($A202-Simulador!$E$9)/Simulador!$G$9)&lt;=0,(($A202-Simulador!$E$9)/Simulador!$G$9)&gt;=1),0,IF((($A202-Simulador!$E$9)/Simulador!$G$9)&lt;Simulador!$B$11,Simulador!$B$10*(1-COS(PI()*(($A202-Simulador!$E$9)/Simulador!$G$9)/Simulador!$B$11))/2,IF((($A202-Simulador!$E$9)/Simulador!$G$9)&gt;1-Simulador!$B$11,Simulador!$B$10*(1-COS(PI()*(1-(($A202-Simulador!$E$9)/Simulador!$G$9))/Simulador!$B$11))/2,Simulador!$B$10)))</f>
        <v>5.1957139693143359</v>
      </c>
      <c r="G202" s="18">
        <f>IF(OR((($A202-Simulador!$E$10)/Simulador!$G$10)&lt;=0,(($A202-Simulador!$E$10)/Simulador!$G$10)&gt;=1),0,IF((($A202-Simulador!$E$10)/Simulador!$G$10)&lt;Simulador!$B$11,Simulador!$B$10*(1-COS(PI()*(($A202-Simulador!$E$10)/Simulador!$G$10)/Simulador!$B$11))/2,IF((($A202-Simulador!$E$10)/Simulador!$G$10)&gt;1-Simulador!$B$11,Simulador!$B$10*(1-COS(PI()*(1-(($A202-Simulador!$E$10)/Simulador!$G$10))/Simulador!$B$11))/2,Simulador!$B$10)))</f>
        <v>3.3042860306856636</v>
      </c>
    </row>
    <row r="203" spans="1:7" x14ac:dyDescent="0.25">
      <c r="A203" s="17">
        <f>A202+Simulador!$B$14</f>
        <v>402</v>
      </c>
      <c r="B203" s="18">
        <f>IF(OR((($A203-Simulador!$E$5)/Simulador!$G$5)&lt;=0,(($A203-Simulador!$E$5)/Simulador!$G$5)&gt;=1),0,IF((($A203-Simulador!$E$5)/Simulador!$G$5)&lt;Simulador!$B$11,Simulador!$B$9*(1-COS(PI()*(($A203-Simulador!$E$5)/Simulador!$G$5)/Simulador!$B$11))/2,IF((($A203-Simulador!$E$5)/Simulador!$G$5)&gt;1-Simulador!$B$11,Simulador!$B$9*(1-COS(PI()*(1-(($A203-Simulador!$E$5)/Simulador!$G$5))/Simulador!$B$11))/2,Simulador!$B$9)))</f>
        <v>0</v>
      </c>
      <c r="C203" s="18">
        <f>IF(OR((($A203-Simulador!$E$6)/Simulador!$G$6)&lt;=0,(($A203-Simulador!$E$6)/Simulador!$G$6)&gt;=1),0,IF((($A203-Simulador!$E$6)/Simulador!$G$6)&lt;Simulador!$B$11,Simulador!$B$9*(1-COS(PI()*(($A203-Simulador!$E$6)/Simulador!$G$6)/Simulador!$B$11))/2,IF((($A203-Simulador!$E$6)/Simulador!$G$6)&gt;1-Simulador!$B$11,Simulador!$B$9*(1-COS(PI()*(1-(($A203-Simulador!$E$6)/Simulador!$G$6))/Simulador!$B$11))/2,Simulador!$B$9)))</f>
        <v>0</v>
      </c>
      <c r="D203" s="18">
        <f>IF(OR((($A203-Simulador!$E$7)/Simulador!$G$7)&lt;=0,(($A203-Simulador!$E$7)/Simulador!$G$7)&gt;=1),0,IF((($A203-Simulador!$E$7)/Simulador!$G$7)&lt;Simulador!$B$11,Simulador!$B$9*(1-COS(PI()*(($A203-Simulador!$E$7)/Simulador!$G$7)/Simulador!$B$11))/2,IF((($A203-Simulador!$E$7)/Simulador!$G$7)&gt;1-Simulador!$B$11,Simulador!$B$9*(1-COS(PI()*(1-(($A203-Simulador!$E$7)/Simulador!$G$7))/Simulador!$B$11))/2,Simulador!$B$9)))</f>
        <v>0</v>
      </c>
      <c r="E203" s="18">
        <f>IF(OR((($A203-Simulador!$E$8)/Simulador!$G$8)&lt;=0,(($A203-Simulador!$E$8)/Simulador!$G$8)&gt;=1),0,IF((($A203-Simulador!$E$8)/Simulador!$G$8)&lt;Simulador!$B$11,Simulador!$B$10*(1-COS(PI()*(($A203-Simulador!$E$8)/Simulador!$G$8)/Simulador!$B$11))/2,IF((($A203-Simulador!$E$8)/Simulador!$G$8)&gt;1-Simulador!$B$11,Simulador!$B$10*(1-COS(PI()*(1-(($A203-Simulador!$E$8)/Simulador!$G$8))/Simulador!$B$11))/2,Simulador!$B$10)))</f>
        <v>7.0938050770251477</v>
      </c>
      <c r="F203" s="18">
        <f>IF(OR((($A203-Simulador!$E$9)/Simulador!$G$9)&lt;=0,(($A203-Simulador!$E$9)/Simulador!$G$9)&gt;=1),0,IF((($A203-Simulador!$E$9)/Simulador!$G$9)&lt;Simulador!$B$11,Simulador!$B$10*(1-COS(PI()*(($A203-Simulador!$E$9)/Simulador!$G$9)/Simulador!$B$11))/2,IF((($A203-Simulador!$E$9)/Simulador!$G$9)&gt;1-Simulador!$B$11,Simulador!$B$10*(1-COS(PI()*(1-(($A203-Simulador!$E$9)/Simulador!$G$9))/Simulador!$B$11))/2,Simulador!$B$10)))</f>
        <v>5.4418164045505106</v>
      </c>
      <c r="G203" s="18">
        <f>IF(OR((($A203-Simulador!$E$10)/Simulador!$G$10)&lt;=0,(($A203-Simulador!$E$10)/Simulador!$G$10)&gt;=1),0,IF((($A203-Simulador!$E$10)/Simulador!$G$10)&lt;Simulador!$B$11,Simulador!$B$10*(1-COS(PI()*(($A203-Simulador!$E$10)/Simulador!$G$10)/Simulador!$B$11))/2,IF((($A203-Simulador!$E$10)/Simulador!$G$10)&gt;1-Simulador!$B$11,Simulador!$B$10*(1-COS(PI()*(1-(($A203-Simulador!$E$10)/Simulador!$G$10))/Simulador!$B$11))/2,Simulador!$B$10)))</f>
        <v>3.5537738764856655</v>
      </c>
    </row>
    <row r="204" spans="1:7" x14ac:dyDescent="0.25">
      <c r="A204" s="17">
        <f>A203+Simulador!$B$14</f>
        <v>404</v>
      </c>
      <c r="B204" s="18">
        <f>IF(OR((($A204-Simulador!$E$5)/Simulador!$G$5)&lt;=0,(($A204-Simulador!$E$5)/Simulador!$G$5)&gt;=1),0,IF((($A204-Simulador!$E$5)/Simulador!$G$5)&lt;Simulador!$B$11,Simulador!$B$9*(1-COS(PI()*(($A204-Simulador!$E$5)/Simulador!$G$5)/Simulador!$B$11))/2,IF((($A204-Simulador!$E$5)/Simulador!$G$5)&gt;1-Simulador!$B$11,Simulador!$B$9*(1-COS(PI()*(1-(($A204-Simulador!$E$5)/Simulador!$G$5))/Simulador!$B$11))/2,Simulador!$B$9)))</f>
        <v>0</v>
      </c>
      <c r="C204" s="18">
        <f>IF(OR((($A204-Simulador!$E$6)/Simulador!$G$6)&lt;=0,(($A204-Simulador!$E$6)/Simulador!$G$6)&gt;=1),0,IF((($A204-Simulador!$E$6)/Simulador!$G$6)&lt;Simulador!$B$11,Simulador!$B$9*(1-COS(PI()*(($A204-Simulador!$E$6)/Simulador!$G$6)/Simulador!$B$11))/2,IF((($A204-Simulador!$E$6)/Simulador!$G$6)&gt;1-Simulador!$B$11,Simulador!$B$9*(1-COS(PI()*(1-(($A204-Simulador!$E$6)/Simulador!$G$6))/Simulador!$B$11))/2,Simulador!$B$9)))</f>
        <v>0</v>
      </c>
      <c r="D204" s="18">
        <f>IF(OR((($A204-Simulador!$E$7)/Simulador!$G$7)&lt;=0,(($A204-Simulador!$E$7)/Simulador!$G$7)&gt;=1),0,IF((($A204-Simulador!$E$7)/Simulador!$G$7)&lt;Simulador!$B$11,Simulador!$B$9*(1-COS(PI()*(($A204-Simulador!$E$7)/Simulador!$G$7)/Simulador!$B$11))/2,IF((($A204-Simulador!$E$7)/Simulador!$G$7)&gt;1-Simulador!$B$11,Simulador!$B$9*(1-COS(PI()*(1-(($A204-Simulador!$E$7)/Simulador!$G$7))/Simulador!$B$11))/2,Simulador!$B$9)))</f>
        <v>0</v>
      </c>
      <c r="E204" s="18">
        <f>IF(OR((($A204-Simulador!$E$8)/Simulador!$G$8)&lt;=0,(($A204-Simulador!$E$8)/Simulador!$G$8)&gt;=1),0,IF((($A204-Simulador!$E$8)/Simulador!$G$8)&lt;Simulador!$B$11,Simulador!$B$10*(1-COS(PI()*(($A204-Simulador!$E$8)/Simulador!$G$8)/Simulador!$B$11))/2,IF((($A204-Simulador!$E$8)/Simulador!$G$8)&gt;1-Simulador!$B$11,Simulador!$B$10*(1-COS(PI()*(1-(($A204-Simulador!$E$8)/Simulador!$G$8))/Simulador!$B$11))/2,Simulador!$B$10)))</f>
        <v>7.2775984120432149</v>
      </c>
      <c r="F204" s="18">
        <f>IF(OR((($A204-Simulador!$E$9)/Simulador!$G$9)&lt;=0,(($A204-Simulador!$E$9)/Simulador!$G$9)&gt;=1),0,IF((($A204-Simulador!$E$9)/Simulador!$G$9)&lt;Simulador!$B$11,Simulador!$B$10*(1-COS(PI()*(($A204-Simulador!$E$9)/Simulador!$G$9)/Simulador!$B$11))/2,IF((($A204-Simulador!$E$9)/Simulador!$G$9)&gt;1-Simulador!$B$11,Simulador!$B$10*(1-COS(PI()*(1-(($A204-Simulador!$E$9)/Simulador!$G$9))/Simulador!$B$11))/2,Simulador!$B$10)))</f>
        <v>5.6836524463770282</v>
      </c>
      <c r="G204" s="18">
        <f>IF(OR((($A204-Simulador!$E$10)/Simulador!$G$10)&lt;=0,(($A204-Simulador!$E$10)/Simulador!$G$10)&gt;=1),0,IF((($A204-Simulador!$E$10)/Simulador!$G$10)&lt;Simulador!$B$11,Simulador!$B$10*(1-COS(PI()*(($A204-Simulador!$E$10)/Simulador!$G$10)/Simulador!$B$11))/2,IF((($A204-Simulador!$E$10)/Simulador!$G$10)&gt;1-Simulador!$B$11,Simulador!$B$10*(1-COS(PI()*(1-(($A204-Simulador!$E$10)/Simulador!$G$10))/Simulador!$B$11))/2,Simulador!$B$10)))</f>
        <v>3.8057540311124729</v>
      </c>
    </row>
    <row r="205" spans="1:7" x14ac:dyDescent="0.25">
      <c r="A205" s="17">
        <f>A204+Simulador!$B$14</f>
        <v>406</v>
      </c>
      <c r="B205" s="18">
        <f>IF(OR((($A205-Simulador!$E$5)/Simulador!$G$5)&lt;=0,(($A205-Simulador!$E$5)/Simulador!$G$5)&gt;=1),0,IF((($A205-Simulador!$E$5)/Simulador!$G$5)&lt;Simulador!$B$11,Simulador!$B$9*(1-COS(PI()*(($A205-Simulador!$E$5)/Simulador!$G$5)/Simulador!$B$11))/2,IF((($A205-Simulador!$E$5)/Simulador!$G$5)&gt;1-Simulador!$B$11,Simulador!$B$9*(1-COS(PI()*(1-(($A205-Simulador!$E$5)/Simulador!$G$5))/Simulador!$B$11))/2,Simulador!$B$9)))</f>
        <v>0</v>
      </c>
      <c r="C205" s="18">
        <f>IF(OR((($A205-Simulador!$E$6)/Simulador!$G$6)&lt;=0,(($A205-Simulador!$E$6)/Simulador!$G$6)&gt;=1),0,IF((($A205-Simulador!$E$6)/Simulador!$G$6)&lt;Simulador!$B$11,Simulador!$B$9*(1-COS(PI()*(($A205-Simulador!$E$6)/Simulador!$G$6)/Simulador!$B$11))/2,IF((($A205-Simulador!$E$6)/Simulador!$G$6)&gt;1-Simulador!$B$11,Simulador!$B$9*(1-COS(PI()*(1-(($A205-Simulador!$E$6)/Simulador!$G$6))/Simulador!$B$11))/2,Simulador!$B$9)))</f>
        <v>0</v>
      </c>
      <c r="D205" s="18">
        <f>IF(OR((($A205-Simulador!$E$7)/Simulador!$G$7)&lt;=0,(($A205-Simulador!$E$7)/Simulador!$G$7)&gt;=1),0,IF((($A205-Simulador!$E$7)/Simulador!$G$7)&lt;Simulador!$B$11,Simulador!$B$9*(1-COS(PI()*(($A205-Simulador!$E$7)/Simulador!$G$7)/Simulador!$B$11))/2,IF((($A205-Simulador!$E$7)/Simulador!$G$7)&gt;1-Simulador!$B$11,Simulador!$B$9*(1-COS(PI()*(1-(($A205-Simulador!$E$7)/Simulador!$G$7))/Simulador!$B$11))/2,Simulador!$B$9)))</f>
        <v>0</v>
      </c>
      <c r="E205" s="18">
        <f>IF(OR((($A205-Simulador!$E$8)/Simulador!$G$8)&lt;=0,(($A205-Simulador!$E$8)/Simulador!$G$8)&gt;=1),0,IF((($A205-Simulador!$E$8)/Simulador!$G$8)&lt;Simulador!$B$11,Simulador!$B$10*(1-COS(PI()*(($A205-Simulador!$E$8)/Simulador!$G$8)/Simulador!$B$11))/2,IF((($A205-Simulador!$E$8)/Simulador!$G$8)&gt;1-Simulador!$B$11,Simulador!$B$10*(1-COS(PI()*(1-(($A205-Simulador!$E$8)/Simulador!$G$8))/Simulador!$B$11))/2,Simulador!$B$10)))</f>
        <v>7.4505537305153462</v>
      </c>
      <c r="F205" s="18">
        <f>IF(OR((($A205-Simulador!$E$9)/Simulador!$G$9)&lt;=0,(($A205-Simulador!$E$9)/Simulador!$G$9)&gt;=1),0,IF((($A205-Simulador!$E$9)/Simulador!$G$9)&lt;Simulador!$B$11,Simulador!$B$10*(1-COS(PI()*(($A205-Simulador!$E$9)/Simulador!$G$9)/Simulador!$B$11))/2,IF((($A205-Simulador!$E$9)/Simulador!$G$9)&gt;1-Simulador!$B$11,Simulador!$B$10*(1-COS(PI()*(1-(($A205-Simulador!$E$9)/Simulador!$G$9))/Simulador!$B$11))/2,Simulador!$B$10)))</f>
        <v>5.9203563845291756</v>
      </c>
      <c r="G205" s="18">
        <f>IF(OR((($A205-Simulador!$E$10)/Simulador!$G$10)&lt;=0,(($A205-Simulador!$E$10)/Simulador!$G$10)&gt;=1),0,IF((($A205-Simulador!$E$10)/Simulador!$G$10)&lt;Simulador!$B$11,Simulador!$B$10*(1-COS(PI()*(($A205-Simulador!$E$10)/Simulador!$G$10)/Simulador!$B$11))/2,IF((($A205-Simulador!$E$10)/Simulador!$G$10)&gt;1-Simulador!$B$11,Simulador!$B$10*(1-COS(PI()*(1-(($A205-Simulador!$E$10)/Simulador!$G$10))/Simulador!$B$11))/2,Simulador!$B$10)))</f>
        <v>4.0593244710103109</v>
      </c>
    </row>
    <row r="206" spans="1:7" x14ac:dyDescent="0.25">
      <c r="A206" s="17">
        <f>A205+Simulador!$B$14</f>
        <v>408</v>
      </c>
      <c r="B206" s="18">
        <f>IF(OR((($A206-Simulador!$E$5)/Simulador!$G$5)&lt;=0,(($A206-Simulador!$E$5)/Simulador!$G$5)&gt;=1),0,IF((($A206-Simulador!$E$5)/Simulador!$G$5)&lt;Simulador!$B$11,Simulador!$B$9*(1-COS(PI()*(($A206-Simulador!$E$5)/Simulador!$G$5)/Simulador!$B$11))/2,IF((($A206-Simulador!$E$5)/Simulador!$G$5)&gt;1-Simulador!$B$11,Simulador!$B$9*(1-COS(PI()*(1-(($A206-Simulador!$E$5)/Simulador!$G$5))/Simulador!$B$11))/2,Simulador!$B$9)))</f>
        <v>0</v>
      </c>
      <c r="C206" s="18">
        <f>IF(OR((($A206-Simulador!$E$6)/Simulador!$G$6)&lt;=0,(($A206-Simulador!$E$6)/Simulador!$G$6)&gt;=1),0,IF((($A206-Simulador!$E$6)/Simulador!$G$6)&lt;Simulador!$B$11,Simulador!$B$9*(1-COS(PI()*(($A206-Simulador!$E$6)/Simulador!$G$6)/Simulador!$B$11))/2,IF((($A206-Simulador!$E$6)/Simulador!$G$6)&gt;1-Simulador!$B$11,Simulador!$B$9*(1-COS(PI()*(1-(($A206-Simulador!$E$6)/Simulador!$G$6))/Simulador!$B$11))/2,Simulador!$B$9)))</f>
        <v>0</v>
      </c>
      <c r="D206" s="18">
        <f>IF(OR((($A206-Simulador!$E$7)/Simulador!$G$7)&lt;=0,(($A206-Simulador!$E$7)/Simulador!$G$7)&gt;=1),0,IF((($A206-Simulador!$E$7)/Simulador!$G$7)&lt;Simulador!$B$11,Simulador!$B$9*(1-COS(PI()*(($A206-Simulador!$E$7)/Simulador!$G$7)/Simulador!$B$11))/2,IF((($A206-Simulador!$E$7)/Simulador!$G$7)&gt;1-Simulador!$B$11,Simulador!$B$9*(1-COS(PI()*(1-(($A206-Simulador!$E$7)/Simulador!$G$7))/Simulador!$B$11))/2,Simulador!$B$9)))</f>
        <v>0</v>
      </c>
      <c r="E206" s="18">
        <f>IF(OR((($A206-Simulador!$E$8)/Simulador!$G$8)&lt;=0,(($A206-Simulador!$E$8)/Simulador!$G$8)&gt;=1),0,IF((($A206-Simulador!$E$8)/Simulador!$G$8)&lt;Simulador!$B$11,Simulador!$B$10*(1-COS(PI()*(($A206-Simulador!$E$8)/Simulador!$G$8)/Simulador!$B$11))/2,IF((($A206-Simulador!$E$8)/Simulador!$G$8)&gt;1-Simulador!$B$11,Simulador!$B$10*(1-COS(PI()*(1-(($A206-Simulador!$E$8)/Simulador!$G$8))/Simulador!$B$11))/2,Simulador!$B$10)))</f>
        <v>7.6120518972894509</v>
      </c>
      <c r="F206" s="18">
        <f>IF(OR((($A206-Simulador!$E$9)/Simulador!$G$9)&lt;=0,(($A206-Simulador!$E$9)/Simulador!$G$9)&gt;=1),0,IF((($A206-Simulador!$E$9)/Simulador!$G$9)&lt;Simulador!$B$11,Simulador!$B$10*(1-COS(PI()*(($A206-Simulador!$E$9)/Simulador!$G$9)/Simulador!$B$11))/2,IF((($A206-Simulador!$E$9)/Simulador!$G$9)&gt;1-Simulador!$B$11,Simulador!$B$10*(1-COS(PI()*(1-(($A206-Simulador!$E$9)/Simulador!$G$9))/Simulador!$B$11))/2,Simulador!$B$10)))</f>
        <v>6.1510808803414392</v>
      </c>
      <c r="G206" s="18">
        <f>IF(OR((($A206-Simulador!$E$10)/Simulador!$G$10)&lt;=0,(($A206-Simulador!$E$10)/Simulador!$G$10)&gt;=1),0,IF((($A206-Simulador!$E$10)/Simulador!$G$10)&lt;Simulador!$B$11,Simulador!$B$10*(1-COS(PI()*(($A206-Simulador!$E$10)/Simulador!$G$10)/Simulador!$B$11))/2,IF((($A206-Simulador!$E$10)/Simulador!$G$10)&gt;1-Simulador!$B$11,Simulador!$B$10*(1-COS(PI()*(1-(($A206-Simulador!$E$10)/Simulador!$G$10))/Simulador!$B$11))/2,Simulador!$B$10)))</f>
        <v>4.3135774798148692</v>
      </c>
    </row>
    <row r="207" spans="1:7" x14ac:dyDescent="0.25">
      <c r="A207" s="17">
        <f>A206+Simulador!$B$14</f>
        <v>410</v>
      </c>
      <c r="B207" s="18">
        <f>IF(OR((($A207-Simulador!$E$5)/Simulador!$G$5)&lt;=0,(($A207-Simulador!$E$5)/Simulador!$G$5)&gt;=1),0,IF((($A207-Simulador!$E$5)/Simulador!$G$5)&lt;Simulador!$B$11,Simulador!$B$9*(1-COS(PI()*(($A207-Simulador!$E$5)/Simulador!$G$5)/Simulador!$B$11))/2,IF((($A207-Simulador!$E$5)/Simulador!$G$5)&gt;1-Simulador!$B$11,Simulador!$B$9*(1-COS(PI()*(1-(($A207-Simulador!$E$5)/Simulador!$G$5))/Simulador!$B$11))/2,Simulador!$B$9)))</f>
        <v>0</v>
      </c>
      <c r="C207" s="18">
        <f>IF(OR((($A207-Simulador!$E$6)/Simulador!$G$6)&lt;=0,(($A207-Simulador!$E$6)/Simulador!$G$6)&gt;=1),0,IF((($A207-Simulador!$E$6)/Simulador!$G$6)&lt;Simulador!$B$11,Simulador!$B$9*(1-COS(PI()*(($A207-Simulador!$E$6)/Simulador!$G$6)/Simulador!$B$11))/2,IF((($A207-Simulador!$E$6)/Simulador!$G$6)&gt;1-Simulador!$B$11,Simulador!$B$9*(1-COS(PI()*(1-(($A207-Simulador!$E$6)/Simulador!$G$6))/Simulador!$B$11))/2,Simulador!$B$9)))</f>
        <v>0</v>
      </c>
      <c r="D207" s="18">
        <f>IF(OR((($A207-Simulador!$E$7)/Simulador!$G$7)&lt;=0,(($A207-Simulador!$E$7)/Simulador!$G$7)&gt;=1),0,IF((($A207-Simulador!$E$7)/Simulador!$G$7)&lt;Simulador!$B$11,Simulador!$B$9*(1-COS(PI()*(($A207-Simulador!$E$7)/Simulador!$G$7)/Simulador!$B$11))/2,IF((($A207-Simulador!$E$7)/Simulador!$G$7)&gt;1-Simulador!$B$11,Simulador!$B$9*(1-COS(PI()*(1-(($A207-Simulador!$E$7)/Simulador!$G$7))/Simulador!$B$11))/2,Simulador!$B$9)))</f>
        <v>0</v>
      </c>
      <c r="E207" s="18">
        <f>IF(OR((($A207-Simulador!$E$8)/Simulador!$G$8)&lt;=0,(($A207-Simulador!$E$8)/Simulador!$G$8)&gt;=1),0,IF((($A207-Simulador!$E$8)/Simulador!$G$8)&lt;Simulador!$B$11,Simulador!$B$10*(1-COS(PI()*(($A207-Simulador!$E$8)/Simulador!$G$8)/Simulador!$B$11))/2,IF((($A207-Simulador!$E$8)/Simulador!$G$8)&gt;1-Simulador!$B$11,Simulador!$B$10*(1-COS(PI()*(1-(($A207-Simulador!$E$8)/Simulador!$G$8))/Simulador!$B$11))/2,Simulador!$B$10)))</f>
        <v>7.7615147908429787</v>
      </c>
      <c r="F207" s="18">
        <f>IF(OR((($A207-Simulador!$E$9)/Simulador!$G$9)&lt;=0,(($A207-Simulador!$E$9)/Simulador!$G$9)&gt;=1),0,IF((($A207-Simulador!$E$9)/Simulador!$G$9)&lt;Simulador!$B$11,Simulador!$B$10*(1-COS(PI()*(($A207-Simulador!$E$9)/Simulador!$G$9)/Simulador!$B$11))/2,IF((($A207-Simulador!$E$9)/Simulador!$G$9)&gt;1-Simulador!$B$11,Simulador!$B$10*(1-COS(PI()*(1-(($A207-Simulador!$E$9)/Simulador!$G$9))/Simulador!$B$11))/2,Simulador!$B$10)))</f>
        <v>6.3750000000000009</v>
      </c>
      <c r="G207" s="18">
        <f>IF(OR((($A207-Simulador!$E$10)/Simulador!$G$10)&lt;=0,(($A207-Simulador!$E$10)/Simulador!$G$10)&gt;=1),0,IF((($A207-Simulador!$E$10)/Simulador!$G$10)&lt;Simulador!$B$11,Simulador!$B$10*(1-COS(PI()*(($A207-Simulador!$E$10)/Simulador!$G$10)/Simulador!$B$11))/2,IF((($A207-Simulador!$E$10)/Simulador!$G$10)&gt;1-Simulador!$B$11,Simulador!$B$10*(1-COS(PI()*(1-(($A207-Simulador!$E$10)/Simulador!$G$10))/Simulador!$B$11))/2,Simulador!$B$10)))</f>
        <v>4.5676028977423035</v>
      </c>
    </row>
    <row r="208" spans="1:7" x14ac:dyDescent="0.25">
      <c r="A208" s="17">
        <f>A207+Simulador!$B$14</f>
        <v>412</v>
      </c>
      <c r="B208" s="18">
        <f>IF(OR((($A208-Simulador!$E$5)/Simulador!$G$5)&lt;=0,(($A208-Simulador!$E$5)/Simulador!$G$5)&gt;=1),0,IF((($A208-Simulador!$E$5)/Simulador!$G$5)&lt;Simulador!$B$11,Simulador!$B$9*(1-COS(PI()*(($A208-Simulador!$E$5)/Simulador!$G$5)/Simulador!$B$11))/2,IF((($A208-Simulador!$E$5)/Simulador!$G$5)&gt;1-Simulador!$B$11,Simulador!$B$9*(1-COS(PI()*(1-(($A208-Simulador!$E$5)/Simulador!$G$5))/Simulador!$B$11))/2,Simulador!$B$9)))</f>
        <v>0</v>
      </c>
      <c r="C208" s="18">
        <f>IF(OR((($A208-Simulador!$E$6)/Simulador!$G$6)&lt;=0,(($A208-Simulador!$E$6)/Simulador!$G$6)&gt;=1),0,IF((($A208-Simulador!$E$6)/Simulador!$G$6)&lt;Simulador!$B$11,Simulador!$B$9*(1-COS(PI()*(($A208-Simulador!$E$6)/Simulador!$G$6)/Simulador!$B$11))/2,IF((($A208-Simulador!$E$6)/Simulador!$G$6)&gt;1-Simulador!$B$11,Simulador!$B$9*(1-COS(PI()*(1-(($A208-Simulador!$E$6)/Simulador!$G$6))/Simulador!$B$11))/2,Simulador!$B$9)))</f>
        <v>0</v>
      </c>
      <c r="D208" s="18">
        <f>IF(OR((($A208-Simulador!$E$7)/Simulador!$G$7)&lt;=0,(($A208-Simulador!$E$7)/Simulador!$G$7)&gt;=1),0,IF((($A208-Simulador!$E$7)/Simulador!$G$7)&lt;Simulador!$B$11,Simulador!$B$9*(1-COS(PI()*(($A208-Simulador!$E$7)/Simulador!$G$7)/Simulador!$B$11))/2,IF((($A208-Simulador!$E$7)/Simulador!$G$7)&gt;1-Simulador!$B$11,Simulador!$B$9*(1-COS(PI()*(1-(($A208-Simulador!$E$7)/Simulador!$G$7))/Simulador!$B$11))/2,Simulador!$B$9)))</f>
        <v>0</v>
      </c>
      <c r="E208" s="18">
        <f>IF(OR((($A208-Simulador!$E$8)/Simulador!$G$8)&lt;=0,(($A208-Simulador!$E$8)/Simulador!$G$8)&gt;=1),0,IF((($A208-Simulador!$E$8)/Simulador!$G$8)&lt;Simulador!$B$11,Simulador!$B$10*(1-COS(PI()*(($A208-Simulador!$E$8)/Simulador!$G$8)/Simulador!$B$11))/2,IF((($A208-Simulador!$E$8)/Simulador!$G$8)&gt;1-Simulador!$B$11,Simulador!$B$10*(1-COS(PI()*(1-(($A208-Simulador!$E$8)/Simulador!$G$8))/Simulador!$B$11))/2,Simulador!$B$10)))</f>
        <v>7.8984073728079309</v>
      </c>
      <c r="F208" s="18">
        <f>IF(OR((($A208-Simulador!$E$9)/Simulador!$G$9)&lt;=0,(($A208-Simulador!$E$9)/Simulador!$G$9)&gt;=1),0,IF((($A208-Simulador!$E$9)/Simulador!$G$9)&lt;Simulador!$B$11,Simulador!$B$10*(1-COS(PI()*(($A208-Simulador!$E$9)/Simulador!$G$9)/Simulador!$B$11))/2,IF((($A208-Simulador!$E$9)/Simulador!$G$9)&gt;1-Simulador!$B$11,Simulador!$B$10*(1-COS(PI()*(1-(($A208-Simulador!$E$9)/Simulador!$G$9))/Simulador!$B$11))/2,Simulador!$B$10)))</f>
        <v>6.5913121711714355</v>
      </c>
      <c r="G208" s="18">
        <f>IF(OR((($A208-Simulador!$E$10)/Simulador!$G$10)&lt;=0,(($A208-Simulador!$E$10)/Simulador!$G$10)&gt;=1),0,IF((($A208-Simulador!$E$10)/Simulador!$G$10)&lt;Simulador!$B$11,Simulador!$B$10*(1-COS(PI()*(($A208-Simulador!$E$10)/Simulador!$G$10)/Simulador!$B$11))/2,IF((($A208-Simulador!$E$10)/Simulador!$G$10)&gt;1-Simulador!$B$11,Simulador!$B$10*(1-COS(PI()*(1-(($A208-Simulador!$E$10)/Simulador!$G$10))/Simulador!$B$11))/2,Simulador!$B$10)))</f>
        <v>4.8204913797250368</v>
      </c>
    </row>
    <row r="209" spans="1:7" x14ac:dyDescent="0.25">
      <c r="A209" s="17">
        <f>A208+Simulador!$B$14</f>
        <v>414</v>
      </c>
      <c r="B209" s="18">
        <f>IF(OR((($A209-Simulador!$E$5)/Simulador!$G$5)&lt;=0,(($A209-Simulador!$E$5)/Simulador!$G$5)&gt;=1),0,IF((($A209-Simulador!$E$5)/Simulador!$G$5)&lt;Simulador!$B$11,Simulador!$B$9*(1-COS(PI()*(($A209-Simulador!$E$5)/Simulador!$G$5)/Simulador!$B$11))/2,IF((($A209-Simulador!$E$5)/Simulador!$G$5)&gt;1-Simulador!$B$11,Simulador!$B$9*(1-COS(PI()*(1-(($A209-Simulador!$E$5)/Simulador!$G$5))/Simulador!$B$11))/2,Simulador!$B$9)))</f>
        <v>0</v>
      </c>
      <c r="C209" s="18">
        <f>IF(OR((($A209-Simulador!$E$6)/Simulador!$G$6)&lt;=0,(($A209-Simulador!$E$6)/Simulador!$G$6)&gt;=1),0,IF((($A209-Simulador!$E$6)/Simulador!$G$6)&lt;Simulador!$B$11,Simulador!$B$9*(1-COS(PI()*(($A209-Simulador!$E$6)/Simulador!$G$6)/Simulador!$B$11))/2,IF((($A209-Simulador!$E$6)/Simulador!$G$6)&gt;1-Simulador!$B$11,Simulador!$B$9*(1-COS(PI()*(1-(($A209-Simulador!$E$6)/Simulador!$G$6))/Simulador!$B$11))/2,Simulador!$B$9)))</f>
        <v>0</v>
      </c>
      <c r="D209" s="18">
        <f>IF(OR((($A209-Simulador!$E$7)/Simulador!$G$7)&lt;=0,(($A209-Simulador!$E$7)/Simulador!$G$7)&gt;=1),0,IF((($A209-Simulador!$E$7)/Simulador!$G$7)&lt;Simulador!$B$11,Simulador!$B$9*(1-COS(PI()*(($A209-Simulador!$E$7)/Simulador!$G$7)/Simulador!$B$11))/2,IF((($A209-Simulador!$E$7)/Simulador!$G$7)&gt;1-Simulador!$B$11,Simulador!$B$9*(1-COS(PI()*(1-(($A209-Simulador!$E$7)/Simulador!$G$7))/Simulador!$B$11))/2,Simulador!$B$9)))</f>
        <v>0</v>
      </c>
      <c r="E209" s="18">
        <f>IF(OR((($A209-Simulador!$E$8)/Simulador!$G$8)&lt;=0,(($A209-Simulador!$E$8)/Simulador!$G$8)&gt;=1),0,IF((($A209-Simulador!$E$8)/Simulador!$G$8)&lt;Simulador!$B$11,Simulador!$B$10*(1-COS(PI()*(($A209-Simulador!$E$8)/Simulador!$G$8)/Simulador!$B$11))/2,IF((($A209-Simulador!$E$8)/Simulador!$G$8)&gt;1-Simulador!$B$11,Simulador!$B$10*(1-COS(PI()*(1-(($A209-Simulador!$E$8)/Simulador!$G$8))/Simulador!$B$11))/2,Simulador!$B$10)))</f>
        <v>8.0222396032693553</v>
      </c>
      <c r="F209" s="18">
        <f>IF(OR((($A209-Simulador!$E$9)/Simulador!$G$9)&lt;=0,(($A209-Simulador!$E$9)/Simulador!$G$9)&gt;=1),0,IF((($A209-Simulador!$E$9)/Simulador!$G$9)&lt;Simulador!$B$11,Simulador!$B$10*(1-COS(PI()*(($A209-Simulador!$E$9)/Simulador!$G$9)/Simulador!$B$11))/2,IF((($A209-Simulador!$E$9)/Simulador!$G$9)&gt;1-Simulador!$B$11,Simulador!$B$10*(1-COS(PI()*(1-(($A209-Simulador!$E$9)/Simulador!$G$9))/Simulador!$B$11))/2,Simulador!$B$10)))</f>
        <v>6.7992430524236331</v>
      </c>
      <c r="G209" s="18">
        <f>IF(OR((($A209-Simulador!$E$10)/Simulador!$G$10)&lt;=0,(($A209-Simulador!$E$10)/Simulador!$G$10)&gt;=1),0,IF((($A209-Simulador!$E$10)/Simulador!$G$10)&lt;Simulador!$B$11,Simulador!$B$10*(1-COS(PI()*(($A209-Simulador!$E$10)/Simulador!$G$10)/Simulador!$B$11))/2,IF((($A209-Simulador!$E$10)/Simulador!$G$10)&gt;1-Simulador!$B$11,Simulador!$B$10*(1-COS(PI()*(1-(($A209-Simulador!$E$10)/Simulador!$G$10))/Simulador!$B$11))/2,Simulador!$B$10)))</f>
        <v>5.0713376506311008</v>
      </c>
    </row>
    <row r="210" spans="1:7" x14ac:dyDescent="0.25">
      <c r="A210" s="17">
        <f>A209+Simulador!$B$14</f>
        <v>416</v>
      </c>
      <c r="B210" s="18">
        <f>IF(OR((($A210-Simulador!$E$5)/Simulador!$G$5)&lt;=0,(($A210-Simulador!$E$5)/Simulador!$G$5)&gt;=1),0,IF((($A210-Simulador!$E$5)/Simulador!$G$5)&lt;Simulador!$B$11,Simulador!$B$9*(1-COS(PI()*(($A210-Simulador!$E$5)/Simulador!$G$5)/Simulador!$B$11))/2,IF((($A210-Simulador!$E$5)/Simulador!$G$5)&gt;1-Simulador!$B$11,Simulador!$B$9*(1-COS(PI()*(1-(($A210-Simulador!$E$5)/Simulador!$G$5))/Simulador!$B$11))/2,Simulador!$B$9)))</f>
        <v>0</v>
      </c>
      <c r="C210" s="18">
        <f>IF(OR((($A210-Simulador!$E$6)/Simulador!$G$6)&lt;=0,(($A210-Simulador!$E$6)/Simulador!$G$6)&gt;=1),0,IF((($A210-Simulador!$E$6)/Simulador!$G$6)&lt;Simulador!$B$11,Simulador!$B$9*(1-COS(PI()*(($A210-Simulador!$E$6)/Simulador!$G$6)/Simulador!$B$11))/2,IF((($A210-Simulador!$E$6)/Simulador!$G$6)&gt;1-Simulador!$B$11,Simulador!$B$9*(1-COS(PI()*(1-(($A210-Simulador!$E$6)/Simulador!$G$6))/Simulador!$B$11))/2,Simulador!$B$9)))</f>
        <v>0</v>
      </c>
      <c r="D210" s="18">
        <f>IF(OR((($A210-Simulador!$E$7)/Simulador!$G$7)&lt;=0,(($A210-Simulador!$E$7)/Simulador!$G$7)&gt;=1),0,IF((($A210-Simulador!$E$7)/Simulador!$G$7)&lt;Simulador!$B$11,Simulador!$B$9*(1-COS(PI()*(($A210-Simulador!$E$7)/Simulador!$G$7)/Simulador!$B$11))/2,IF((($A210-Simulador!$E$7)/Simulador!$G$7)&gt;1-Simulador!$B$11,Simulador!$B$9*(1-COS(PI()*(1-(($A210-Simulador!$E$7)/Simulador!$G$7))/Simulador!$B$11))/2,Simulador!$B$9)))</f>
        <v>0</v>
      </c>
      <c r="E210" s="18">
        <f>IF(OR((($A210-Simulador!$E$8)/Simulador!$G$8)&lt;=0,(($A210-Simulador!$E$8)/Simulador!$G$8)&gt;=1),0,IF((($A210-Simulador!$E$8)/Simulador!$G$8)&lt;Simulador!$B$11,Simulador!$B$10*(1-COS(PI()*(($A210-Simulador!$E$8)/Simulador!$G$8)/Simulador!$B$11))/2,IF((($A210-Simulador!$E$8)/Simulador!$G$8)&gt;1-Simulador!$B$11,Simulador!$B$10*(1-COS(PI()*(1-(($A210-Simulador!$E$8)/Simulador!$G$8))/Simulador!$B$11))/2,Simulador!$B$10)))</f>
        <v>8.1325681949810527</v>
      </c>
      <c r="F210" s="18">
        <f>IF(OR((($A210-Simulador!$E$9)/Simulador!$G$9)&lt;=0,(($A210-Simulador!$E$9)/Simulador!$G$9)&gt;=1),0,IF((($A210-Simulador!$E$9)/Simulador!$G$9)&lt;Simulador!$B$11,Simulador!$B$10*(1-COS(PI()*(($A210-Simulador!$E$9)/Simulador!$G$9)/Simulador!$B$11))/2,IF((($A210-Simulador!$E$9)/Simulador!$G$9)&gt;1-Simulador!$B$11,Simulador!$B$10*(1-COS(PI()*(1-(($A210-Simulador!$E$9)/Simulador!$G$9))/Simulador!$B$11))/2,Simulador!$B$10)))</f>
        <v>6.9980483051671483</v>
      </c>
      <c r="G210" s="18">
        <f>IF(OR((($A210-Simulador!$E$10)/Simulador!$G$10)&lt;=0,(($A210-Simulador!$E$10)/Simulador!$G$10)&gt;=1),0,IF((($A210-Simulador!$E$10)/Simulador!$G$10)&lt;Simulador!$B$11,Simulador!$B$10*(1-COS(PI()*(($A210-Simulador!$E$10)/Simulador!$G$10)/Simulador!$B$11))/2,IF((($A210-Simulador!$E$10)/Simulador!$G$10)&gt;1-Simulador!$B$11,Simulador!$B$10*(1-COS(PI()*(1-(($A210-Simulador!$E$10)/Simulador!$G$10))/Simulador!$B$11))/2,Simulador!$B$10)))</f>
        <v>5.3192437459141599</v>
      </c>
    </row>
    <row r="211" spans="1:7" x14ac:dyDescent="0.25">
      <c r="A211" s="17">
        <f>A210+Simulador!$B$14</f>
        <v>418</v>
      </c>
      <c r="B211" s="18">
        <f>IF(OR((($A211-Simulador!$E$5)/Simulador!$G$5)&lt;=0,(($A211-Simulador!$E$5)/Simulador!$G$5)&gt;=1),0,IF((($A211-Simulador!$E$5)/Simulador!$G$5)&lt;Simulador!$B$11,Simulador!$B$9*(1-COS(PI()*(($A211-Simulador!$E$5)/Simulador!$G$5)/Simulador!$B$11))/2,IF((($A211-Simulador!$E$5)/Simulador!$G$5)&gt;1-Simulador!$B$11,Simulador!$B$9*(1-COS(PI()*(1-(($A211-Simulador!$E$5)/Simulador!$G$5))/Simulador!$B$11))/2,Simulador!$B$9)))</f>
        <v>0</v>
      </c>
      <c r="C211" s="18">
        <f>IF(OR((($A211-Simulador!$E$6)/Simulador!$G$6)&lt;=0,(($A211-Simulador!$E$6)/Simulador!$G$6)&gt;=1),0,IF((($A211-Simulador!$E$6)/Simulador!$G$6)&lt;Simulador!$B$11,Simulador!$B$9*(1-COS(PI()*(($A211-Simulador!$E$6)/Simulador!$G$6)/Simulador!$B$11))/2,IF((($A211-Simulador!$E$6)/Simulador!$G$6)&gt;1-Simulador!$B$11,Simulador!$B$9*(1-COS(PI()*(1-(($A211-Simulador!$E$6)/Simulador!$G$6))/Simulador!$B$11))/2,Simulador!$B$9)))</f>
        <v>0</v>
      </c>
      <c r="D211" s="18">
        <f>IF(OR((($A211-Simulador!$E$7)/Simulador!$G$7)&lt;=0,(($A211-Simulador!$E$7)/Simulador!$G$7)&gt;=1),0,IF((($A211-Simulador!$E$7)/Simulador!$G$7)&lt;Simulador!$B$11,Simulador!$B$9*(1-COS(PI()*(($A211-Simulador!$E$7)/Simulador!$G$7)/Simulador!$B$11))/2,IF((($A211-Simulador!$E$7)/Simulador!$G$7)&gt;1-Simulador!$B$11,Simulador!$B$9*(1-COS(PI()*(1-(($A211-Simulador!$E$7)/Simulador!$G$7))/Simulador!$B$11))/2,Simulador!$B$9)))</f>
        <v>0</v>
      </c>
      <c r="E211" s="18">
        <f>IF(OR((($A211-Simulador!$E$8)/Simulador!$G$8)&lt;=0,(($A211-Simulador!$E$8)/Simulador!$G$8)&gt;=1),0,IF((($A211-Simulador!$E$8)/Simulador!$G$8)&lt;Simulador!$B$11,Simulador!$B$10*(1-COS(PI()*(($A211-Simulador!$E$8)/Simulador!$G$8)/Simulador!$B$11))/2,IF((($A211-Simulador!$E$8)/Simulador!$G$8)&gt;1-Simulador!$B$11,Simulador!$B$10*(1-COS(PI()*(1-(($A211-Simulador!$E$8)/Simulador!$G$8))/Simulador!$B$11))/2,Simulador!$B$10)))</f>
        <v>8.228998200218884</v>
      </c>
      <c r="F211" s="18">
        <f>IF(OR((($A211-Simulador!$E$9)/Simulador!$G$9)&lt;=0,(($A211-Simulador!$E$9)/Simulador!$G$9)&gt;=1),0,IF((($A211-Simulador!$E$9)/Simulador!$G$9)&lt;Simulador!$B$11,Simulador!$B$10*(1-COS(PI()*(($A211-Simulador!$E$9)/Simulador!$G$9)/Simulador!$B$11))/2,IF((($A211-Simulador!$E$9)/Simulador!$G$9)&gt;1-Simulador!$B$11,Simulador!$B$10*(1-COS(PI()*(1-(($A211-Simulador!$E$9)/Simulador!$G$9))/Simulador!$B$11))/2,Simulador!$B$10)))</f>
        <v>7.1870162581941752</v>
      </c>
      <c r="G211" s="18">
        <f>IF(OR((($A211-Simulador!$E$10)/Simulador!$G$10)&lt;=0,(($A211-Simulador!$E$10)/Simulador!$G$10)&gt;=1),0,IF((($A211-Simulador!$E$10)/Simulador!$G$10)&lt;Simulador!$B$11,Simulador!$B$10*(1-COS(PI()*(($A211-Simulador!$E$10)/Simulador!$G$10)/Simulador!$B$11))/2,IF((($A211-Simulador!$E$10)/Simulador!$G$10)&gt;1-Simulador!$B$11,Simulador!$B$10*(1-COS(PI()*(1-(($A211-Simulador!$E$10)/Simulador!$G$10))/Simulador!$B$11))/2,Simulador!$B$10)))</f>
        <v>5.5633222260935264</v>
      </c>
    </row>
    <row r="212" spans="1:7" x14ac:dyDescent="0.25">
      <c r="A212" s="17">
        <f>A211+Simulador!$B$14</f>
        <v>420</v>
      </c>
      <c r="B212" s="18">
        <f>IF(OR((($A212-Simulador!$E$5)/Simulador!$G$5)&lt;=0,(($A212-Simulador!$E$5)/Simulador!$G$5)&gt;=1),0,IF((($A212-Simulador!$E$5)/Simulador!$G$5)&lt;Simulador!$B$11,Simulador!$B$9*(1-COS(PI()*(($A212-Simulador!$E$5)/Simulador!$G$5)/Simulador!$B$11))/2,IF((($A212-Simulador!$E$5)/Simulador!$G$5)&gt;1-Simulador!$B$11,Simulador!$B$9*(1-COS(PI()*(1-(($A212-Simulador!$E$5)/Simulador!$G$5))/Simulador!$B$11))/2,Simulador!$B$9)))</f>
        <v>0</v>
      </c>
      <c r="C212" s="18">
        <f>IF(OR((($A212-Simulador!$E$6)/Simulador!$G$6)&lt;=0,(($A212-Simulador!$E$6)/Simulador!$G$6)&gt;=1),0,IF((($A212-Simulador!$E$6)/Simulador!$G$6)&lt;Simulador!$B$11,Simulador!$B$9*(1-COS(PI()*(($A212-Simulador!$E$6)/Simulador!$G$6)/Simulador!$B$11))/2,IF((($A212-Simulador!$E$6)/Simulador!$G$6)&gt;1-Simulador!$B$11,Simulador!$B$9*(1-COS(PI()*(1-(($A212-Simulador!$E$6)/Simulador!$G$6))/Simulador!$B$11))/2,Simulador!$B$9)))</f>
        <v>0</v>
      </c>
      <c r="D212" s="18">
        <f>IF(OR((($A212-Simulador!$E$7)/Simulador!$G$7)&lt;=0,(($A212-Simulador!$E$7)/Simulador!$G$7)&gt;=1),0,IF((($A212-Simulador!$E$7)/Simulador!$G$7)&lt;Simulador!$B$11,Simulador!$B$9*(1-COS(PI()*(($A212-Simulador!$E$7)/Simulador!$G$7)/Simulador!$B$11))/2,IF((($A212-Simulador!$E$7)/Simulador!$G$7)&gt;1-Simulador!$B$11,Simulador!$B$9*(1-COS(PI()*(1-(($A212-Simulador!$E$7)/Simulador!$G$7))/Simulador!$B$11))/2,Simulador!$B$9)))</f>
        <v>0</v>
      </c>
      <c r="E212" s="18">
        <f>IF(OR((($A212-Simulador!$E$8)/Simulador!$G$8)&lt;=0,(($A212-Simulador!$E$8)/Simulador!$G$8)&gt;=1),0,IF((($A212-Simulador!$E$8)/Simulador!$G$8)&lt;Simulador!$B$11,Simulador!$B$10*(1-COS(PI()*(($A212-Simulador!$E$8)/Simulador!$G$8)/Simulador!$B$11))/2,IF((($A212-Simulador!$E$8)/Simulador!$G$8)&gt;1-Simulador!$B$11,Simulador!$B$10*(1-COS(PI()*(1-(($A212-Simulador!$E$8)/Simulador!$G$8))/Simulador!$B$11))/2,Simulador!$B$10)))</f>
        <v>8.3111844245910973</v>
      </c>
      <c r="F212" s="18">
        <f>IF(OR((($A212-Simulador!$E$9)/Simulador!$G$9)&lt;=0,(($A212-Simulador!$E$9)/Simulador!$G$9)&gt;=1),0,IF((($A212-Simulador!$E$9)/Simulador!$G$9)&lt;Simulador!$B$11,Simulador!$B$10*(1-COS(PI()*(($A212-Simulador!$E$9)/Simulador!$G$9)/Simulador!$B$11))/2,IF((($A212-Simulador!$E$9)/Simulador!$G$9)&gt;1-Simulador!$B$11,Simulador!$B$10*(1-COS(PI()*(1-(($A212-Simulador!$E$9)/Simulador!$G$9))/Simulador!$B$11))/2,Simulador!$B$10)))</f>
        <v>7.3654704552767614</v>
      </c>
      <c r="G212" s="18">
        <f>IF(OR((($A212-Simulador!$E$10)/Simulador!$G$10)&lt;=0,(($A212-Simulador!$E$10)/Simulador!$G$10)&gt;=1),0,IF((($A212-Simulador!$E$10)/Simulador!$G$10)&lt;Simulador!$B$11,Simulador!$B$10*(1-COS(PI()*(($A212-Simulador!$E$10)/Simulador!$G$10)/Simulador!$B$11))/2,IF((($A212-Simulador!$E$10)/Simulador!$G$10)&gt;1-Simulador!$B$11,Simulador!$B$10*(1-COS(PI()*(1-(($A212-Simulador!$E$10)/Simulador!$G$10))/Simulador!$B$11))/2,Simulador!$B$10)))</f>
        <v>5.8026993535571787</v>
      </c>
    </row>
    <row r="213" spans="1:7" x14ac:dyDescent="0.25">
      <c r="A213" s="17">
        <f>A212+Simulador!$B$14</f>
        <v>422</v>
      </c>
      <c r="B213" s="18">
        <f>IF(OR((($A213-Simulador!$E$5)/Simulador!$G$5)&lt;=0,(($A213-Simulador!$E$5)/Simulador!$G$5)&gt;=1),0,IF((($A213-Simulador!$E$5)/Simulador!$G$5)&lt;Simulador!$B$11,Simulador!$B$9*(1-COS(PI()*(($A213-Simulador!$E$5)/Simulador!$G$5)/Simulador!$B$11))/2,IF((($A213-Simulador!$E$5)/Simulador!$G$5)&gt;1-Simulador!$B$11,Simulador!$B$9*(1-COS(PI()*(1-(($A213-Simulador!$E$5)/Simulador!$G$5))/Simulador!$B$11))/2,Simulador!$B$9)))</f>
        <v>0</v>
      </c>
      <c r="C213" s="18">
        <f>IF(OR((($A213-Simulador!$E$6)/Simulador!$G$6)&lt;=0,(($A213-Simulador!$E$6)/Simulador!$G$6)&gt;=1),0,IF((($A213-Simulador!$E$6)/Simulador!$G$6)&lt;Simulador!$B$11,Simulador!$B$9*(1-COS(PI()*(($A213-Simulador!$E$6)/Simulador!$G$6)/Simulador!$B$11))/2,IF((($A213-Simulador!$E$6)/Simulador!$G$6)&gt;1-Simulador!$B$11,Simulador!$B$9*(1-COS(PI()*(1-(($A213-Simulador!$E$6)/Simulador!$G$6))/Simulador!$B$11))/2,Simulador!$B$9)))</f>
        <v>0</v>
      </c>
      <c r="D213" s="18">
        <f>IF(OR((($A213-Simulador!$E$7)/Simulador!$G$7)&lt;=0,(($A213-Simulador!$E$7)/Simulador!$G$7)&gt;=1),0,IF((($A213-Simulador!$E$7)/Simulador!$G$7)&lt;Simulador!$B$11,Simulador!$B$9*(1-COS(PI()*(($A213-Simulador!$E$7)/Simulador!$G$7)/Simulador!$B$11))/2,IF((($A213-Simulador!$E$7)/Simulador!$G$7)&gt;1-Simulador!$B$11,Simulador!$B$9*(1-COS(PI()*(1-(($A213-Simulador!$E$7)/Simulador!$G$7))/Simulador!$B$11))/2,Simulador!$B$9)))</f>
        <v>0</v>
      </c>
      <c r="E213" s="18">
        <f>IF(OR((($A213-Simulador!$E$8)/Simulador!$G$8)&lt;=0,(($A213-Simulador!$E$8)/Simulador!$G$8)&gt;=1),0,IF((($A213-Simulador!$E$8)/Simulador!$G$8)&lt;Simulador!$B$11,Simulador!$B$10*(1-COS(PI()*(($A213-Simulador!$E$8)/Simulador!$G$8)/Simulador!$B$11))/2,IF((($A213-Simulador!$E$8)/Simulador!$G$8)&gt;1-Simulador!$B$11,Simulador!$B$10*(1-COS(PI()*(1-(($A213-Simulador!$E$8)/Simulador!$G$8))/Simulador!$B$11))/2,Simulador!$B$10)))</f>
        <v>8.3788326627446867</v>
      </c>
      <c r="F213" s="18">
        <f>IF(OR((($A213-Simulador!$E$9)/Simulador!$G$9)&lt;=0,(($A213-Simulador!$E$9)/Simulador!$G$9)&gt;=1),0,IF((($A213-Simulador!$E$9)/Simulador!$G$9)&lt;Simulador!$B$11,Simulador!$B$10*(1-COS(PI()*(($A213-Simulador!$E$9)/Simulador!$G$9)/Simulador!$B$11))/2,IF((($A213-Simulador!$E$9)/Simulador!$G$9)&gt;1-Simulador!$B$11,Simulador!$B$10*(1-COS(PI()*(1-(($A213-Simulador!$E$9)/Simulador!$G$9))/Simulador!$B$11))/2,Simulador!$B$10)))</f>
        <v>7.5327720767045481</v>
      </c>
      <c r="G213" s="18">
        <f>IF(OR((($A213-Simulador!$E$10)/Simulador!$G$10)&lt;=0,(($A213-Simulador!$E$10)/Simulador!$G$10)&gt;=1),0,IF((($A213-Simulador!$E$10)/Simulador!$G$10)&lt;Simulador!$B$11,Simulador!$B$10*(1-COS(PI()*(($A213-Simulador!$E$10)/Simulador!$G$10)/Simulador!$B$11))/2,IF((($A213-Simulador!$E$10)/Simulador!$G$10)&gt;1-Simulador!$B$11,Simulador!$B$10*(1-COS(PI()*(1-(($A213-Simulador!$E$10)/Simulador!$G$10))/Simulador!$B$11))/2,Simulador!$B$10)))</f>
        <v>6.0365182203156538</v>
      </c>
    </row>
    <row r="214" spans="1:7" x14ac:dyDescent="0.25">
      <c r="A214" s="17">
        <f>A213+Simulador!$B$14</f>
        <v>424</v>
      </c>
      <c r="B214" s="18">
        <f>IF(OR((($A214-Simulador!$E$5)/Simulador!$G$5)&lt;=0,(($A214-Simulador!$E$5)/Simulador!$G$5)&gt;=1),0,IF((($A214-Simulador!$E$5)/Simulador!$G$5)&lt;Simulador!$B$11,Simulador!$B$9*(1-COS(PI()*(($A214-Simulador!$E$5)/Simulador!$G$5)/Simulador!$B$11))/2,IF((($A214-Simulador!$E$5)/Simulador!$G$5)&gt;1-Simulador!$B$11,Simulador!$B$9*(1-COS(PI()*(1-(($A214-Simulador!$E$5)/Simulador!$G$5))/Simulador!$B$11))/2,Simulador!$B$9)))</f>
        <v>0</v>
      </c>
      <c r="C214" s="18">
        <f>IF(OR((($A214-Simulador!$E$6)/Simulador!$G$6)&lt;=0,(($A214-Simulador!$E$6)/Simulador!$G$6)&gt;=1),0,IF((($A214-Simulador!$E$6)/Simulador!$G$6)&lt;Simulador!$B$11,Simulador!$B$9*(1-COS(PI()*(($A214-Simulador!$E$6)/Simulador!$G$6)/Simulador!$B$11))/2,IF((($A214-Simulador!$E$6)/Simulador!$G$6)&gt;1-Simulador!$B$11,Simulador!$B$9*(1-COS(PI()*(1-(($A214-Simulador!$E$6)/Simulador!$G$6))/Simulador!$B$11))/2,Simulador!$B$9)))</f>
        <v>0</v>
      </c>
      <c r="D214" s="18">
        <f>IF(OR((($A214-Simulador!$E$7)/Simulador!$G$7)&lt;=0,(($A214-Simulador!$E$7)/Simulador!$G$7)&gt;=1),0,IF((($A214-Simulador!$E$7)/Simulador!$G$7)&lt;Simulador!$B$11,Simulador!$B$9*(1-COS(PI()*(($A214-Simulador!$E$7)/Simulador!$G$7)/Simulador!$B$11))/2,IF((($A214-Simulador!$E$7)/Simulador!$G$7)&gt;1-Simulador!$B$11,Simulador!$B$9*(1-COS(PI()*(1-(($A214-Simulador!$E$7)/Simulador!$G$7))/Simulador!$B$11))/2,Simulador!$B$9)))</f>
        <v>0</v>
      </c>
      <c r="E214" s="18">
        <f>IF(OR((($A214-Simulador!$E$8)/Simulador!$G$8)&lt;=0,(($A214-Simulador!$E$8)/Simulador!$G$8)&gt;=1),0,IF((($A214-Simulador!$E$8)/Simulador!$G$8)&lt;Simulador!$B$11,Simulador!$B$10*(1-COS(PI()*(($A214-Simulador!$E$8)/Simulador!$G$8)/Simulador!$B$11))/2,IF((($A214-Simulador!$E$8)/Simulador!$G$8)&gt;1-Simulador!$B$11,Simulador!$B$10*(1-COS(PI()*(1-(($A214-Simulador!$E$8)/Simulador!$G$8))/Simulador!$B$11))/2,Simulador!$B$10)))</f>
        <v>8.4317007515441755</v>
      </c>
      <c r="F214" s="18">
        <f>IF(OR((($A214-Simulador!$E$9)/Simulador!$G$9)&lt;=0,(($A214-Simulador!$E$9)/Simulador!$G$9)&gt;=1),0,IF((($A214-Simulador!$E$9)/Simulador!$G$9)&lt;Simulador!$B$11,Simulador!$B$10*(1-COS(PI()*(($A214-Simulador!$E$9)/Simulador!$G$9)/Simulador!$B$11))/2,IF((($A214-Simulador!$E$9)/Simulador!$G$9)&gt;1-Simulador!$B$11,Simulador!$B$10*(1-COS(PI()*(1-(($A214-Simulador!$E$9)/Simulador!$G$9))/Simulador!$B$11))/2,Simulador!$B$10)))</f>
        <v>7.6883222260935273</v>
      </c>
      <c r="G214" s="18">
        <f>IF(OR((($A214-Simulador!$E$10)/Simulador!$G$10)&lt;=0,(($A214-Simulador!$E$10)/Simulador!$G$10)&gt;=1),0,IF((($A214-Simulador!$E$10)/Simulador!$G$10)&lt;Simulador!$B$11,Simulador!$B$10*(1-COS(PI()*(($A214-Simulador!$E$10)/Simulador!$G$10)/Simulador!$B$11))/2,IF((($A214-Simulador!$E$10)/Simulador!$G$10)&gt;1-Simulador!$B$11,Simulador!$B$10*(1-COS(PI()*(1-(($A214-Simulador!$E$10)/Simulador!$G$10))/Simulador!$B$11))/2,Simulador!$B$10)))</f>
        <v>6.2639418155102442</v>
      </c>
    </row>
    <row r="215" spans="1:7" x14ac:dyDescent="0.25">
      <c r="A215" s="17">
        <f>A214+Simulador!$B$14</f>
        <v>426</v>
      </c>
      <c r="B215" s="18">
        <f>IF(OR((($A215-Simulador!$E$5)/Simulador!$G$5)&lt;=0,(($A215-Simulador!$E$5)/Simulador!$G$5)&gt;=1),0,IF((($A215-Simulador!$E$5)/Simulador!$G$5)&lt;Simulador!$B$11,Simulador!$B$9*(1-COS(PI()*(($A215-Simulador!$E$5)/Simulador!$G$5)/Simulador!$B$11))/2,IF((($A215-Simulador!$E$5)/Simulador!$G$5)&gt;1-Simulador!$B$11,Simulador!$B$9*(1-COS(PI()*(1-(($A215-Simulador!$E$5)/Simulador!$G$5))/Simulador!$B$11))/2,Simulador!$B$9)))</f>
        <v>0</v>
      </c>
      <c r="C215" s="18">
        <f>IF(OR((($A215-Simulador!$E$6)/Simulador!$G$6)&lt;=0,(($A215-Simulador!$E$6)/Simulador!$G$6)&gt;=1),0,IF((($A215-Simulador!$E$6)/Simulador!$G$6)&lt;Simulador!$B$11,Simulador!$B$9*(1-COS(PI()*(($A215-Simulador!$E$6)/Simulador!$G$6)/Simulador!$B$11))/2,IF((($A215-Simulador!$E$6)/Simulador!$G$6)&gt;1-Simulador!$B$11,Simulador!$B$9*(1-COS(PI()*(1-(($A215-Simulador!$E$6)/Simulador!$G$6))/Simulador!$B$11))/2,Simulador!$B$9)))</f>
        <v>0</v>
      </c>
      <c r="D215" s="18">
        <f>IF(OR((($A215-Simulador!$E$7)/Simulador!$G$7)&lt;=0,(($A215-Simulador!$E$7)/Simulador!$G$7)&gt;=1),0,IF((($A215-Simulador!$E$7)/Simulador!$G$7)&lt;Simulador!$B$11,Simulador!$B$9*(1-COS(PI()*(($A215-Simulador!$E$7)/Simulador!$G$7)/Simulador!$B$11))/2,IF((($A215-Simulador!$E$7)/Simulador!$G$7)&gt;1-Simulador!$B$11,Simulador!$B$9*(1-COS(PI()*(1-(($A215-Simulador!$E$7)/Simulador!$G$7))/Simulador!$B$11))/2,Simulador!$B$9)))</f>
        <v>0</v>
      </c>
      <c r="E215" s="18">
        <f>IF(OR((($A215-Simulador!$E$8)/Simulador!$G$8)&lt;=0,(($A215-Simulador!$E$8)/Simulador!$G$8)&gt;=1),0,IF((($A215-Simulador!$E$8)/Simulador!$G$8)&lt;Simulador!$B$11,Simulador!$B$10*(1-COS(PI()*(($A215-Simulador!$E$8)/Simulador!$G$8)/Simulador!$B$11))/2,IF((($A215-Simulador!$E$8)/Simulador!$G$8)&gt;1-Simulador!$B$11,Simulador!$B$10*(1-COS(PI()*(1-(($A215-Simulador!$E$8)/Simulador!$G$8))/Simulador!$B$11))/2,Simulador!$B$10)))</f>
        <v>8.4695994369528087</v>
      </c>
      <c r="F215" s="18">
        <f>IF(OR((($A215-Simulador!$E$9)/Simulador!$G$9)&lt;=0,(($A215-Simulador!$E$9)/Simulador!$G$9)&gt;=1),0,IF((($A215-Simulador!$E$9)/Simulador!$G$9)&lt;Simulador!$B$11,Simulador!$B$10*(1-COS(PI()*(($A215-Simulador!$E$9)/Simulador!$G$9)/Simulador!$B$11))/2,IF((($A215-Simulador!$E$9)/Simulador!$G$9)&gt;1-Simulador!$B$11,Simulador!$B$10*(1-COS(PI()*(1-(($A215-Simulador!$E$9)/Simulador!$G$9))/Simulador!$B$11))/2,Simulador!$B$10)))</f>
        <v>7.8315640742796653</v>
      </c>
      <c r="G215" s="18">
        <f>IF(OR((($A215-Simulador!$E$10)/Simulador!$G$10)&lt;=0,(($A215-Simulador!$E$10)/Simulador!$G$10)&gt;=1),0,IF((($A215-Simulador!$E$10)/Simulador!$G$10)&lt;Simulador!$B$11,Simulador!$B$10*(1-COS(PI()*(($A215-Simulador!$E$10)/Simulador!$G$10)/Simulador!$B$11))/2,IF((($A215-Simulador!$E$10)/Simulador!$G$10)&gt;1-Simulador!$B$11,Simulador!$B$10*(1-COS(PI()*(1-(($A215-Simulador!$E$10)/Simulador!$G$10))/Simulador!$B$11))/2,Simulador!$B$10)))</f>
        <v>6.4841560216946439</v>
      </c>
    </row>
    <row r="216" spans="1:7" x14ac:dyDescent="0.25">
      <c r="A216" s="17">
        <f>A215+Simulador!$B$14</f>
        <v>428</v>
      </c>
      <c r="B216" s="18">
        <f>IF(OR((($A216-Simulador!$E$5)/Simulador!$G$5)&lt;=0,(($A216-Simulador!$E$5)/Simulador!$G$5)&gt;=1),0,IF((($A216-Simulador!$E$5)/Simulador!$G$5)&lt;Simulador!$B$11,Simulador!$B$9*(1-COS(PI()*(($A216-Simulador!$E$5)/Simulador!$G$5)/Simulador!$B$11))/2,IF((($A216-Simulador!$E$5)/Simulador!$G$5)&gt;1-Simulador!$B$11,Simulador!$B$9*(1-COS(PI()*(1-(($A216-Simulador!$E$5)/Simulador!$G$5))/Simulador!$B$11))/2,Simulador!$B$9)))</f>
        <v>0</v>
      </c>
      <c r="C216" s="18">
        <f>IF(OR((($A216-Simulador!$E$6)/Simulador!$G$6)&lt;=0,(($A216-Simulador!$E$6)/Simulador!$G$6)&gt;=1),0,IF((($A216-Simulador!$E$6)/Simulador!$G$6)&lt;Simulador!$B$11,Simulador!$B$9*(1-COS(PI()*(($A216-Simulador!$E$6)/Simulador!$G$6)/Simulador!$B$11))/2,IF((($A216-Simulador!$E$6)/Simulador!$G$6)&gt;1-Simulador!$B$11,Simulador!$B$9*(1-COS(PI()*(1-(($A216-Simulador!$E$6)/Simulador!$G$6))/Simulador!$B$11))/2,Simulador!$B$9)))</f>
        <v>0</v>
      </c>
      <c r="D216" s="18">
        <f>IF(OR((($A216-Simulador!$E$7)/Simulador!$G$7)&lt;=0,(($A216-Simulador!$E$7)/Simulador!$G$7)&gt;=1),0,IF((($A216-Simulador!$E$7)/Simulador!$G$7)&lt;Simulador!$B$11,Simulador!$B$9*(1-COS(PI()*(($A216-Simulador!$E$7)/Simulador!$G$7)/Simulador!$B$11))/2,IF((($A216-Simulador!$E$7)/Simulador!$G$7)&gt;1-Simulador!$B$11,Simulador!$B$9*(1-COS(PI()*(1-(($A216-Simulador!$E$7)/Simulador!$G$7))/Simulador!$B$11))/2,Simulador!$B$9)))</f>
        <v>0</v>
      </c>
      <c r="E216" s="18">
        <f>IF(OR((($A216-Simulador!$E$8)/Simulador!$G$8)&lt;=0,(($A216-Simulador!$E$8)/Simulador!$G$8)&gt;=1),0,IF((($A216-Simulador!$E$8)/Simulador!$G$8)&lt;Simulador!$B$11,Simulador!$B$10*(1-COS(PI()*(($A216-Simulador!$E$8)/Simulador!$G$8)/Simulador!$B$11))/2,IF((($A216-Simulador!$E$8)/Simulador!$G$8)&gt;1-Simulador!$B$11,Simulador!$B$10*(1-COS(PI()*(1-(($A216-Simulador!$E$8)/Simulador!$G$8))/Simulador!$B$11))/2,Simulador!$B$10)))</f>
        <v>8.4923930515128738</v>
      </c>
      <c r="F216" s="18">
        <f>IF(OR((($A216-Simulador!$E$9)/Simulador!$G$9)&lt;=0,(($A216-Simulador!$E$9)/Simulador!$G$9)&gt;=1),0,IF((($A216-Simulador!$E$9)/Simulador!$G$9)&lt;Simulador!$B$11,Simulador!$B$10*(1-COS(PI()*(($A216-Simulador!$E$9)/Simulador!$G$9)/Simulador!$B$11))/2,IF((($A216-Simulador!$E$9)/Simulador!$G$9)&gt;1-Simulador!$B$11,Simulador!$B$10*(1-COS(PI()*(1-(($A216-Simulador!$E$9)/Simulador!$G$9))/Simulador!$B$11))/2,Simulador!$B$10)))</f>
        <v>7.9619848526228001</v>
      </c>
      <c r="G216" s="18">
        <f>IF(OR((($A216-Simulador!$E$10)/Simulador!$G$10)&lt;=0,(($A216-Simulador!$E$10)/Simulador!$G$10)&gt;=1),0,IF((($A216-Simulador!$E$10)/Simulador!$G$10)&lt;Simulador!$B$11,Simulador!$B$10*(1-COS(PI()*(($A216-Simulador!$E$10)/Simulador!$G$10)/Simulador!$B$11))/2,IF((($A216-Simulador!$E$10)/Simulador!$G$10)&gt;1-Simulador!$B$11,Simulador!$B$10*(1-COS(PI()*(1-(($A216-Simulador!$E$10)/Simulador!$G$10))/Simulador!$B$11))/2,Simulador!$B$10)))</f>
        <v>6.6963725291641119</v>
      </c>
    </row>
    <row r="217" spans="1:7" x14ac:dyDescent="0.25">
      <c r="A217" s="17">
        <f>A216+Simulador!$B$14</f>
        <v>430</v>
      </c>
      <c r="B217" s="18">
        <f>IF(OR((($A217-Simulador!$E$5)/Simulador!$G$5)&lt;=0,(($A217-Simulador!$E$5)/Simulador!$G$5)&gt;=1),0,IF((($A217-Simulador!$E$5)/Simulador!$G$5)&lt;Simulador!$B$11,Simulador!$B$9*(1-COS(PI()*(($A217-Simulador!$E$5)/Simulador!$G$5)/Simulador!$B$11))/2,IF((($A217-Simulador!$E$5)/Simulador!$G$5)&gt;1-Simulador!$B$11,Simulador!$B$9*(1-COS(PI()*(1-(($A217-Simulador!$E$5)/Simulador!$G$5))/Simulador!$B$11))/2,Simulador!$B$9)))</f>
        <v>0</v>
      </c>
      <c r="C217" s="18">
        <f>IF(OR((($A217-Simulador!$E$6)/Simulador!$G$6)&lt;=0,(($A217-Simulador!$E$6)/Simulador!$G$6)&gt;=1),0,IF((($A217-Simulador!$E$6)/Simulador!$G$6)&lt;Simulador!$B$11,Simulador!$B$9*(1-COS(PI()*(($A217-Simulador!$E$6)/Simulador!$G$6)/Simulador!$B$11))/2,IF((($A217-Simulador!$E$6)/Simulador!$G$6)&gt;1-Simulador!$B$11,Simulador!$B$9*(1-COS(PI()*(1-(($A217-Simulador!$E$6)/Simulador!$G$6))/Simulador!$B$11))/2,Simulador!$B$9)))</f>
        <v>0</v>
      </c>
      <c r="D217" s="18">
        <f>IF(OR((($A217-Simulador!$E$7)/Simulador!$G$7)&lt;=0,(($A217-Simulador!$E$7)/Simulador!$G$7)&gt;=1),0,IF((($A217-Simulador!$E$7)/Simulador!$G$7)&lt;Simulador!$B$11,Simulador!$B$9*(1-COS(PI()*(($A217-Simulador!$E$7)/Simulador!$G$7)/Simulador!$B$11))/2,IF((($A217-Simulador!$E$7)/Simulador!$G$7)&gt;1-Simulador!$B$11,Simulador!$B$9*(1-COS(PI()*(1-(($A217-Simulador!$E$7)/Simulador!$G$7))/Simulador!$B$11))/2,Simulador!$B$9)))</f>
        <v>0</v>
      </c>
      <c r="E217" s="18">
        <f>IF(OR((($A217-Simulador!$E$8)/Simulador!$G$8)&lt;=0,(($A217-Simulador!$E$8)/Simulador!$G$8)&gt;=1),0,IF((($A217-Simulador!$E$8)/Simulador!$G$8)&lt;Simulador!$B$11,Simulador!$B$10*(1-COS(PI()*(($A217-Simulador!$E$8)/Simulador!$G$8)/Simulador!$B$11))/2,IF((($A217-Simulador!$E$8)/Simulador!$G$8)&gt;1-Simulador!$B$11,Simulador!$B$10*(1-COS(PI()*(1-(($A217-Simulador!$E$8)/Simulador!$G$8))/Simulador!$B$11))/2,Simulador!$B$10)))</f>
        <v>8.5</v>
      </c>
      <c r="F217" s="18">
        <f>IF(OR((($A217-Simulador!$E$9)/Simulador!$G$9)&lt;=0,(($A217-Simulador!$E$9)/Simulador!$G$9)&gt;=1),0,IF((($A217-Simulador!$E$9)/Simulador!$G$9)&lt;Simulador!$B$11,Simulador!$B$10*(1-COS(PI()*(($A217-Simulador!$E$9)/Simulador!$G$9)/Simulador!$B$11))/2,IF((($A217-Simulador!$E$9)/Simulador!$G$9)&gt;1-Simulador!$B$11,Simulador!$B$10*(1-COS(PI()*(1-(($A217-Simulador!$E$9)/Simulador!$G$9))/Simulador!$B$11))/2,Simulador!$B$10)))</f>
        <v>8.0791176885852813</v>
      </c>
      <c r="G217" s="18">
        <f>IF(OR((($A217-Simulador!$E$10)/Simulador!$G$10)&lt;=0,(($A217-Simulador!$E$10)/Simulador!$G$10)&gt;=1),0,IF((($A217-Simulador!$E$10)/Simulador!$G$10)&lt;Simulador!$B$11,Simulador!$B$10*(1-COS(PI()*(($A217-Simulador!$E$10)/Simulador!$G$10)/Simulador!$B$11))/2,IF((($A217-Simulador!$E$10)/Simulador!$G$10)&gt;1-Simulador!$B$11,Simulador!$B$10*(1-COS(PI()*(1-(($A217-Simulador!$E$10)/Simulador!$G$10))/Simulador!$B$11))/2,Simulador!$B$10)))</f>
        <v>6.8998316578996164</v>
      </c>
    </row>
    <row r="218" spans="1:7" x14ac:dyDescent="0.25">
      <c r="A218" s="17">
        <f>A217+Simulador!$B$14</f>
        <v>432</v>
      </c>
      <c r="B218" s="18">
        <f>IF(OR((($A218-Simulador!$E$5)/Simulador!$G$5)&lt;=0,(($A218-Simulador!$E$5)/Simulador!$G$5)&gt;=1),0,IF((($A218-Simulador!$E$5)/Simulador!$G$5)&lt;Simulador!$B$11,Simulador!$B$9*(1-COS(PI()*(($A218-Simulador!$E$5)/Simulador!$G$5)/Simulador!$B$11))/2,IF((($A218-Simulador!$E$5)/Simulador!$G$5)&gt;1-Simulador!$B$11,Simulador!$B$9*(1-COS(PI()*(1-(($A218-Simulador!$E$5)/Simulador!$G$5))/Simulador!$B$11))/2,Simulador!$B$9)))</f>
        <v>0</v>
      </c>
      <c r="C218" s="18">
        <f>IF(OR((($A218-Simulador!$E$6)/Simulador!$G$6)&lt;=0,(($A218-Simulador!$E$6)/Simulador!$G$6)&gt;=1),0,IF((($A218-Simulador!$E$6)/Simulador!$G$6)&lt;Simulador!$B$11,Simulador!$B$9*(1-COS(PI()*(($A218-Simulador!$E$6)/Simulador!$G$6)/Simulador!$B$11))/2,IF((($A218-Simulador!$E$6)/Simulador!$G$6)&gt;1-Simulador!$B$11,Simulador!$B$9*(1-COS(PI()*(1-(($A218-Simulador!$E$6)/Simulador!$G$6))/Simulador!$B$11))/2,Simulador!$B$9)))</f>
        <v>0</v>
      </c>
      <c r="D218" s="18">
        <f>IF(OR((($A218-Simulador!$E$7)/Simulador!$G$7)&lt;=0,(($A218-Simulador!$E$7)/Simulador!$G$7)&gt;=1),0,IF((($A218-Simulador!$E$7)/Simulador!$G$7)&lt;Simulador!$B$11,Simulador!$B$9*(1-COS(PI()*(($A218-Simulador!$E$7)/Simulador!$G$7)/Simulador!$B$11))/2,IF((($A218-Simulador!$E$7)/Simulador!$G$7)&gt;1-Simulador!$B$11,Simulador!$B$9*(1-COS(PI()*(1-(($A218-Simulador!$E$7)/Simulador!$G$7))/Simulador!$B$11))/2,Simulador!$B$9)))</f>
        <v>0</v>
      </c>
      <c r="E218" s="18">
        <f>IF(OR((($A218-Simulador!$E$8)/Simulador!$G$8)&lt;=0,(($A218-Simulador!$E$8)/Simulador!$G$8)&gt;=1),0,IF((($A218-Simulador!$E$8)/Simulador!$G$8)&lt;Simulador!$B$11,Simulador!$B$10*(1-COS(PI()*(($A218-Simulador!$E$8)/Simulador!$G$8)/Simulador!$B$11))/2,IF((($A218-Simulador!$E$8)/Simulador!$G$8)&gt;1-Simulador!$B$11,Simulador!$B$10*(1-COS(PI()*(1-(($A218-Simulador!$E$8)/Simulador!$G$8))/Simulador!$B$11))/2,Simulador!$B$10)))</f>
        <v>8.5</v>
      </c>
      <c r="F218" s="18">
        <f>IF(OR((($A218-Simulador!$E$9)/Simulador!$G$9)&lt;=0,(($A218-Simulador!$E$9)/Simulador!$G$9)&gt;=1),0,IF((($A218-Simulador!$E$9)/Simulador!$G$9)&lt;Simulador!$B$11,Simulador!$B$10*(1-COS(PI()*(($A218-Simulador!$E$9)/Simulador!$G$9)/Simulador!$B$11))/2,IF((($A218-Simulador!$E$9)/Simulador!$G$9)&gt;1-Simulador!$B$11,Simulador!$B$10*(1-COS(PI()*(1-(($A218-Simulador!$E$9)/Simulador!$G$9))/Simulador!$B$11))/2,Simulador!$B$10)))</f>
        <v>8.1825432770144868</v>
      </c>
      <c r="G218" s="18">
        <f>IF(OR((($A218-Simulador!$E$10)/Simulador!$G$10)&lt;=0,(($A218-Simulador!$E$10)/Simulador!$G$10)&gt;=1),0,IF((($A218-Simulador!$E$10)/Simulador!$G$10)&lt;Simulador!$B$11,Simulador!$B$10*(1-COS(PI()*(($A218-Simulador!$E$10)/Simulador!$G$10)/Simulador!$B$11))/2,IF((($A218-Simulador!$E$10)/Simulador!$G$10)&gt;1-Simulador!$B$11,Simulador!$B$10*(1-COS(PI()*(1-(($A218-Simulador!$E$10)/Simulador!$G$10))/Simulador!$B$11))/2,Simulador!$B$10)))</f>
        <v>7.0938050770251477</v>
      </c>
    </row>
    <row r="219" spans="1:7" x14ac:dyDescent="0.25">
      <c r="A219" s="17">
        <f>A218+Simulador!$B$14</f>
        <v>434</v>
      </c>
      <c r="B219" s="18">
        <f>IF(OR((($A219-Simulador!$E$5)/Simulador!$G$5)&lt;=0,(($A219-Simulador!$E$5)/Simulador!$G$5)&gt;=1),0,IF((($A219-Simulador!$E$5)/Simulador!$G$5)&lt;Simulador!$B$11,Simulador!$B$9*(1-COS(PI()*(($A219-Simulador!$E$5)/Simulador!$G$5)/Simulador!$B$11))/2,IF((($A219-Simulador!$E$5)/Simulador!$G$5)&gt;1-Simulador!$B$11,Simulador!$B$9*(1-COS(PI()*(1-(($A219-Simulador!$E$5)/Simulador!$G$5))/Simulador!$B$11))/2,Simulador!$B$9)))</f>
        <v>0</v>
      </c>
      <c r="C219" s="18">
        <f>IF(OR((($A219-Simulador!$E$6)/Simulador!$G$6)&lt;=0,(($A219-Simulador!$E$6)/Simulador!$G$6)&gt;=1),0,IF((($A219-Simulador!$E$6)/Simulador!$G$6)&lt;Simulador!$B$11,Simulador!$B$9*(1-COS(PI()*(($A219-Simulador!$E$6)/Simulador!$G$6)/Simulador!$B$11))/2,IF((($A219-Simulador!$E$6)/Simulador!$G$6)&gt;1-Simulador!$B$11,Simulador!$B$9*(1-COS(PI()*(1-(($A219-Simulador!$E$6)/Simulador!$G$6))/Simulador!$B$11))/2,Simulador!$B$9)))</f>
        <v>0</v>
      </c>
      <c r="D219" s="18">
        <f>IF(OR((($A219-Simulador!$E$7)/Simulador!$G$7)&lt;=0,(($A219-Simulador!$E$7)/Simulador!$G$7)&gt;=1),0,IF((($A219-Simulador!$E$7)/Simulador!$G$7)&lt;Simulador!$B$11,Simulador!$B$9*(1-COS(PI()*(($A219-Simulador!$E$7)/Simulador!$G$7)/Simulador!$B$11))/2,IF((($A219-Simulador!$E$7)/Simulador!$G$7)&gt;1-Simulador!$B$11,Simulador!$B$9*(1-COS(PI()*(1-(($A219-Simulador!$E$7)/Simulador!$G$7))/Simulador!$B$11))/2,Simulador!$B$9)))</f>
        <v>0</v>
      </c>
      <c r="E219" s="18">
        <f>IF(OR((($A219-Simulador!$E$8)/Simulador!$G$8)&lt;=0,(($A219-Simulador!$E$8)/Simulador!$G$8)&gt;=1),0,IF((($A219-Simulador!$E$8)/Simulador!$G$8)&lt;Simulador!$B$11,Simulador!$B$10*(1-COS(PI()*(($A219-Simulador!$E$8)/Simulador!$G$8)/Simulador!$B$11))/2,IF((($A219-Simulador!$E$8)/Simulador!$G$8)&gt;1-Simulador!$B$11,Simulador!$B$10*(1-COS(PI()*(1-(($A219-Simulador!$E$8)/Simulador!$G$8))/Simulador!$B$11))/2,Simulador!$B$10)))</f>
        <v>8.5</v>
      </c>
      <c r="F219" s="18">
        <f>IF(OR((($A219-Simulador!$E$9)/Simulador!$G$9)&lt;=0,(($A219-Simulador!$E$9)/Simulador!$G$9)&gt;=1),0,IF((($A219-Simulador!$E$9)/Simulador!$G$9)&lt;Simulador!$B$11,Simulador!$B$10*(1-COS(PI()*(($A219-Simulador!$E$9)/Simulador!$G$9)/Simulador!$B$11))/2,IF((($A219-Simulador!$E$9)/Simulador!$G$9)&gt;1-Simulador!$B$11,Simulador!$B$10*(1-COS(PI()*(1-(($A219-Simulador!$E$9)/Simulador!$G$9))/Simulador!$B$11))/2,Simulador!$B$10)))</f>
        <v>8.2718913811464478</v>
      </c>
      <c r="G219" s="18">
        <f>IF(OR((($A219-Simulador!$E$10)/Simulador!$G$10)&lt;=0,(($A219-Simulador!$E$10)/Simulador!$G$10)&gt;=1),0,IF((($A219-Simulador!$E$10)/Simulador!$G$10)&lt;Simulador!$B$11,Simulador!$B$10*(1-COS(PI()*(($A219-Simulador!$E$10)/Simulador!$G$10)/Simulador!$B$11))/2,IF((($A219-Simulador!$E$10)/Simulador!$G$10)&gt;1-Simulador!$B$11,Simulador!$B$10*(1-COS(PI()*(1-(($A219-Simulador!$E$10)/Simulador!$G$10))/Simulador!$B$11))/2,Simulador!$B$10)))</f>
        <v>7.2775984120432149</v>
      </c>
    </row>
    <row r="220" spans="1:7" x14ac:dyDescent="0.25">
      <c r="A220" s="17">
        <f>A219+Simulador!$B$14</f>
        <v>436</v>
      </c>
      <c r="B220" s="18">
        <f>IF(OR((($A220-Simulador!$E$5)/Simulador!$G$5)&lt;=0,(($A220-Simulador!$E$5)/Simulador!$G$5)&gt;=1),0,IF((($A220-Simulador!$E$5)/Simulador!$G$5)&lt;Simulador!$B$11,Simulador!$B$9*(1-COS(PI()*(($A220-Simulador!$E$5)/Simulador!$G$5)/Simulador!$B$11))/2,IF((($A220-Simulador!$E$5)/Simulador!$G$5)&gt;1-Simulador!$B$11,Simulador!$B$9*(1-COS(PI()*(1-(($A220-Simulador!$E$5)/Simulador!$G$5))/Simulador!$B$11))/2,Simulador!$B$9)))</f>
        <v>0</v>
      </c>
      <c r="C220" s="18">
        <f>IF(OR((($A220-Simulador!$E$6)/Simulador!$G$6)&lt;=0,(($A220-Simulador!$E$6)/Simulador!$G$6)&gt;=1),0,IF((($A220-Simulador!$E$6)/Simulador!$G$6)&lt;Simulador!$B$11,Simulador!$B$9*(1-COS(PI()*(($A220-Simulador!$E$6)/Simulador!$G$6)/Simulador!$B$11))/2,IF((($A220-Simulador!$E$6)/Simulador!$G$6)&gt;1-Simulador!$B$11,Simulador!$B$9*(1-COS(PI()*(1-(($A220-Simulador!$E$6)/Simulador!$G$6))/Simulador!$B$11))/2,Simulador!$B$9)))</f>
        <v>0</v>
      </c>
      <c r="D220" s="18">
        <f>IF(OR((($A220-Simulador!$E$7)/Simulador!$G$7)&lt;=0,(($A220-Simulador!$E$7)/Simulador!$G$7)&gt;=1),0,IF((($A220-Simulador!$E$7)/Simulador!$G$7)&lt;Simulador!$B$11,Simulador!$B$9*(1-COS(PI()*(($A220-Simulador!$E$7)/Simulador!$G$7)/Simulador!$B$11))/2,IF((($A220-Simulador!$E$7)/Simulador!$G$7)&gt;1-Simulador!$B$11,Simulador!$B$9*(1-COS(PI()*(1-(($A220-Simulador!$E$7)/Simulador!$G$7))/Simulador!$B$11))/2,Simulador!$B$9)))</f>
        <v>0</v>
      </c>
      <c r="E220" s="18">
        <f>IF(OR((($A220-Simulador!$E$8)/Simulador!$G$8)&lt;=0,(($A220-Simulador!$E$8)/Simulador!$G$8)&gt;=1),0,IF((($A220-Simulador!$E$8)/Simulador!$G$8)&lt;Simulador!$B$11,Simulador!$B$10*(1-COS(PI()*(($A220-Simulador!$E$8)/Simulador!$G$8)/Simulador!$B$11))/2,IF((($A220-Simulador!$E$8)/Simulador!$G$8)&gt;1-Simulador!$B$11,Simulador!$B$10*(1-COS(PI()*(1-(($A220-Simulador!$E$8)/Simulador!$G$8))/Simulador!$B$11))/2,Simulador!$B$10)))</f>
        <v>8.5</v>
      </c>
      <c r="F220" s="18">
        <f>IF(OR((($A220-Simulador!$E$9)/Simulador!$G$9)&lt;=0,(($A220-Simulador!$E$9)/Simulador!$G$9)&gt;=1),0,IF((($A220-Simulador!$E$9)/Simulador!$G$9)&lt;Simulador!$B$11,Simulador!$B$10*(1-COS(PI()*(($A220-Simulador!$E$9)/Simulador!$G$9)/Simulador!$B$11))/2,IF((($A220-Simulador!$E$9)/Simulador!$G$9)&gt;1-Simulador!$B$11,Simulador!$B$10*(1-COS(PI()*(1-(($A220-Simulador!$E$9)/Simulador!$G$9))/Simulador!$B$11))/2,Simulador!$B$10)))</f>
        <v>8.3468421579573757</v>
      </c>
      <c r="G220" s="18">
        <f>IF(OR((($A220-Simulador!$E$10)/Simulador!$G$10)&lt;=0,(($A220-Simulador!$E$10)/Simulador!$G$10)&gt;=1),0,IF((($A220-Simulador!$E$10)/Simulador!$G$10)&lt;Simulador!$B$11,Simulador!$B$10*(1-COS(PI()*(($A220-Simulador!$E$10)/Simulador!$G$10)/Simulador!$B$11))/2,IF((($A220-Simulador!$E$10)/Simulador!$G$10)&gt;1-Simulador!$B$11,Simulador!$B$10*(1-COS(PI()*(1-(($A220-Simulador!$E$10)/Simulador!$G$10))/Simulador!$B$11))/2,Simulador!$B$10)))</f>
        <v>7.4505537305153462</v>
      </c>
    </row>
    <row r="221" spans="1:7" x14ac:dyDescent="0.25">
      <c r="A221" s="17">
        <f>A220+Simulador!$B$14</f>
        <v>438</v>
      </c>
      <c r="B221" s="18">
        <f>IF(OR((($A221-Simulador!$E$5)/Simulador!$G$5)&lt;=0,(($A221-Simulador!$E$5)/Simulador!$G$5)&gt;=1),0,IF((($A221-Simulador!$E$5)/Simulador!$G$5)&lt;Simulador!$B$11,Simulador!$B$9*(1-COS(PI()*(($A221-Simulador!$E$5)/Simulador!$G$5)/Simulador!$B$11))/2,IF((($A221-Simulador!$E$5)/Simulador!$G$5)&gt;1-Simulador!$B$11,Simulador!$B$9*(1-COS(PI()*(1-(($A221-Simulador!$E$5)/Simulador!$G$5))/Simulador!$B$11))/2,Simulador!$B$9)))</f>
        <v>0</v>
      </c>
      <c r="C221" s="18">
        <f>IF(OR((($A221-Simulador!$E$6)/Simulador!$G$6)&lt;=0,(($A221-Simulador!$E$6)/Simulador!$G$6)&gt;=1),0,IF((($A221-Simulador!$E$6)/Simulador!$G$6)&lt;Simulador!$B$11,Simulador!$B$9*(1-COS(PI()*(($A221-Simulador!$E$6)/Simulador!$G$6)/Simulador!$B$11))/2,IF((($A221-Simulador!$E$6)/Simulador!$G$6)&gt;1-Simulador!$B$11,Simulador!$B$9*(1-COS(PI()*(1-(($A221-Simulador!$E$6)/Simulador!$G$6))/Simulador!$B$11))/2,Simulador!$B$9)))</f>
        <v>0</v>
      </c>
      <c r="D221" s="18">
        <f>IF(OR((($A221-Simulador!$E$7)/Simulador!$G$7)&lt;=0,(($A221-Simulador!$E$7)/Simulador!$G$7)&gt;=1),0,IF((($A221-Simulador!$E$7)/Simulador!$G$7)&lt;Simulador!$B$11,Simulador!$B$9*(1-COS(PI()*(($A221-Simulador!$E$7)/Simulador!$G$7)/Simulador!$B$11))/2,IF((($A221-Simulador!$E$7)/Simulador!$G$7)&gt;1-Simulador!$B$11,Simulador!$B$9*(1-COS(PI()*(1-(($A221-Simulador!$E$7)/Simulador!$G$7))/Simulador!$B$11))/2,Simulador!$B$9)))</f>
        <v>0</v>
      </c>
      <c r="E221" s="18">
        <f>IF(OR((($A221-Simulador!$E$8)/Simulador!$G$8)&lt;=0,(($A221-Simulador!$E$8)/Simulador!$G$8)&gt;=1),0,IF((($A221-Simulador!$E$8)/Simulador!$G$8)&lt;Simulador!$B$11,Simulador!$B$10*(1-COS(PI()*(($A221-Simulador!$E$8)/Simulador!$G$8)/Simulador!$B$11))/2,IF((($A221-Simulador!$E$8)/Simulador!$G$8)&gt;1-Simulador!$B$11,Simulador!$B$10*(1-COS(PI()*(1-(($A221-Simulador!$E$8)/Simulador!$G$8))/Simulador!$B$11))/2,Simulador!$B$10)))</f>
        <v>8.5</v>
      </c>
      <c r="F221" s="18">
        <f>IF(OR((($A221-Simulador!$E$9)/Simulador!$G$9)&lt;=0,(($A221-Simulador!$E$9)/Simulador!$G$9)&gt;=1),0,IF((($A221-Simulador!$E$9)/Simulador!$G$9)&lt;Simulador!$B$11,Simulador!$B$10*(1-COS(PI()*(($A221-Simulador!$E$9)/Simulador!$G$9)/Simulador!$B$11))/2,IF((($A221-Simulador!$E$9)/Simulador!$G$9)&gt;1-Simulador!$B$11,Simulador!$B$10*(1-COS(PI()*(1-(($A221-Simulador!$E$9)/Simulador!$G$9))/Simulador!$B$11))/2,Simulador!$B$10)))</f>
        <v>8.4071273031186742</v>
      </c>
      <c r="G221" s="18">
        <f>IF(OR((($A221-Simulador!$E$10)/Simulador!$G$10)&lt;=0,(($A221-Simulador!$E$10)/Simulador!$G$10)&gt;=1),0,IF((($A221-Simulador!$E$10)/Simulador!$G$10)&lt;Simulador!$B$11,Simulador!$B$10*(1-COS(PI()*(($A221-Simulador!$E$10)/Simulador!$G$10)/Simulador!$B$11))/2,IF((($A221-Simulador!$E$10)/Simulador!$G$10)&gt;1-Simulador!$B$11,Simulador!$B$10*(1-COS(PI()*(1-(($A221-Simulador!$E$10)/Simulador!$G$10))/Simulador!$B$11))/2,Simulador!$B$10)))</f>
        <v>7.6120518972894509</v>
      </c>
    </row>
    <row r="222" spans="1:7" x14ac:dyDescent="0.25">
      <c r="A222" s="17">
        <f>A221+Simulador!$B$14</f>
        <v>440</v>
      </c>
      <c r="B222" s="18">
        <f>IF(OR((($A222-Simulador!$E$5)/Simulador!$G$5)&lt;=0,(($A222-Simulador!$E$5)/Simulador!$G$5)&gt;=1),0,IF((($A222-Simulador!$E$5)/Simulador!$G$5)&lt;Simulador!$B$11,Simulador!$B$9*(1-COS(PI()*(($A222-Simulador!$E$5)/Simulador!$G$5)/Simulador!$B$11))/2,IF((($A222-Simulador!$E$5)/Simulador!$G$5)&gt;1-Simulador!$B$11,Simulador!$B$9*(1-COS(PI()*(1-(($A222-Simulador!$E$5)/Simulador!$G$5))/Simulador!$B$11))/2,Simulador!$B$9)))</f>
        <v>0</v>
      </c>
      <c r="C222" s="18">
        <f>IF(OR((($A222-Simulador!$E$6)/Simulador!$G$6)&lt;=0,(($A222-Simulador!$E$6)/Simulador!$G$6)&gt;=1),0,IF((($A222-Simulador!$E$6)/Simulador!$G$6)&lt;Simulador!$B$11,Simulador!$B$9*(1-COS(PI()*(($A222-Simulador!$E$6)/Simulador!$G$6)/Simulador!$B$11))/2,IF((($A222-Simulador!$E$6)/Simulador!$G$6)&gt;1-Simulador!$B$11,Simulador!$B$9*(1-COS(PI()*(1-(($A222-Simulador!$E$6)/Simulador!$G$6))/Simulador!$B$11))/2,Simulador!$B$9)))</f>
        <v>0</v>
      </c>
      <c r="D222" s="18">
        <f>IF(OR((($A222-Simulador!$E$7)/Simulador!$G$7)&lt;=0,(($A222-Simulador!$E$7)/Simulador!$G$7)&gt;=1),0,IF((($A222-Simulador!$E$7)/Simulador!$G$7)&lt;Simulador!$B$11,Simulador!$B$9*(1-COS(PI()*(($A222-Simulador!$E$7)/Simulador!$G$7)/Simulador!$B$11))/2,IF((($A222-Simulador!$E$7)/Simulador!$G$7)&gt;1-Simulador!$B$11,Simulador!$B$9*(1-COS(PI()*(1-(($A222-Simulador!$E$7)/Simulador!$G$7))/Simulador!$B$11))/2,Simulador!$B$9)))</f>
        <v>0</v>
      </c>
      <c r="E222" s="18">
        <f>IF(OR((($A222-Simulador!$E$8)/Simulador!$G$8)&lt;=0,(($A222-Simulador!$E$8)/Simulador!$G$8)&gt;=1),0,IF((($A222-Simulador!$E$8)/Simulador!$G$8)&lt;Simulador!$B$11,Simulador!$B$10*(1-COS(PI()*(($A222-Simulador!$E$8)/Simulador!$G$8)/Simulador!$B$11))/2,IF((($A222-Simulador!$E$8)/Simulador!$G$8)&gt;1-Simulador!$B$11,Simulador!$B$10*(1-COS(PI()*(1-(($A222-Simulador!$E$8)/Simulador!$G$8))/Simulador!$B$11))/2,Simulador!$B$10)))</f>
        <v>8.5</v>
      </c>
      <c r="F222" s="18">
        <f>IF(OR((($A222-Simulador!$E$9)/Simulador!$G$9)&lt;=0,(($A222-Simulador!$E$9)/Simulador!$G$9)&gt;=1),0,IF((($A222-Simulador!$E$9)/Simulador!$G$9)&lt;Simulador!$B$11,Simulador!$B$10*(1-COS(PI()*(($A222-Simulador!$E$9)/Simulador!$G$9)/Simulador!$B$11))/2,IF((($A222-Simulador!$E$9)/Simulador!$G$9)&gt;1-Simulador!$B$11,Simulador!$B$10*(1-COS(PI()*(1-(($A222-Simulador!$E$9)/Simulador!$G$9))/Simulador!$B$11))/2,Simulador!$B$10)))</f>
        <v>8.4525310114567951</v>
      </c>
      <c r="G222" s="18">
        <f>IF(OR((($A222-Simulador!$E$10)/Simulador!$G$10)&lt;=0,(($A222-Simulador!$E$10)/Simulador!$G$10)&gt;=1),0,IF((($A222-Simulador!$E$10)/Simulador!$G$10)&lt;Simulador!$B$11,Simulador!$B$10*(1-COS(PI()*(($A222-Simulador!$E$10)/Simulador!$G$10)/Simulador!$B$11))/2,IF((($A222-Simulador!$E$10)/Simulador!$G$10)&gt;1-Simulador!$B$11,Simulador!$B$10*(1-COS(PI()*(1-(($A222-Simulador!$E$10)/Simulador!$G$10))/Simulador!$B$11))/2,Simulador!$B$10)))</f>
        <v>7.7615147908429787</v>
      </c>
    </row>
    <row r="223" spans="1:7" x14ac:dyDescent="0.25">
      <c r="A223" s="17">
        <f>A222+Simulador!$B$14</f>
        <v>442</v>
      </c>
      <c r="B223" s="18">
        <f>IF(OR((($A223-Simulador!$E$5)/Simulador!$G$5)&lt;=0,(($A223-Simulador!$E$5)/Simulador!$G$5)&gt;=1),0,IF((($A223-Simulador!$E$5)/Simulador!$G$5)&lt;Simulador!$B$11,Simulador!$B$9*(1-COS(PI()*(($A223-Simulador!$E$5)/Simulador!$G$5)/Simulador!$B$11))/2,IF((($A223-Simulador!$E$5)/Simulador!$G$5)&gt;1-Simulador!$B$11,Simulador!$B$9*(1-COS(PI()*(1-(($A223-Simulador!$E$5)/Simulador!$G$5))/Simulador!$B$11))/2,Simulador!$B$9)))</f>
        <v>0</v>
      </c>
      <c r="C223" s="18">
        <f>IF(OR((($A223-Simulador!$E$6)/Simulador!$G$6)&lt;=0,(($A223-Simulador!$E$6)/Simulador!$G$6)&gt;=1),0,IF((($A223-Simulador!$E$6)/Simulador!$G$6)&lt;Simulador!$B$11,Simulador!$B$9*(1-COS(PI()*(($A223-Simulador!$E$6)/Simulador!$G$6)/Simulador!$B$11))/2,IF((($A223-Simulador!$E$6)/Simulador!$G$6)&gt;1-Simulador!$B$11,Simulador!$B$9*(1-COS(PI()*(1-(($A223-Simulador!$E$6)/Simulador!$G$6))/Simulador!$B$11))/2,Simulador!$B$9)))</f>
        <v>0</v>
      </c>
      <c r="D223" s="18">
        <f>IF(OR((($A223-Simulador!$E$7)/Simulador!$G$7)&lt;=0,(($A223-Simulador!$E$7)/Simulador!$G$7)&gt;=1),0,IF((($A223-Simulador!$E$7)/Simulador!$G$7)&lt;Simulador!$B$11,Simulador!$B$9*(1-COS(PI()*(($A223-Simulador!$E$7)/Simulador!$G$7)/Simulador!$B$11))/2,IF((($A223-Simulador!$E$7)/Simulador!$G$7)&gt;1-Simulador!$B$11,Simulador!$B$9*(1-COS(PI()*(1-(($A223-Simulador!$E$7)/Simulador!$G$7))/Simulador!$B$11))/2,Simulador!$B$9)))</f>
        <v>0</v>
      </c>
      <c r="E223" s="18">
        <f>IF(OR((($A223-Simulador!$E$8)/Simulador!$G$8)&lt;=0,(($A223-Simulador!$E$8)/Simulador!$G$8)&gt;=1),0,IF((($A223-Simulador!$E$8)/Simulador!$G$8)&lt;Simulador!$B$11,Simulador!$B$10*(1-COS(PI()*(($A223-Simulador!$E$8)/Simulador!$G$8)/Simulador!$B$11))/2,IF((($A223-Simulador!$E$8)/Simulador!$G$8)&gt;1-Simulador!$B$11,Simulador!$B$10*(1-COS(PI()*(1-(($A223-Simulador!$E$8)/Simulador!$G$8))/Simulador!$B$11))/2,Simulador!$B$10)))</f>
        <v>8.5</v>
      </c>
      <c r="F223" s="18">
        <f>IF(OR((($A223-Simulador!$E$9)/Simulador!$G$9)&lt;=0,(($A223-Simulador!$E$9)/Simulador!$G$9)&gt;=1),0,IF((($A223-Simulador!$E$9)/Simulador!$G$9)&lt;Simulador!$B$11,Simulador!$B$10*(1-COS(PI()*(($A223-Simulador!$E$9)/Simulador!$G$9)/Simulador!$B$11))/2,IF((($A223-Simulador!$E$9)/Simulador!$G$9)&gt;1-Simulador!$B$11,Simulador!$B$10*(1-COS(PI()*(1-(($A223-Simulador!$E$9)/Simulador!$G$9))/Simulador!$B$11))/2,Simulador!$B$10)))</f>
        <v>8.4828907494797665</v>
      </c>
      <c r="G223" s="18">
        <f>IF(OR((($A223-Simulador!$E$10)/Simulador!$G$10)&lt;=0,(($A223-Simulador!$E$10)/Simulador!$G$10)&gt;=1),0,IF((($A223-Simulador!$E$10)/Simulador!$G$10)&lt;Simulador!$B$11,Simulador!$B$10*(1-COS(PI()*(($A223-Simulador!$E$10)/Simulador!$G$10)/Simulador!$B$11))/2,IF((($A223-Simulador!$E$10)/Simulador!$G$10)&gt;1-Simulador!$B$11,Simulador!$B$10*(1-COS(PI()*(1-(($A223-Simulador!$E$10)/Simulador!$G$10))/Simulador!$B$11))/2,Simulador!$B$10)))</f>
        <v>7.8984073728079309</v>
      </c>
    </row>
    <row r="224" spans="1:7" x14ac:dyDescent="0.25">
      <c r="A224" s="17">
        <f>A223+Simulador!$B$14</f>
        <v>444</v>
      </c>
      <c r="B224" s="18">
        <f>IF(OR((($A224-Simulador!$E$5)/Simulador!$G$5)&lt;=0,(($A224-Simulador!$E$5)/Simulador!$G$5)&gt;=1),0,IF((($A224-Simulador!$E$5)/Simulador!$G$5)&lt;Simulador!$B$11,Simulador!$B$9*(1-COS(PI()*(($A224-Simulador!$E$5)/Simulador!$G$5)/Simulador!$B$11))/2,IF((($A224-Simulador!$E$5)/Simulador!$G$5)&gt;1-Simulador!$B$11,Simulador!$B$9*(1-COS(PI()*(1-(($A224-Simulador!$E$5)/Simulador!$G$5))/Simulador!$B$11))/2,Simulador!$B$9)))</f>
        <v>0</v>
      </c>
      <c r="C224" s="18">
        <f>IF(OR((($A224-Simulador!$E$6)/Simulador!$G$6)&lt;=0,(($A224-Simulador!$E$6)/Simulador!$G$6)&gt;=1),0,IF((($A224-Simulador!$E$6)/Simulador!$G$6)&lt;Simulador!$B$11,Simulador!$B$9*(1-COS(PI()*(($A224-Simulador!$E$6)/Simulador!$G$6)/Simulador!$B$11))/2,IF((($A224-Simulador!$E$6)/Simulador!$G$6)&gt;1-Simulador!$B$11,Simulador!$B$9*(1-COS(PI()*(1-(($A224-Simulador!$E$6)/Simulador!$G$6))/Simulador!$B$11))/2,Simulador!$B$9)))</f>
        <v>0</v>
      </c>
      <c r="D224" s="18">
        <f>IF(OR((($A224-Simulador!$E$7)/Simulador!$G$7)&lt;=0,(($A224-Simulador!$E$7)/Simulador!$G$7)&gt;=1),0,IF((($A224-Simulador!$E$7)/Simulador!$G$7)&lt;Simulador!$B$11,Simulador!$B$9*(1-COS(PI()*(($A224-Simulador!$E$7)/Simulador!$G$7)/Simulador!$B$11))/2,IF((($A224-Simulador!$E$7)/Simulador!$G$7)&gt;1-Simulador!$B$11,Simulador!$B$9*(1-COS(PI()*(1-(($A224-Simulador!$E$7)/Simulador!$G$7))/Simulador!$B$11))/2,Simulador!$B$9)))</f>
        <v>0</v>
      </c>
      <c r="E224" s="18">
        <f>IF(OR((($A224-Simulador!$E$8)/Simulador!$G$8)&lt;=0,(($A224-Simulador!$E$8)/Simulador!$G$8)&gt;=1),0,IF((($A224-Simulador!$E$8)/Simulador!$G$8)&lt;Simulador!$B$11,Simulador!$B$10*(1-COS(PI()*(($A224-Simulador!$E$8)/Simulador!$G$8)/Simulador!$B$11))/2,IF((($A224-Simulador!$E$8)/Simulador!$G$8)&gt;1-Simulador!$B$11,Simulador!$B$10*(1-COS(PI()*(1-(($A224-Simulador!$E$8)/Simulador!$G$8))/Simulador!$B$11))/2,Simulador!$B$10)))</f>
        <v>8.5</v>
      </c>
      <c r="F224" s="18">
        <f>IF(OR((($A224-Simulador!$E$9)/Simulador!$G$9)&lt;=0,(($A224-Simulador!$E$9)/Simulador!$G$9)&gt;=1),0,IF((($A224-Simulador!$E$9)/Simulador!$G$9)&lt;Simulador!$B$11,Simulador!$B$10*(1-COS(PI()*(($A224-Simulador!$E$9)/Simulador!$G$9)/Simulador!$B$11))/2,IF((($A224-Simulador!$E$9)/Simulador!$G$9)&gt;1-Simulador!$B$11,Simulador!$B$10*(1-COS(PI()*(1-(($A224-Simulador!$E$9)/Simulador!$G$9))/Simulador!$B$11))/2,Simulador!$B$10)))</f>
        <v>8.4980978372048881</v>
      </c>
      <c r="G224" s="18">
        <f>IF(OR((($A224-Simulador!$E$10)/Simulador!$G$10)&lt;=0,(($A224-Simulador!$E$10)/Simulador!$G$10)&gt;=1),0,IF((($A224-Simulador!$E$10)/Simulador!$G$10)&lt;Simulador!$B$11,Simulador!$B$10*(1-COS(PI()*(($A224-Simulador!$E$10)/Simulador!$G$10)/Simulador!$B$11))/2,IF((($A224-Simulador!$E$10)/Simulador!$G$10)&gt;1-Simulador!$B$11,Simulador!$B$10*(1-COS(PI()*(1-(($A224-Simulador!$E$10)/Simulador!$G$10))/Simulador!$B$11))/2,Simulador!$B$10)))</f>
        <v>8.0222396032693553</v>
      </c>
    </row>
    <row r="225" spans="1:7" x14ac:dyDescent="0.25">
      <c r="A225" s="17">
        <f>A224+Simulador!$B$14</f>
        <v>446</v>
      </c>
      <c r="B225" s="18">
        <f>IF(OR((($A225-Simulador!$E$5)/Simulador!$G$5)&lt;=0,(($A225-Simulador!$E$5)/Simulador!$G$5)&gt;=1),0,IF((($A225-Simulador!$E$5)/Simulador!$G$5)&lt;Simulador!$B$11,Simulador!$B$9*(1-COS(PI()*(($A225-Simulador!$E$5)/Simulador!$G$5)/Simulador!$B$11))/2,IF((($A225-Simulador!$E$5)/Simulador!$G$5)&gt;1-Simulador!$B$11,Simulador!$B$9*(1-COS(PI()*(1-(($A225-Simulador!$E$5)/Simulador!$G$5))/Simulador!$B$11))/2,Simulador!$B$9)))</f>
        <v>0</v>
      </c>
      <c r="C225" s="18">
        <f>IF(OR((($A225-Simulador!$E$6)/Simulador!$G$6)&lt;=0,(($A225-Simulador!$E$6)/Simulador!$G$6)&gt;=1),0,IF((($A225-Simulador!$E$6)/Simulador!$G$6)&lt;Simulador!$B$11,Simulador!$B$9*(1-COS(PI()*(($A225-Simulador!$E$6)/Simulador!$G$6)/Simulador!$B$11))/2,IF((($A225-Simulador!$E$6)/Simulador!$G$6)&gt;1-Simulador!$B$11,Simulador!$B$9*(1-COS(PI()*(1-(($A225-Simulador!$E$6)/Simulador!$G$6))/Simulador!$B$11))/2,Simulador!$B$9)))</f>
        <v>0</v>
      </c>
      <c r="D225" s="18">
        <f>IF(OR((($A225-Simulador!$E$7)/Simulador!$G$7)&lt;=0,(($A225-Simulador!$E$7)/Simulador!$G$7)&gt;=1),0,IF((($A225-Simulador!$E$7)/Simulador!$G$7)&lt;Simulador!$B$11,Simulador!$B$9*(1-COS(PI()*(($A225-Simulador!$E$7)/Simulador!$G$7)/Simulador!$B$11))/2,IF((($A225-Simulador!$E$7)/Simulador!$G$7)&gt;1-Simulador!$B$11,Simulador!$B$9*(1-COS(PI()*(1-(($A225-Simulador!$E$7)/Simulador!$G$7))/Simulador!$B$11))/2,Simulador!$B$9)))</f>
        <v>0</v>
      </c>
      <c r="E225" s="18">
        <f>IF(OR((($A225-Simulador!$E$8)/Simulador!$G$8)&lt;=0,(($A225-Simulador!$E$8)/Simulador!$G$8)&gt;=1),0,IF((($A225-Simulador!$E$8)/Simulador!$G$8)&lt;Simulador!$B$11,Simulador!$B$10*(1-COS(PI()*(($A225-Simulador!$E$8)/Simulador!$G$8)/Simulador!$B$11))/2,IF((($A225-Simulador!$E$8)/Simulador!$G$8)&gt;1-Simulador!$B$11,Simulador!$B$10*(1-COS(PI()*(1-(($A225-Simulador!$E$8)/Simulador!$G$8))/Simulador!$B$11))/2,Simulador!$B$10)))</f>
        <v>8.5</v>
      </c>
      <c r="F225" s="18">
        <f>IF(OR((($A225-Simulador!$E$9)/Simulador!$G$9)&lt;=0,(($A225-Simulador!$E$9)/Simulador!$G$9)&gt;=1),0,IF((($A225-Simulador!$E$9)/Simulador!$G$9)&lt;Simulador!$B$11,Simulador!$B$10*(1-COS(PI()*(($A225-Simulador!$E$9)/Simulador!$G$9)/Simulador!$B$11))/2,IF((($A225-Simulador!$E$9)/Simulador!$G$9)&gt;1-Simulador!$B$11,Simulador!$B$10*(1-COS(PI()*(1-(($A225-Simulador!$E$9)/Simulador!$G$9))/Simulador!$B$11))/2,Simulador!$B$10)))</f>
        <v>8.5</v>
      </c>
      <c r="G225" s="18">
        <f>IF(OR((($A225-Simulador!$E$10)/Simulador!$G$10)&lt;=0,(($A225-Simulador!$E$10)/Simulador!$G$10)&gt;=1),0,IF((($A225-Simulador!$E$10)/Simulador!$G$10)&lt;Simulador!$B$11,Simulador!$B$10*(1-COS(PI()*(($A225-Simulador!$E$10)/Simulador!$G$10)/Simulador!$B$11))/2,IF((($A225-Simulador!$E$10)/Simulador!$G$10)&gt;1-Simulador!$B$11,Simulador!$B$10*(1-COS(PI()*(1-(($A225-Simulador!$E$10)/Simulador!$G$10))/Simulador!$B$11))/2,Simulador!$B$10)))</f>
        <v>8.1325681949810527</v>
      </c>
    </row>
    <row r="226" spans="1:7" x14ac:dyDescent="0.25">
      <c r="A226" s="17">
        <f>A225+Simulador!$B$14</f>
        <v>448</v>
      </c>
      <c r="B226" s="18">
        <f>IF(OR((($A226-Simulador!$E$5)/Simulador!$G$5)&lt;=0,(($A226-Simulador!$E$5)/Simulador!$G$5)&gt;=1),0,IF((($A226-Simulador!$E$5)/Simulador!$G$5)&lt;Simulador!$B$11,Simulador!$B$9*(1-COS(PI()*(($A226-Simulador!$E$5)/Simulador!$G$5)/Simulador!$B$11))/2,IF((($A226-Simulador!$E$5)/Simulador!$G$5)&gt;1-Simulador!$B$11,Simulador!$B$9*(1-COS(PI()*(1-(($A226-Simulador!$E$5)/Simulador!$G$5))/Simulador!$B$11))/2,Simulador!$B$9)))</f>
        <v>0</v>
      </c>
      <c r="C226" s="18">
        <f>IF(OR((($A226-Simulador!$E$6)/Simulador!$G$6)&lt;=0,(($A226-Simulador!$E$6)/Simulador!$G$6)&gt;=1),0,IF((($A226-Simulador!$E$6)/Simulador!$G$6)&lt;Simulador!$B$11,Simulador!$B$9*(1-COS(PI()*(($A226-Simulador!$E$6)/Simulador!$G$6)/Simulador!$B$11))/2,IF((($A226-Simulador!$E$6)/Simulador!$G$6)&gt;1-Simulador!$B$11,Simulador!$B$9*(1-COS(PI()*(1-(($A226-Simulador!$E$6)/Simulador!$G$6))/Simulador!$B$11))/2,Simulador!$B$9)))</f>
        <v>0</v>
      </c>
      <c r="D226" s="18">
        <f>IF(OR((($A226-Simulador!$E$7)/Simulador!$G$7)&lt;=0,(($A226-Simulador!$E$7)/Simulador!$G$7)&gt;=1),0,IF((($A226-Simulador!$E$7)/Simulador!$G$7)&lt;Simulador!$B$11,Simulador!$B$9*(1-COS(PI()*(($A226-Simulador!$E$7)/Simulador!$G$7)/Simulador!$B$11))/2,IF((($A226-Simulador!$E$7)/Simulador!$G$7)&gt;1-Simulador!$B$11,Simulador!$B$9*(1-COS(PI()*(1-(($A226-Simulador!$E$7)/Simulador!$G$7))/Simulador!$B$11))/2,Simulador!$B$9)))</f>
        <v>0</v>
      </c>
      <c r="E226" s="18">
        <f>IF(OR((($A226-Simulador!$E$8)/Simulador!$G$8)&lt;=0,(($A226-Simulador!$E$8)/Simulador!$G$8)&gt;=1),0,IF((($A226-Simulador!$E$8)/Simulador!$G$8)&lt;Simulador!$B$11,Simulador!$B$10*(1-COS(PI()*(($A226-Simulador!$E$8)/Simulador!$G$8)/Simulador!$B$11))/2,IF((($A226-Simulador!$E$8)/Simulador!$G$8)&gt;1-Simulador!$B$11,Simulador!$B$10*(1-COS(PI()*(1-(($A226-Simulador!$E$8)/Simulador!$G$8))/Simulador!$B$11))/2,Simulador!$B$10)))</f>
        <v>8.5</v>
      </c>
      <c r="F226" s="18">
        <f>IF(OR((($A226-Simulador!$E$9)/Simulador!$G$9)&lt;=0,(($A226-Simulador!$E$9)/Simulador!$G$9)&gt;=1),0,IF((($A226-Simulador!$E$9)/Simulador!$G$9)&lt;Simulador!$B$11,Simulador!$B$10*(1-COS(PI()*(($A226-Simulador!$E$9)/Simulador!$G$9)/Simulador!$B$11))/2,IF((($A226-Simulador!$E$9)/Simulador!$G$9)&gt;1-Simulador!$B$11,Simulador!$B$10*(1-COS(PI()*(1-(($A226-Simulador!$E$9)/Simulador!$G$9))/Simulador!$B$11))/2,Simulador!$B$10)))</f>
        <v>8.5</v>
      </c>
      <c r="G226" s="18">
        <f>IF(OR((($A226-Simulador!$E$10)/Simulador!$G$10)&lt;=0,(($A226-Simulador!$E$10)/Simulador!$G$10)&gt;=1),0,IF((($A226-Simulador!$E$10)/Simulador!$G$10)&lt;Simulador!$B$11,Simulador!$B$10*(1-COS(PI()*(($A226-Simulador!$E$10)/Simulador!$G$10)/Simulador!$B$11))/2,IF((($A226-Simulador!$E$10)/Simulador!$G$10)&gt;1-Simulador!$B$11,Simulador!$B$10*(1-COS(PI()*(1-(($A226-Simulador!$E$10)/Simulador!$G$10))/Simulador!$B$11))/2,Simulador!$B$10)))</f>
        <v>8.228998200218884</v>
      </c>
    </row>
    <row r="227" spans="1:7" x14ac:dyDescent="0.25">
      <c r="A227" s="17">
        <f>A226+Simulador!$B$14</f>
        <v>450</v>
      </c>
      <c r="B227" s="18">
        <f>IF(OR((($A227-Simulador!$E$5)/Simulador!$G$5)&lt;=0,(($A227-Simulador!$E$5)/Simulador!$G$5)&gt;=1),0,IF((($A227-Simulador!$E$5)/Simulador!$G$5)&lt;Simulador!$B$11,Simulador!$B$9*(1-COS(PI()*(($A227-Simulador!$E$5)/Simulador!$G$5)/Simulador!$B$11))/2,IF((($A227-Simulador!$E$5)/Simulador!$G$5)&gt;1-Simulador!$B$11,Simulador!$B$9*(1-COS(PI()*(1-(($A227-Simulador!$E$5)/Simulador!$G$5))/Simulador!$B$11))/2,Simulador!$B$9)))</f>
        <v>0</v>
      </c>
      <c r="C227" s="18">
        <f>IF(OR((($A227-Simulador!$E$6)/Simulador!$G$6)&lt;=0,(($A227-Simulador!$E$6)/Simulador!$G$6)&gt;=1),0,IF((($A227-Simulador!$E$6)/Simulador!$G$6)&lt;Simulador!$B$11,Simulador!$B$9*(1-COS(PI()*(($A227-Simulador!$E$6)/Simulador!$G$6)/Simulador!$B$11))/2,IF((($A227-Simulador!$E$6)/Simulador!$G$6)&gt;1-Simulador!$B$11,Simulador!$B$9*(1-COS(PI()*(1-(($A227-Simulador!$E$6)/Simulador!$G$6))/Simulador!$B$11))/2,Simulador!$B$9)))</f>
        <v>0</v>
      </c>
      <c r="D227" s="18">
        <f>IF(OR((($A227-Simulador!$E$7)/Simulador!$G$7)&lt;=0,(($A227-Simulador!$E$7)/Simulador!$G$7)&gt;=1),0,IF((($A227-Simulador!$E$7)/Simulador!$G$7)&lt;Simulador!$B$11,Simulador!$B$9*(1-COS(PI()*(($A227-Simulador!$E$7)/Simulador!$G$7)/Simulador!$B$11))/2,IF((($A227-Simulador!$E$7)/Simulador!$G$7)&gt;1-Simulador!$B$11,Simulador!$B$9*(1-COS(PI()*(1-(($A227-Simulador!$E$7)/Simulador!$G$7))/Simulador!$B$11))/2,Simulador!$B$9)))</f>
        <v>0</v>
      </c>
      <c r="E227" s="18">
        <f>IF(OR((($A227-Simulador!$E$8)/Simulador!$G$8)&lt;=0,(($A227-Simulador!$E$8)/Simulador!$G$8)&gt;=1),0,IF((($A227-Simulador!$E$8)/Simulador!$G$8)&lt;Simulador!$B$11,Simulador!$B$10*(1-COS(PI()*(($A227-Simulador!$E$8)/Simulador!$G$8)/Simulador!$B$11))/2,IF((($A227-Simulador!$E$8)/Simulador!$G$8)&gt;1-Simulador!$B$11,Simulador!$B$10*(1-COS(PI()*(1-(($A227-Simulador!$E$8)/Simulador!$G$8))/Simulador!$B$11))/2,Simulador!$B$10)))</f>
        <v>8.5</v>
      </c>
      <c r="F227" s="18">
        <f>IF(OR((($A227-Simulador!$E$9)/Simulador!$G$9)&lt;=0,(($A227-Simulador!$E$9)/Simulador!$G$9)&gt;=1),0,IF((($A227-Simulador!$E$9)/Simulador!$G$9)&lt;Simulador!$B$11,Simulador!$B$10*(1-COS(PI()*(($A227-Simulador!$E$9)/Simulador!$G$9)/Simulador!$B$11))/2,IF((($A227-Simulador!$E$9)/Simulador!$G$9)&gt;1-Simulador!$B$11,Simulador!$B$10*(1-COS(PI()*(1-(($A227-Simulador!$E$9)/Simulador!$G$9))/Simulador!$B$11))/2,Simulador!$B$10)))</f>
        <v>8.5</v>
      </c>
      <c r="G227" s="18">
        <f>IF(OR((($A227-Simulador!$E$10)/Simulador!$G$10)&lt;=0,(($A227-Simulador!$E$10)/Simulador!$G$10)&gt;=1),0,IF((($A227-Simulador!$E$10)/Simulador!$G$10)&lt;Simulador!$B$11,Simulador!$B$10*(1-COS(PI()*(($A227-Simulador!$E$10)/Simulador!$G$10)/Simulador!$B$11))/2,IF((($A227-Simulador!$E$10)/Simulador!$G$10)&gt;1-Simulador!$B$11,Simulador!$B$10*(1-COS(PI()*(1-(($A227-Simulador!$E$10)/Simulador!$G$10))/Simulador!$B$11))/2,Simulador!$B$10)))</f>
        <v>8.3111844245910973</v>
      </c>
    </row>
    <row r="228" spans="1:7" x14ac:dyDescent="0.25">
      <c r="A228" s="17">
        <f>A227+Simulador!$B$14</f>
        <v>452</v>
      </c>
      <c r="B228" s="18">
        <f>IF(OR((($A228-Simulador!$E$5)/Simulador!$G$5)&lt;=0,(($A228-Simulador!$E$5)/Simulador!$G$5)&gt;=1),0,IF((($A228-Simulador!$E$5)/Simulador!$G$5)&lt;Simulador!$B$11,Simulador!$B$9*(1-COS(PI()*(($A228-Simulador!$E$5)/Simulador!$G$5)/Simulador!$B$11))/2,IF((($A228-Simulador!$E$5)/Simulador!$G$5)&gt;1-Simulador!$B$11,Simulador!$B$9*(1-COS(PI()*(1-(($A228-Simulador!$E$5)/Simulador!$G$5))/Simulador!$B$11))/2,Simulador!$B$9)))</f>
        <v>0</v>
      </c>
      <c r="C228" s="18">
        <f>IF(OR((($A228-Simulador!$E$6)/Simulador!$G$6)&lt;=0,(($A228-Simulador!$E$6)/Simulador!$G$6)&gt;=1),0,IF((($A228-Simulador!$E$6)/Simulador!$G$6)&lt;Simulador!$B$11,Simulador!$B$9*(1-COS(PI()*(($A228-Simulador!$E$6)/Simulador!$G$6)/Simulador!$B$11))/2,IF((($A228-Simulador!$E$6)/Simulador!$G$6)&gt;1-Simulador!$B$11,Simulador!$B$9*(1-COS(PI()*(1-(($A228-Simulador!$E$6)/Simulador!$G$6))/Simulador!$B$11))/2,Simulador!$B$9)))</f>
        <v>0</v>
      </c>
      <c r="D228" s="18">
        <f>IF(OR((($A228-Simulador!$E$7)/Simulador!$G$7)&lt;=0,(($A228-Simulador!$E$7)/Simulador!$G$7)&gt;=1),0,IF((($A228-Simulador!$E$7)/Simulador!$G$7)&lt;Simulador!$B$11,Simulador!$B$9*(1-COS(PI()*(($A228-Simulador!$E$7)/Simulador!$G$7)/Simulador!$B$11))/2,IF((($A228-Simulador!$E$7)/Simulador!$G$7)&gt;1-Simulador!$B$11,Simulador!$B$9*(1-COS(PI()*(1-(($A228-Simulador!$E$7)/Simulador!$G$7))/Simulador!$B$11))/2,Simulador!$B$9)))</f>
        <v>0</v>
      </c>
      <c r="E228" s="18">
        <f>IF(OR((($A228-Simulador!$E$8)/Simulador!$G$8)&lt;=0,(($A228-Simulador!$E$8)/Simulador!$G$8)&gt;=1),0,IF((($A228-Simulador!$E$8)/Simulador!$G$8)&lt;Simulador!$B$11,Simulador!$B$10*(1-COS(PI()*(($A228-Simulador!$E$8)/Simulador!$G$8)/Simulador!$B$11))/2,IF((($A228-Simulador!$E$8)/Simulador!$G$8)&gt;1-Simulador!$B$11,Simulador!$B$10*(1-COS(PI()*(1-(($A228-Simulador!$E$8)/Simulador!$G$8))/Simulador!$B$11))/2,Simulador!$B$10)))</f>
        <v>8.5</v>
      </c>
      <c r="F228" s="18">
        <f>IF(OR((($A228-Simulador!$E$9)/Simulador!$G$9)&lt;=0,(($A228-Simulador!$E$9)/Simulador!$G$9)&gt;=1),0,IF((($A228-Simulador!$E$9)/Simulador!$G$9)&lt;Simulador!$B$11,Simulador!$B$10*(1-COS(PI()*(($A228-Simulador!$E$9)/Simulador!$G$9)/Simulador!$B$11))/2,IF((($A228-Simulador!$E$9)/Simulador!$G$9)&gt;1-Simulador!$B$11,Simulador!$B$10*(1-COS(PI()*(1-(($A228-Simulador!$E$9)/Simulador!$G$9))/Simulador!$B$11))/2,Simulador!$B$10)))</f>
        <v>8.5</v>
      </c>
      <c r="G228" s="18">
        <f>IF(OR((($A228-Simulador!$E$10)/Simulador!$G$10)&lt;=0,(($A228-Simulador!$E$10)/Simulador!$G$10)&gt;=1),0,IF((($A228-Simulador!$E$10)/Simulador!$G$10)&lt;Simulador!$B$11,Simulador!$B$10*(1-COS(PI()*(($A228-Simulador!$E$10)/Simulador!$G$10)/Simulador!$B$11))/2,IF((($A228-Simulador!$E$10)/Simulador!$G$10)&gt;1-Simulador!$B$11,Simulador!$B$10*(1-COS(PI()*(1-(($A228-Simulador!$E$10)/Simulador!$G$10))/Simulador!$B$11))/2,Simulador!$B$10)))</f>
        <v>8.3788326627446867</v>
      </c>
    </row>
    <row r="229" spans="1:7" x14ac:dyDescent="0.25">
      <c r="A229" s="17">
        <f>A228+Simulador!$B$14</f>
        <v>454</v>
      </c>
      <c r="B229" s="18">
        <f>IF(OR((($A229-Simulador!$E$5)/Simulador!$G$5)&lt;=0,(($A229-Simulador!$E$5)/Simulador!$G$5)&gt;=1),0,IF((($A229-Simulador!$E$5)/Simulador!$G$5)&lt;Simulador!$B$11,Simulador!$B$9*(1-COS(PI()*(($A229-Simulador!$E$5)/Simulador!$G$5)/Simulador!$B$11))/2,IF((($A229-Simulador!$E$5)/Simulador!$G$5)&gt;1-Simulador!$B$11,Simulador!$B$9*(1-COS(PI()*(1-(($A229-Simulador!$E$5)/Simulador!$G$5))/Simulador!$B$11))/2,Simulador!$B$9)))</f>
        <v>0</v>
      </c>
      <c r="C229" s="18">
        <f>IF(OR((($A229-Simulador!$E$6)/Simulador!$G$6)&lt;=0,(($A229-Simulador!$E$6)/Simulador!$G$6)&gt;=1),0,IF((($A229-Simulador!$E$6)/Simulador!$G$6)&lt;Simulador!$B$11,Simulador!$B$9*(1-COS(PI()*(($A229-Simulador!$E$6)/Simulador!$G$6)/Simulador!$B$11))/2,IF((($A229-Simulador!$E$6)/Simulador!$G$6)&gt;1-Simulador!$B$11,Simulador!$B$9*(1-COS(PI()*(1-(($A229-Simulador!$E$6)/Simulador!$G$6))/Simulador!$B$11))/2,Simulador!$B$9)))</f>
        <v>0</v>
      </c>
      <c r="D229" s="18">
        <f>IF(OR((($A229-Simulador!$E$7)/Simulador!$G$7)&lt;=0,(($A229-Simulador!$E$7)/Simulador!$G$7)&gt;=1),0,IF((($A229-Simulador!$E$7)/Simulador!$G$7)&lt;Simulador!$B$11,Simulador!$B$9*(1-COS(PI()*(($A229-Simulador!$E$7)/Simulador!$G$7)/Simulador!$B$11))/2,IF((($A229-Simulador!$E$7)/Simulador!$G$7)&gt;1-Simulador!$B$11,Simulador!$B$9*(1-COS(PI()*(1-(($A229-Simulador!$E$7)/Simulador!$G$7))/Simulador!$B$11))/2,Simulador!$B$9)))</f>
        <v>0</v>
      </c>
      <c r="E229" s="18">
        <f>IF(OR((($A229-Simulador!$E$8)/Simulador!$G$8)&lt;=0,(($A229-Simulador!$E$8)/Simulador!$G$8)&gt;=1),0,IF((($A229-Simulador!$E$8)/Simulador!$G$8)&lt;Simulador!$B$11,Simulador!$B$10*(1-COS(PI()*(($A229-Simulador!$E$8)/Simulador!$G$8)/Simulador!$B$11))/2,IF((($A229-Simulador!$E$8)/Simulador!$G$8)&gt;1-Simulador!$B$11,Simulador!$B$10*(1-COS(PI()*(1-(($A229-Simulador!$E$8)/Simulador!$G$8))/Simulador!$B$11))/2,Simulador!$B$10)))</f>
        <v>8.5</v>
      </c>
      <c r="F229" s="18">
        <f>IF(OR((($A229-Simulador!$E$9)/Simulador!$G$9)&lt;=0,(($A229-Simulador!$E$9)/Simulador!$G$9)&gt;=1),0,IF((($A229-Simulador!$E$9)/Simulador!$G$9)&lt;Simulador!$B$11,Simulador!$B$10*(1-COS(PI()*(($A229-Simulador!$E$9)/Simulador!$G$9)/Simulador!$B$11))/2,IF((($A229-Simulador!$E$9)/Simulador!$G$9)&gt;1-Simulador!$B$11,Simulador!$B$10*(1-COS(PI()*(1-(($A229-Simulador!$E$9)/Simulador!$G$9))/Simulador!$B$11))/2,Simulador!$B$10)))</f>
        <v>8.5</v>
      </c>
      <c r="G229" s="18">
        <f>IF(OR((($A229-Simulador!$E$10)/Simulador!$G$10)&lt;=0,(($A229-Simulador!$E$10)/Simulador!$G$10)&gt;=1),0,IF((($A229-Simulador!$E$10)/Simulador!$G$10)&lt;Simulador!$B$11,Simulador!$B$10*(1-COS(PI()*(($A229-Simulador!$E$10)/Simulador!$G$10)/Simulador!$B$11))/2,IF((($A229-Simulador!$E$10)/Simulador!$G$10)&gt;1-Simulador!$B$11,Simulador!$B$10*(1-COS(PI()*(1-(($A229-Simulador!$E$10)/Simulador!$G$10))/Simulador!$B$11))/2,Simulador!$B$10)))</f>
        <v>8.4317007515441755</v>
      </c>
    </row>
    <row r="230" spans="1:7" x14ac:dyDescent="0.25">
      <c r="A230" s="17">
        <f>A229+Simulador!$B$14</f>
        <v>456</v>
      </c>
      <c r="B230" s="18">
        <f>IF(OR((($A230-Simulador!$E$5)/Simulador!$G$5)&lt;=0,(($A230-Simulador!$E$5)/Simulador!$G$5)&gt;=1),0,IF((($A230-Simulador!$E$5)/Simulador!$G$5)&lt;Simulador!$B$11,Simulador!$B$9*(1-COS(PI()*(($A230-Simulador!$E$5)/Simulador!$G$5)/Simulador!$B$11))/2,IF((($A230-Simulador!$E$5)/Simulador!$G$5)&gt;1-Simulador!$B$11,Simulador!$B$9*(1-COS(PI()*(1-(($A230-Simulador!$E$5)/Simulador!$G$5))/Simulador!$B$11))/2,Simulador!$B$9)))</f>
        <v>0</v>
      </c>
      <c r="C230" s="18">
        <f>IF(OR((($A230-Simulador!$E$6)/Simulador!$G$6)&lt;=0,(($A230-Simulador!$E$6)/Simulador!$G$6)&gt;=1),0,IF((($A230-Simulador!$E$6)/Simulador!$G$6)&lt;Simulador!$B$11,Simulador!$B$9*(1-COS(PI()*(($A230-Simulador!$E$6)/Simulador!$G$6)/Simulador!$B$11))/2,IF((($A230-Simulador!$E$6)/Simulador!$G$6)&gt;1-Simulador!$B$11,Simulador!$B$9*(1-COS(PI()*(1-(($A230-Simulador!$E$6)/Simulador!$G$6))/Simulador!$B$11))/2,Simulador!$B$9)))</f>
        <v>0</v>
      </c>
      <c r="D230" s="18">
        <f>IF(OR((($A230-Simulador!$E$7)/Simulador!$G$7)&lt;=0,(($A230-Simulador!$E$7)/Simulador!$G$7)&gt;=1),0,IF((($A230-Simulador!$E$7)/Simulador!$G$7)&lt;Simulador!$B$11,Simulador!$B$9*(1-COS(PI()*(($A230-Simulador!$E$7)/Simulador!$G$7)/Simulador!$B$11))/2,IF((($A230-Simulador!$E$7)/Simulador!$G$7)&gt;1-Simulador!$B$11,Simulador!$B$9*(1-COS(PI()*(1-(($A230-Simulador!$E$7)/Simulador!$G$7))/Simulador!$B$11))/2,Simulador!$B$9)))</f>
        <v>0</v>
      </c>
      <c r="E230" s="18">
        <f>IF(OR((($A230-Simulador!$E$8)/Simulador!$G$8)&lt;=0,(($A230-Simulador!$E$8)/Simulador!$G$8)&gt;=1),0,IF((($A230-Simulador!$E$8)/Simulador!$G$8)&lt;Simulador!$B$11,Simulador!$B$10*(1-COS(PI()*(($A230-Simulador!$E$8)/Simulador!$G$8)/Simulador!$B$11))/2,IF((($A230-Simulador!$E$8)/Simulador!$G$8)&gt;1-Simulador!$B$11,Simulador!$B$10*(1-COS(PI()*(1-(($A230-Simulador!$E$8)/Simulador!$G$8))/Simulador!$B$11))/2,Simulador!$B$10)))</f>
        <v>8.5</v>
      </c>
      <c r="F230" s="18">
        <f>IF(OR((($A230-Simulador!$E$9)/Simulador!$G$9)&lt;=0,(($A230-Simulador!$E$9)/Simulador!$G$9)&gt;=1),0,IF((($A230-Simulador!$E$9)/Simulador!$G$9)&lt;Simulador!$B$11,Simulador!$B$10*(1-COS(PI()*(($A230-Simulador!$E$9)/Simulador!$G$9)/Simulador!$B$11))/2,IF((($A230-Simulador!$E$9)/Simulador!$G$9)&gt;1-Simulador!$B$11,Simulador!$B$10*(1-COS(PI()*(1-(($A230-Simulador!$E$9)/Simulador!$G$9))/Simulador!$B$11))/2,Simulador!$B$10)))</f>
        <v>8.5</v>
      </c>
      <c r="G230" s="18">
        <f>IF(OR((($A230-Simulador!$E$10)/Simulador!$G$10)&lt;=0,(($A230-Simulador!$E$10)/Simulador!$G$10)&gt;=1),0,IF((($A230-Simulador!$E$10)/Simulador!$G$10)&lt;Simulador!$B$11,Simulador!$B$10*(1-COS(PI()*(($A230-Simulador!$E$10)/Simulador!$G$10)/Simulador!$B$11))/2,IF((($A230-Simulador!$E$10)/Simulador!$G$10)&gt;1-Simulador!$B$11,Simulador!$B$10*(1-COS(PI()*(1-(($A230-Simulador!$E$10)/Simulador!$G$10))/Simulador!$B$11))/2,Simulador!$B$10)))</f>
        <v>8.4695994369528087</v>
      </c>
    </row>
    <row r="231" spans="1:7" x14ac:dyDescent="0.25">
      <c r="A231" s="17">
        <f>A230+Simulador!$B$14</f>
        <v>458</v>
      </c>
      <c r="B231" s="18">
        <f>IF(OR((($A231-Simulador!$E$5)/Simulador!$G$5)&lt;=0,(($A231-Simulador!$E$5)/Simulador!$G$5)&gt;=1),0,IF((($A231-Simulador!$E$5)/Simulador!$G$5)&lt;Simulador!$B$11,Simulador!$B$9*(1-COS(PI()*(($A231-Simulador!$E$5)/Simulador!$G$5)/Simulador!$B$11))/2,IF((($A231-Simulador!$E$5)/Simulador!$G$5)&gt;1-Simulador!$B$11,Simulador!$B$9*(1-COS(PI()*(1-(($A231-Simulador!$E$5)/Simulador!$G$5))/Simulador!$B$11))/2,Simulador!$B$9)))</f>
        <v>0</v>
      </c>
      <c r="C231" s="18">
        <f>IF(OR((($A231-Simulador!$E$6)/Simulador!$G$6)&lt;=0,(($A231-Simulador!$E$6)/Simulador!$G$6)&gt;=1),0,IF((($A231-Simulador!$E$6)/Simulador!$G$6)&lt;Simulador!$B$11,Simulador!$B$9*(1-COS(PI()*(($A231-Simulador!$E$6)/Simulador!$G$6)/Simulador!$B$11))/2,IF((($A231-Simulador!$E$6)/Simulador!$G$6)&gt;1-Simulador!$B$11,Simulador!$B$9*(1-COS(PI()*(1-(($A231-Simulador!$E$6)/Simulador!$G$6))/Simulador!$B$11))/2,Simulador!$B$9)))</f>
        <v>0</v>
      </c>
      <c r="D231" s="18">
        <f>IF(OR((($A231-Simulador!$E$7)/Simulador!$G$7)&lt;=0,(($A231-Simulador!$E$7)/Simulador!$G$7)&gt;=1),0,IF((($A231-Simulador!$E$7)/Simulador!$G$7)&lt;Simulador!$B$11,Simulador!$B$9*(1-COS(PI()*(($A231-Simulador!$E$7)/Simulador!$G$7)/Simulador!$B$11))/2,IF((($A231-Simulador!$E$7)/Simulador!$G$7)&gt;1-Simulador!$B$11,Simulador!$B$9*(1-COS(PI()*(1-(($A231-Simulador!$E$7)/Simulador!$G$7))/Simulador!$B$11))/2,Simulador!$B$9)))</f>
        <v>0</v>
      </c>
      <c r="E231" s="18">
        <f>IF(OR((($A231-Simulador!$E$8)/Simulador!$G$8)&lt;=0,(($A231-Simulador!$E$8)/Simulador!$G$8)&gt;=1),0,IF((($A231-Simulador!$E$8)/Simulador!$G$8)&lt;Simulador!$B$11,Simulador!$B$10*(1-COS(PI()*(($A231-Simulador!$E$8)/Simulador!$G$8)/Simulador!$B$11))/2,IF((($A231-Simulador!$E$8)/Simulador!$G$8)&gt;1-Simulador!$B$11,Simulador!$B$10*(1-COS(PI()*(1-(($A231-Simulador!$E$8)/Simulador!$G$8))/Simulador!$B$11))/2,Simulador!$B$10)))</f>
        <v>8.5</v>
      </c>
      <c r="F231" s="18">
        <f>IF(OR((($A231-Simulador!$E$9)/Simulador!$G$9)&lt;=0,(($A231-Simulador!$E$9)/Simulador!$G$9)&gt;=1),0,IF((($A231-Simulador!$E$9)/Simulador!$G$9)&lt;Simulador!$B$11,Simulador!$B$10*(1-COS(PI()*(($A231-Simulador!$E$9)/Simulador!$G$9)/Simulador!$B$11))/2,IF((($A231-Simulador!$E$9)/Simulador!$G$9)&gt;1-Simulador!$B$11,Simulador!$B$10*(1-COS(PI()*(1-(($A231-Simulador!$E$9)/Simulador!$G$9))/Simulador!$B$11))/2,Simulador!$B$10)))</f>
        <v>8.5</v>
      </c>
      <c r="G231" s="18">
        <f>IF(OR((($A231-Simulador!$E$10)/Simulador!$G$10)&lt;=0,(($A231-Simulador!$E$10)/Simulador!$G$10)&gt;=1),0,IF((($A231-Simulador!$E$10)/Simulador!$G$10)&lt;Simulador!$B$11,Simulador!$B$10*(1-COS(PI()*(($A231-Simulador!$E$10)/Simulador!$G$10)/Simulador!$B$11))/2,IF((($A231-Simulador!$E$10)/Simulador!$G$10)&gt;1-Simulador!$B$11,Simulador!$B$10*(1-COS(PI()*(1-(($A231-Simulador!$E$10)/Simulador!$G$10))/Simulador!$B$11))/2,Simulador!$B$10)))</f>
        <v>8.4923930515128738</v>
      </c>
    </row>
    <row r="232" spans="1:7" x14ac:dyDescent="0.25">
      <c r="A232" s="17">
        <f>A231+Simulador!$B$14</f>
        <v>460</v>
      </c>
      <c r="B232" s="18">
        <f>IF(OR((($A232-Simulador!$E$5)/Simulador!$G$5)&lt;=0,(($A232-Simulador!$E$5)/Simulador!$G$5)&gt;=1),0,IF((($A232-Simulador!$E$5)/Simulador!$G$5)&lt;Simulador!$B$11,Simulador!$B$9*(1-COS(PI()*(($A232-Simulador!$E$5)/Simulador!$G$5)/Simulador!$B$11))/2,IF((($A232-Simulador!$E$5)/Simulador!$G$5)&gt;1-Simulador!$B$11,Simulador!$B$9*(1-COS(PI()*(1-(($A232-Simulador!$E$5)/Simulador!$G$5))/Simulador!$B$11))/2,Simulador!$B$9)))</f>
        <v>0</v>
      </c>
      <c r="C232" s="18">
        <f>IF(OR((($A232-Simulador!$E$6)/Simulador!$G$6)&lt;=0,(($A232-Simulador!$E$6)/Simulador!$G$6)&gt;=1),0,IF((($A232-Simulador!$E$6)/Simulador!$G$6)&lt;Simulador!$B$11,Simulador!$B$9*(1-COS(PI()*(($A232-Simulador!$E$6)/Simulador!$G$6)/Simulador!$B$11))/2,IF((($A232-Simulador!$E$6)/Simulador!$G$6)&gt;1-Simulador!$B$11,Simulador!$B$9*(1-COS(PI()*(1-(($A232-Simulador!$E$6)/Simulador!$G$6))/Simulador!$B$11))/2,Simulador!$B$9)))</f>
        <v>0</v>
      </c>
      <c r="D232" s="18">
        <f>IF(OR((($A232-Simulador!$E$7)/Simulador!$G$7)&lt;=0,(($A232-Simulador!$E$7)/Simulador!$G$7)&gt;=1),0,IF((($A232-Simulador!$E$7)/Simulador!$G$7)&lt;Simulador!$B$11,Simulador!$B$9*(1-COS(PI()*(($A232-Simulador!$E$7)/Simulador!$G$7)/Simulador!$B$11))/2,IF((($A232-Simulador!$E$7)/Simulador!$G$7)&gt;1-Simulador!$B$11,Simulador!$B$9*(1-COS(PI()*(1-(($A232-Simulador!$E$7)/Simulador!$G$7))/Simulador!$B$11))/2,Simulador!$B$9)))</f>
        <v>0</v>
      </c>
      <c r="E232" s="18">
        <f>IF(OR((($A232-Simulador!$E$8)/Simulador!$G$8)&lt;=0,(($A232-Simulador!$E$8)/Simulador!$G$8)&gt;=1),0,IF((($A232-Simulador!$E$8)/Simulador!$G$8)&lt;Simulador!$B$11,Simulador!$B$10*(1-COS(PI()*(($A232-Simulador!$E$8)/Simulador!$G$8)/Simulador!$B$11))/2,IF((($A232-Simulador!$E$8)/Simulador!$G$8)&gt;1-Simulador!$B$11,Simulador!$B$10*(1-COS(PI()*(1-(($A232-Simulador!$E$8)/Simulador!$G$8))/Simulador!$B$11))/2,Simulador!$B$10)))</f>
        <v>8.5</v>
      </c>
      <c r="F232" s="18">
        <f>IF(OR((($A232-Simulador!$E$9)/Simulador!$G$9)&lt;=0,(($A232-Simulador!$E$9)/Simulador!$G$9)&gt;=1),0,IF((($A232-Simulador!$E$9)/Simulador!$G$9)&lt;Simulador!$B$11,Simulador!$B$10*(1-COS(PI()*(($A232-Simulador!$E$9)/Simulador!$G$9)/Simulador!$B$11))/2,IF((($A232-Simulador!$E$9)/Simulador!$G$9)&gt;1-Simulador!$B$11,Simulador!$B$10*(1-COS(PI()*(1-(($A232-Simulador!$E$9)/Simulador!$G$9))/Simulador!$B$11))/2,Simulador!$B$10)))</f>
        <v>8.5</v>
      </c>
      <c r="G232" s="18">
        <f>IF(OR((($A232-Simulador!$E$10)/Simulador!$G$10)&lt;=0,(($A232-Simulador!$E$10)/Simulador!$G$10)&gt;=1),0,IF((($A232-Simulador!$E$10)/Simulador!$G$10)&lt;Simulador!$B$11,Simulador!$B$10*(1-COS(PI()*(($A232-Simulador!$E$10)/Simulador!$G$10)/Simulador!$B$11))/2,IF((($A232-Simulador!$E$10)/Simulador!$G$10)&gt;1-Simulador!$B$11,Simulador!$B$10*(1-COS(PI()*(1-(($A232-Simulador!$E$10)/Simulador!$G$10))/Simulador!$B$11))/2,Simulador!$B$10)))</f>
        <v>8.5</v>
      </c>
    </row>
    <row r="233" spans="1:7" x14ac:dyDescent="0.25">
      <c r="A233" s="17">
        <f>A232+Simulador!$B$14</f>
        <v>462</v>
      </c>
      <c r="B233" s="18">
        <f>IF(OR((($A233-Simulador!$E$5)/Simulador!$G$5)&lt;=0,(($A233-Simulador!$E$5)/Simulador!$G$5)&gt;=1),0,IF((($A233-Simulador!$E$5)/Simulador!$G$5)&lt;Simulador!$B$11,Simulador!$B$9*(1-COS(PI()*(($A233-Simulador!$E$5)/Simulador!$G$5)/Simulador!$B$11))/2,IF((($A233-Simulador!$E$5)/Simulador!$G$5)&gt;1-Simulador!$B$11,Simulador!$B$9*(1-COS(PI()*(1-(($A233-Simulador!$E$5)/Simulador!$G$5))/Simulador!$B$11))/2,Simulador!$B$9)))</f>
        <v>0</v>
      </c>
      <c r="C233" s="18">
        <f>IF(OR((($A233-Simulador!$E$6)/Simulador!$G$6)&lt;=0,(($A233-Simulador!$E$6)/Simulador!$G$6)&gt;=1),0,IF((($A233-Simulador!$E$6)/Simulador!$G$6)&lt;Simulador!$B$11,Simulador!$B$9*(1-COS(PI()*(($A233-Simulador!$E$6)/Simulador!$G$6)/Simulador!$B$11))/2,IF((($A233-Simulador!$E$6)/Simulador!$G$6)&gt;1-Simulador!$B$11,Simulador!$B$9*(1-COS(PI()*(1-(($A233-Simulador!$E$6)/Simulador!$G$6))/Simulador!$B$11))/2,Simulador!$B$9)))</f>
        <v>0</v>
      </c>
      <c r="D233" s="18">
        <f>IF(OR((($A233-Simulador!$E$7)/Simulador!$G$7)&lt;=0,(($A233-Simulador!$E$7)/Simulador!$G$7)&gt;=1),0,IF((($A233-Simulador!$E$7)/Simulador!$G$7)&lt;Simulador!$B$11,Simulador!$B$9*(1-COS(PI()*(($A233-Simulador!$E$7)/Simulador!$G$7)/Simulador!$B$11))/2,IF((($A233-Simulador!$E$7)/Simulador!$G$7)&gt;1-Simulador!$B$11,Simulador!$B$9*(1-COS(PI()*(1-(($A233-Simulador!$E$7)/Simulador!$G$7))/Simulador!$B$11))/2,Simulador!$B$9)))</f>
        <v>0</v>
      </c>
      <c r="E233" s="18">
        <f>IF(OR((($A233-Simulador!$E$8)/Simulador!$G$8)&lt;=0,(($A233-Simulador!$E$8)/Simulador!$G$8)&gt;=1),0,IF((($A233-Simulador!$E$8)/Simulador!$G$8)&lt;Simulador!$B$11,Simulador!$B$10*(1-COS(PI()*(($A233-Simulador!$E$8)/Simulador!$G$8)/Simulador!$B$11))/2,IF((($A233-Simulador!$E$8)/Simulador!$G$8)&gt;1-Simulador!$B$11,Simulador!$B$10*(1-COS(PI()*(1-(($A233-Simulador!$E$8)/Simulador!$G$8))/Simulador!$B$11))/2,Simulador!$B$10)))</f>
        <v>8.5</v>
      </c>
      <c r="F233" s="18">
        <f>IF(OR((($A233-Simulador!$E$9)/Simulador!$G$9)&lt;=0,(($A233-Simulador!$E$9)/Simulador!$G$9)&gt;=1),0,IF((($A233-Simulador!$E$9)/Simulador!$G$9)&lt;Simulador!$B$11,Simulador!$B$10*(1-COS(PI()*(($A233-Simulador!$E$9)/Simulador!$G$9)/Simulador!$B$11))/2,IF((($A233-Simulador!$E$9)/Simulador!$G$9)&gt;1-Simulador!$B$11,Simulador!$B$10*(1-COS(PI()*(1-(($A233-Simulador!$E$9)/Simulador!$G$9))/Simulador!$B$11))/2,Simulador!$B$10)))</f>
        <v>8.5</v>
      </c>
      <c r="G233" s="18">
        <f>IF(OR((($A233-Simulador!$E$10)/Simulador!$G$10)&lt;=0,(($A233-Simulador!$E$10)/Simulador!$G$10)&gt;=1),0,IF((($A233-Simulador!$E$10)/Simulador!$G$10)&lt;Simulador!$B$11,Simulador!$B$10*(1-COS(PI()*(($A233-Simulador!$E$10)/Simulador!$G$10)/Simulador!$B$11))/2,IF((($A233-Simulador!$E$10)/Simulador!$G$10)&gt;1-Simulador!$B$11,Simulador!$B$10*(1-COS(PI()*(1-(($A233-Simulador!$E$10)/Simulador!$G$10))/Simulador!$B$11))/2,Simulador!$B$10)))</f>
        <v>8.5</v>
      </c>
    </row>
    <row r="234" spans="1:7" x14ac:dyDescent="0.25">
      <c r="A234" s="17">
        <f>A233+Simulador!$B$14</f>
        <v>464</v>
      </c>
      <c r="B234" s="18">
        <f>IF(OR((($A234-Simulador!$E$5)/Simulador!$G$5)&lt;=0,(($A234-Simulador!$E$5)/Simulador!$G$5)&gt;=1),0,IF((($A234-Simulador!$E$5)/Simulador!$G$5)&lt;Simulador!$B$11,Simulador!$B$9*(1-COS(PI()*(($A234-Simulador!$E$5)/Simulador!$G$5)/Simulador!$B$11))/2,IF((($A234-Simulador!$E$5)/Simulador!$G$5)&gt;1-Simulador!$B$11,Simulador!$B$9*(1-COS(PI()*(1-(($A234-Simulador!$E$5)/Simulador!$G$5))/Simulador!$B$11))/2,Simulador!$B$9)))</f>
        <v>0</v>
      </c>
      <c r="C234" s="18">
        <f>IF(OR((($A234-Simulador!$E$6)/Simulador!$G$6)&lt;=0,(($A234-Simulador!$E$6)/Simulador!$G$6)&gt;=1),0,IF((($A234-Simulador!$E$6)/Simulador!$G$6)&lt;Simulador!$B$11,Simulador!$B$9*(1-COS(PI()*(($A234-Simulador!$E$6)/Simulador!$G$6)/Simulador!$B$11))/2,IF((($A234-Simulador!$E$6)/Simulador!$G$6)&gt;1-Simulador!$B$11,Simulador!$B$9*(1-COS(PI()*(1-(($A234-Simulador!$E$6)/Simulador!$G$6))/Simulador!$B$11))/2,Simulador!$B$9)))</f>
        <v>0</v>
      </c>
      <c r="D234" s="18">
        <f>IF(OR((($A234-Simulador!$E$7)/Simulador!$G$7)&lt;=0,(($A234-Simulador!$E$7)/Simulador!$G$7)&gt;=1),0,IF((($A234-Simulador!$E$7)/Simulador!$G$7)&lt;Simulador!$B$11,Simulador!$B$9*(1-COS(PI()*(($A234-Simulador!$E$7)/Simulador!$G$7)/Simulador!$B$11))/2,IF((($A234-Simulador!$E$7)/Simulador!$G$7)&gt;1-Simulador!$B$11,Simulador!$B$9*(1-COS(PI()*(1-(($A234-Simulador!$E$7)/Simulador!$G$7))/Simulador!$B$11))/2,Simulador!$B$9)))</f>
        <v>0</v>
      </c>
      <c r="E234" s="18">
        <f>IF(OR((($A234-Simulador!$E$8)/Simulador!$G$8)&lt;=0,(($A234-Simulador!$E$8)/Simulador!$G$8)&gt;=1),0,IF((($A234-Simulador!$E$8)/Simulador!$G$8)&lt;Simulador!$B$11,Simulador!$B$10*(1-COS(PI()*(($A234-Simulador!$E$8)/Simulador!$G$8)/Simulador!$B$11))/2,IF((($A234-Simulador!$E$8)/Simulador!$G$8)&gt;1-Simulador!$B$11,Simulador!$B$10*(1-COS(PI()*(1-(($A234-Simulador!$E$8)/Simulador!$G$8))/Simulador!$B$11))/2,Simulador!$B$10)))</f>
        <v>8.5</v>
      </c>
      <c r="F234" s="18">
        <f>IF(OR((($A234-Simulador!$E$9)/Simulador!$G$9)&lt;=0,(($A234-Simulador!$E$9)/Simulador!$G$9)&gt;=1),0,IF((($A234-Simulador!$E$9)/Simulador!$G$9)&lt;Simulador!$B$11,Simulador!$B$10*(1-COS(PI()*(($A234-Simulador!$E$9)/Simulador!$G$9)/Simulador!$B$11))/2,IF((($A234-Simulador!$E$9)/Simulador!$G$9)&gt;1-Simulador!$B$11,Simulador!$B$10*(1-COS(PI()*(1-(($A234-Simulador!$E$9)/Simulador!$G$9))/Simulador!$B$11))/2,Simulador!$B$10)))</f>
        <v>8.5</v>
      </c>
      <c r="G234" s="18">
        <f>IF(OR((($A234-Simulador!$E$10)/Simulador!$G$10)&lt;=0,(($A234-Simulador!$E$10)/Simulador!$G$10)&gt;=1),0,IF((($A234-Simulador!$E$10)/Simulador!$G$10)&lt;Simulador!$B$11,Simulador!$B$10*(1-COS(PI()*(($A234-Simulador!$E$10)/Simulador!$G$10)/Simulador!$B$11))/2,IF((($A234-Simulador!$E$10)/Simulador!$G$10)&gt;1-Simulador!$B$11,Simulador!$B$10*(1-COS(PI()*(1-(($A234-Simulador!$E$10)/Simulador!$G$10))/Simulador!$B$11))/2,Simulador!$B$10)))</f>
        <v>8.5</v>
      </c>
    </row>
    <row r="235" spans="1:7" x14ac:dyDescent="0.25">
      <c r="A235" s="17">
        <f>A234+Simulador!$B$14</f>
        <v>466</v>
      </c>
      <c r="B235" s="18">
        <f>IF(OR((($A235-Simulador!$E$5)/Simulador!$G$5)&lt;=0,(($A235-Simulador!$E$5)/Simulador!$G$5)&gt;=1),0,IF((($A235-Simulador!$E$5)/Simulador!$G$5)&lt;Simulador!$B$11,Simulador!$B$9*(1-COS(PI()*(($A235-Simulador!$E$5)/Simulador!$G$5)/Simulador!$B$11))/2,IF((($A235-Simulador!$E$5)/Simulador!$G$5)&gt;1-Simulador!$B$11,Simulador!$B$9*(1-COS(PI()*(1-(($A235-Simulador!$E$5)/Simulador!$G$5))/Simulador!$B$11))/2,Simulador!$B$9)))</f>
        <v>0</v>
      </c>
      <c r="C235" s="18">
        <f>IF(OR((($A235-Simulador!$E$6)/Simulador!$G$6)&lt;=0,(($A235-Simulador!$E$6)/Simulador!$G$6)&gt;=1),0,IF((($A235-Simulador!$E$6)/Simulador!$G$6)&lt;Simulador!$B$11,Simulador!$B$9*(1-COS(PI()*(($A235-Simulador!$E$6)/Simulador!$G$6)/Simulador!$B$11))/2,IF((($A235-Simulador!$E$6)/Simulador!$G$6)&gt;1-Simulador!$B$11,Simulador!$B$9*(1-COS(PI()*(1-(($A235-Simulador!$E$6)/Simulador!$G$6))/Simulador!$B$11))/2,Simulador!$B$9)))</f>
        <v>0</v>
      </c>
      <c r="D235" s="18">
        <f>IF(OR((($A235-Simulador!$E$7)/Simulador!$G$7)&lt;=0,(($A235-Simulador!$E$7)/Simulador!$G$7)&gt;=1),0,IF((($A235-Simulador!$E$7)/Simulador!$G$7)&lt;Simulador!$B$11,Simulador!$B$9*(1-COS(PI()*(($A235-Simulador!$E$7)/Simulador!$G$7)/Simulador!$B$11))/2,IF((($A235-Simulador!$E$7)/Simulador!$G$7)&gt;1-Simulador!$B$11,Simulador!$B$9*(1-COS(PI()*(1-(($A235-Simulador!$E$7)/Simulador!$G$7))/Simulador!$B$11))/2,Simulador!$B$9)))</f>
        <v>0</v>
      </c>
      <c r="E235" s="18">
        <f>IF(OR((($A235-Simulador!$E$8)/Simulador!$G$8)&lt;=0,(($A235-Simulador!$E$8)/Simulador!$G$8)&gt;=1),0,IF((($A235-Simulador!$E$8)/Simulador!$G$8)&lt;Simulador!$B$11,Simulador!$B$10*(1-COS(PI()*(($A235-Simulador!$E$8)/Simulador!$G$8)/Simulador!$B$11))/2,IF((($A235-Simulador!$E$8)/Simulador!$G$8)&gt;1-Simulador!$B$11,Simulador!$B$10*(1-COS(PI()*(1-(($A235-Simulador!$E$8)/Simulador!$G$8))/Simulador!$B$11))/2,Simulador!$B$10)))</f>
        <v>8.5</v>
      </c>
      <c r="F235" s="18">
        <f>IF(OR((($A235-Simulador!$E$9)/Simulador!$G$9)&lt;=0,(($A235-Simulador!$E$9)/Simulador!$G$9)&gt;=1),0,IF((($A235-Simulador!$E$9)/Simulador!$G$9)&lt;Simulador!$B$11,Simulador!$B$10*(1-COS(PI()*(($A235-Simulador!$E$9)/Simulador!$G$9)/Simulador!$B$11))/2,IF((($A235-Simulador!$E$9)/Simulador!$G$9)&gt;1-Simulador!$B$11,Simulador!$B$10*(1-COS(PI()*(1-(($A235-Simulador!$E$9)/Simulador!$G$9))/Simulador!$B$11))/2,Simulador!$B$10)))</f>
        <v>8.5</v>
      </c>
      <c r="G235" s="18">
        <f>IF(OR((($A235-Simulador!$E$10)/Simulador!$G$10)&lt;=0,(($A235-Simulador!$E$10)/Simulador!$G$10)&gt;=1),0,IF((($A235-Simulador!$E$10)/Simulador!$G$10)&lt;Simulador!$B$11,Simulador!$B$10*(1-COS(PI()*(($A235-Simulador!$E$10)/Simulador!$G$10)/Simulador!$B$11))/2,IF((($A235-Simulador!$E$10)/Simulador!$G$10)&gt;1-Simulador!$B$11,Simulador!$B$10*(1-COS(PI()*(1-(($A235-Simulador!$E$10)/Simulador!$G$10))/Simulador!$B$11))/2,Simulador!$B$10)))</f>
        <v>8.5</v>
      </c>
    </row>
    <row r="236" spans="1:7" x14ac:dyDescent="0.25">
      <c r="A236" s="17">
        <f>A235+Simulador!$B$14</f>
        <v>468</v>
      </c>
      <c r="B236" s="18">
        <f>IF(OR((($A236-Simulador!$E$5)/Simulador!$G$5)&lt;=0,(($A236-Simulador!$E$5)/Simulador!$G$5)&gt;=1),0,IF((($A236-Simulador!$E$5)/Simulador!$G$5)&lt;Simulador!$B$11,Simulador!$B$9*(1-COS(PI()*(($A236-Simulador!$E$5)/Simulador!$G$5)/Simulador!$B$11))/2,IF((($A236-Simulador!$E$5)/Simulador!$G$5)&gt;1-Simulador!$B$11,Simulador!$B$9*(1-COS(PI()*(1-(($A236-Simulador!$E$5)/Simulador!$G$5))/Simulador!$B$11))/2,Simulador!$B$9)))</f>
        <v>0</v>
      </c>
      <c r="C236" s="18">
        <f>IF(OR((($A236-Simulador!$E$6)/Simulador!$G$6)&lt;=0,(($A236-Simulador!$E$6)/Simulador!$G$6)&gt;=1),0,IF((($A236-Simulador!$E$6)/Simulador!$G$6)&lt;Simulador!$B$11,Simulador!$B$9*(1-COS(PI()*(($A236-Simulador!$E$6)/Simulador!$G$6)/Simulador!$B$11))/2,IF((($A236-Simulador!$E$6)/Simulador!$G$6)&gt;1-Simulador!$B$11,Simulador!$B$9*(1-COS(PI()*(1-(($A236-Simulador!$E$6)/Simulador!$G$6))/Simulador!$B$11))/2,Simulador!$B$9)))</f>
        <v>0</v>
      </c>
      <c r="D236" s="18">
        <f>IF(OR((($A236-Simulador!$E$7)/Simulador!$G$7)&lt;=0,(($A236-Simulador!$E$7)/Simulador!$G$7)&gt;=1),0,IF((($A236-Simulador!$E$7)/Simulador!$G$7)&lt;Simulador!$B$11,Simulador!$B$9*(1-COS(PI()*(($A236-Simulador!$E$7)/Simulador!$G$7)/Simulador!$B$11))/2,IF((($A236-Simulador!$E$7)/Simulador!$G$7)&gt;1-Simulador!$B$11,Simulador!$B$9*(1-COS(PI()*(1-(($A236-Simulador!$E$7)/Simulador!$G$7))/Simulador!$B$11))/2,Simulador!$B$9)))</f>
        <v>0</v>
      </c>
      <c r="E236" s="18">
        <f>IF(OR((($A236-Simulador!$E$8)/Simulador!$G$8)&lt;=0,(($A236-Simulador!$E$8)/Simulador!$G$8)&gt;=1),0,IF((($A236-Simulador!$E$8)/Simulador!$G$8)&lt;Simulador!$B$11,Simulador!$B$10*(1-COS(PI()*(($A236-Simulador!$E$8)/Simulador!$G$8)/Simulador!$B$11))/2,IF((($A236-Simulador!$E$8)/Simulador!$G$8)&gt;1-Simulador!$B$11,Simulador!$B$10*(1-COS(PI()*(1-(($A236-Simulador!$E$8)/Simulador!$G$8))/Simulador!$B$11))/2,Simulador!$B$10)))</f>
        <v>8.5</v>
      </c>
      <c r="F236" s="18">
        <f>IF(OR((($A236-Simulador!$E$9)/Simulador!$G$9)&lt;=0,(($A236-Simulador!$E$9)/Simulador!$G$9)&gt;=1),0,IF((($A236-Simulador!$E$9)/Simulador!$G$9)&lt;Simulador!$B$11,Simulador!$B$10*(1-COS(PI()*(($A236-Simulador!$E$9)/Simulador!$G$9)/Simulador!$B$11))/2,IF((($A236-Simulador!$E$9)/Simulador!$G$9)&gt;1-Simulador!$B$11,Simulador!$B$10*(1-COS(PI()*(1-(($A236-Simulador!$E$9)/Simulador!$G$9))/Simulador!$B$11))/2,Simulador!$B$10)))</f>
        <v>8.5</v>
      </c>
      <c r="G236" s="18">
        <f>IF(OR((($A236-Simulador!$E$10)/Simulador!$G$10)&lt;=0,(($A236-Simulador!$E$10)/Simulador!$G$10)&gt;=1),0,IF((($A236-Simulador!$E$10)/Simulador!$G$10)&lt;Simulador!$B$11,Simulador!$B$10*(1-COS(PI()*(($A236-Simulador!$E$10)/Simulador!$G$10)/Simulador!$B$11))/2,IF((($A236-Simulador!$E$10)/Simulador!$G$10)&gt;1-Simulador!$B$11,Simulador!$B$10*(1-COS(PI()*(1-(($A236-Simulador!$E$10)/Simulador!$G$10))/Simulador!$B$11))/2,Simulador!$B$10)))</f>
        <v>8.5</v>
      </c>
    </row>
    <row r="237" spans="1:7" x14ac:dyDescent="0.25">
      <c r="A237" s="17">
        <f>A236+Simulador!$B$14</f>
        <v>470</v>
      </c>
      <c r="B237" s="18">
        <f>IF(OR((($A237-Simulador!$E$5)/Simulador!$G$5)&lt;=0,(($A237-Simulador!$E$5)/Simulador!$G$5)&gt;=1),0,IF((($A237-Simulador!$E$5)/Simulador!$G$5)&lt;Simulador!$B$11,Simulador!$B$9*(1-COS(PI()*(($A237-Simulador!$E$5)/Simulador!$G$5)/Simulador!$B$11))/2,IF((($A237-Simulador!$E$5)/Simulador!$G$5)&gt;1-Simulador!$B$11,Simulador!$B$9*(1-COS(PI()*(1-(($A237-Simulador!$E$5)/Simulador!$G$5))/Simulador!$B$11))/2,Simulador!$B$9)))</f>
        <v>0</v>
      </c>
      <c r="C237" s="18">
        <f>IF(OR((($A237-Simulador!$E$6)/Simulador!$G$6)&lt;=0,(($A237-Simulador!$E$6)/Simulador!$G$6)&gt;=1),0,IF((($A237-Simulador!$E$6)/Simulador!$G$6)&lt;Simulador!$B$11,Simulador!$B$9*(1-COS(PI()*(($A237-Simulador!$E$6)/Simulador!$G$6)/Simulador!$B$11))/2,IF((($A237-Simulador!$E$6)/Simulador!$G$6)&gt;1-Simulador!$B$11,Simulador!$B$9*(1-COS(PI()*(1-(($A237-Simulador!$E$6)/Simulador!$G$6))/Simulador!$B$11))/2,Simulador!$B$9)))</f>
        <v>0</v>
      </c>
      <c r="D237" s="18">
        <f>IF(OR((($A237-Simulador!$E$7)/Simulador!$G$7)&lt;=0,(($A237-Simulador!$E$7)/Simulador!$G$7)&gt;=1),0,IF((($A237-Simulador!$E$7)/Simulador!$G$7)&lt;Simulador!$B$11,Simulador!$B$9*(1-COS(PI()*(($A237-Simulador!$E$7)/Simulador!$G$7)/Simulador!$B$11))/2,IF((($A237-Simulador!$E$7)/Simulador!$G$7)&gt;1-Simulador!$B$11,Simulador!$B$9*(1-COS(PI()*(1-(($A237-Simulador!$E$7)/Simulador!$G$7))/Simulador!$B$11))/2,Simulador!$B$9)))</f>
        <v>0</v>
      </c>
      <c r="E237" s="18">
        <f>IF(OR((($A237-Simulador!$E$8)/Simulador!$G$8)&lt;=0,(($A237-Simulador!$E$8)/Simulador!$G$8)&gt;=1),0,IF((($A237-Simulador!$E$8)/Simulador!$G$8)&lt;Simulador!$B$11,Simulador!$B$10*(1-COS(PI()*(($A237-Simulador!$E$8)/Simulador!$G$8)/Simulador!$B$11))/2,IF((($A237-Simulador!$E$8)/Simulador!$G$8)&gt;1-Simulador!$B$11,Simulador!$B$10*(1-COS(PI()*(1-(($A237-Simulador!$E$8)/Simulador!$G$8))/Simulador!$B$11))/2,Simulador!$B$10)))</f>
        <v>8.5</v>
      </c>
      <c r="F237" s="18">
        <f>IF(OR((($A237-Simulador!$E$9)/Simulador!$G$9)&lt;=0,(($A237-Simulador!$E$9)/Simulador!$G$9)&gt;=1),0,IF((($A237-Simulador!$E$9)/Simulador!$G$9)&lt;Simulador!$B$11,Simulador!$B$10*(1-COS(PI()*(($A237-Simulador!$E$9)/Simulador!$G$9)/Simulador!$B$11))/2,IF((($A237-Simulador!$E$9)/Simulador!$G$9)&gt;1-Simulador!$B$11,Simulador!$B$10*(1-COS(PI()*(1-(($A237-Simulador!$E$9)/Simulador!$G$9))/Simulador!$B$11))/2,Simulador!$B$10)))</f>
        <v>8.5</v>
      </c>
      <c r="G237" s="18">
        <f>IF(OR((($A237-Simulador!$E$10)/Simulador!$G$10)&lt;=0,(($A237-Simulador!$E$10)/Simulador!$G$10)&gt;=1),0,IF((($A237-Simulador!$E$10)/Simulador!$G$10)&lt;Simulador!$B$11,Simulador!$B$10*(1-COS(PI()*(($A237-Simulador!$E$10)/Simulador!$G$10)/Simulador!$B$11))/2,IF((($A237-Simulador!$E$10)/Simulador!$G$10)&gt;1-Simulador!$B$11,Simulador!$B$10*(1-COS(PI()*(1-(($A237-Simulador!$E$10)/Simulador!$G$10))/Simulador!$B$11))/2,Simulador!$B$10)))</f>
        <v>8.5</v>
      </c>
    </row>
    <row r="238" spans="1:7" x14ac:dyDescent="0.25">
      <c r="A238" s="17">
        <f>A237+Simulador!$B$14</f>
        <v>472</v>
      </c>
      <c r="B238" s="18">
        <f>IF(OR((($A238-Simulador!$E$5)/Simulador!$G$5)&lt;=0,(($A238-Simulador!$E$5)/Simulador!$G$5)&gt;=1),0,IF((($A238-Simulador!$E$5)/Simulador!$G$5)&lt;Simulador!$B$11,Simulador!$B$9*(1-COS(PI()*(($A238-Simulador!$E$5)/Simulador!$G$5)/Simulador!$B$11))/2,IF((($A238-Simulador!$E$5)/Simulador!$G$5)&gt;1-Simulador!$B$11,Simulador!$B$9*(1-COS(PI()*(1-(($A238-Simulador!$E$5)/Simulador!$G$5))/Simulador!$B$11))/2,Simulador!$B$9)))</f>
        <v>0</v>
      </c>
      <c r="C238" s="18">
        <f>IF(OR((($A238-Simulador!$E$6)/Simulador!$G$6)&lt;=0,(($A238-Simulador!$E$6)/Simulador!$G$6)&gt;=1),0,IF((($A238-Simulador!$E$6)/Simulador!$G$6)&lt;Simulador!$B$11,Simulador!$B$9*(1-COS(PI()*(($A238-Simulador!$E$6)/Simulador!$G$6)/Simulador!$B$11))/2,IF((($A238-Simulador!$E$6)/Simulador!$G$6)&gt;1-Simulador!$B$11,Simulador!$B$9*(1-COS(PI()*(1-(($A238-Simulador!$E$6)/Simulador!$G$6))/Simulador!$B$11))/2,Simulador!$B$9)))</f>
        <v>0</v>
      </c>
      <c r="D238" s="18">
        <f>IF(OR((($A238-Simulador!$E$7)/Simulador!$G$7)&lt;=0,(($A238-Simulador!$E$7)/Simulador!$G$7)&gt;=1),0,IF((($A238-Simulador!$E$7)/Simulador!$G$7)&lt;Simulador!$B$11,Simulador!$B$9*(1-COS(PI()*(($A238-Simulador!$E$7)/Simulador!$G$7)/Simulador!$B$11))/2,IF((($A238-Simulador!$E$7)/Simulador!$G$7)&gt;1-Simulador!$B$11,Simulador!$B$9*(1-COS(PI()*(1-(($A238-Simulador!$E$7)/Simulador!$G$7))/Simulador!$B$11))/2,Simulador!$B$9)))</f>
        <v>0</v>
      </c>
      <c r="E238" s="18">
        <f>IF(OR((($A238-Simulador!$E$8)/Simulador!$G$8)&lt;=0,(($A238-Simulador!$E$8)/Simulador!$G$8)&gt;=1),0,IF((($A238-Simulador!$E$8)/Simulador!$G$8)&lt;Simulador!$B$11,Simulador!$B$10*(1-COS(PI()*(($A238-Simulador!$E$8)/Simulador!$G$8)/Simulador!$B$11))/2,IF((($A238-Simulador!$E$8)/Simulador!$G$8)&gt;1-Simulador!$B$11,Simulador!$B$10*(1-COS(PI()*(1-(($A238-Simulador!$E$8)/Simulador!$G$8))/Simulador!$B$11))/2,Simulador!$B$10)))</f>
        <v>8.4923930515128738</v>
      </c>
      <c r="F238" s="18">
        <f>IF(OR((($A238-Simulador!$E$9)/Simulador!$G$9)&lt;=0,(($A238-Simulador!$E$9)/Simulador!$G$9)&gt;=1),0,IF((($A238-Simulador!$E$9)/Simulador!$G$9)&lt;Simulador!$B$11,Simulador!$B$10*(1-COS(PI()*(($A238-Simulador!$E$9)/Simulador!$G$9)/Simulador!$B$11))/2,IF((($A238-Simulador!$E$9)/Simulador!$G$9)&gt;1-Simulador!$B$11,Simulador!$B$10*(1-COS(PI()*(1-(($A238-Simulador!$E$9)/Simulador!$G$9))/Simulador!$B$11))/2,Simulador!$B$10)))</f>
        <v>8.5</v>
      </c>
      <c r="G238" s="18">
        <f>IF(OR((($A238-Simulador!$E$10)/Simulador!$G$10)&lt;=0,(($A238-Simulador!$E$10)/Simulador!$G$10)&gt;=1),0,IF((($A238-Simulador!$E$10)/Simulador!$G$10)&lt;Simulador!$B$11,Simulador!$B$10*(1-COS(PI()*(($A238-Simulador!$E$10)/Simulador!$G$10)/Simulador!$B$11))/2,IF((($A238-Simulador!$E$10)/Simulador!$G$10)&gt;1-Simulador!$B$11,Simulador!$B$10*(1-COS(PI()*(1-(($A238-Simulador!$E$10)/Simulador!$G$10))/Simulador!$B$11))/2,Simulador!$B$10)))</f>
        <v>8.5</v>
      </c>
    </row>
    <row r="239" spans="1:7" x14ac:dyDescent="0.25">
      <c r="A239" s="17">
        <f>A238+Simulador!$B$14</f>
        <v>474</v>
      </c>
      <c r="B239" s="18">
        <f>IF(OR((($A239-Simulador!$E$5)/Simulador!$G$5)&lt;=0,(($A239-Simulador!$E$5)/Simulador!$G$5)&gt;=1),0,IF((($A239-Simulador!$E$5)/Simulador!$G$5)&lt;Simulador!$B$11,Simulador!$B$9*(1-COS(PI()*(($A239-Simulador!$E$5)/Simulador!$G$5)/Simulador!$B$11))/2,IF((($A239-Simulador!$E$5)/Simulador!$G$5)&gt;1-Simulador!$B$11,Simulador!$B$9*(1-COS(PI()*(1-(($A239-Simulador!$E$5)/Simulador!$G$5))/Simulador!$B$11))/2,Simulador!$B$9)))</f>
        <v>0</v>
      </c>
      <c r="C239" s="18">
        <f>IF(OR((($A239-Simulador!$E$6)/Simulador!$G$6)&lt;=0,(($A239-Simulador!$E$6)/Simulador!$G$6)&gt;=1),0,IF((($A239-Simulador!$E$6)/Simulador!$G$6)&lt;Simulador!$B$11,Simulador!$B$9*(1-COS(PI()*(($A239-Simulador!$E$6)/Simulador!$G$6)/Simulador!$B$11))/2,IF((($A239-Simulador!$E$6)/Simulador!$G$6)&gt;1-Simulador!$B$11,Simulador!$B$9*(1-COS(PI()*(1-(($A239-Simulador!$E$6)/Simulador!$G$6))/Simulador!$B$11))/2,Simulador!$B$9)))</f>
        <v>0</v>
      </c>
      <c r="D239" s="18">
        <f>IF(OR((($A239-Simulador!$E$7)/Simulador!$G$7)&lt;=0,(($A239-Simulador!$E$7)/Simulador!$G$7)&gt;=1),0,IF((($A239-Simulador!$E$7)/Simulador!$G$7)&lt;Simulador!$B$11,Simulador!$B$9*(1-COS(PI()*(($A239-Simulador!$E$7)/Simulador!$G$7)/Simulador!$B$11))/2,IF((($A239-Simulador!$E$7)/Simulador!$G$7)&gt;1-Simulador!$B$11,Simulador!$B$9*(1-COS(PI()*(1-(($A239-Simulador!$E$7)/Simulador!$G$7))/Simulador!$B$11))/2,Simulador!$B$9)))</f>
        <v>0</v>
      </c>
      <c r="E239" s="18">
        <f>IF(OR((($A239-Simulador!$E$8)/Simulador!$G$8)&lt;=0,(($A239-Simulador!$E$8)/Simulador!$G$8)&gt;=1),0,IF((($A239-Simulador!$E$8)/Simulador!$G$8)&lt;Simulador!$B$11,Simulador!$B$10*(1-COS(PI()*(($A239-Simulador!$E$8)/Simulador!$G$8)/Simulador!$B$11))/2,IF((($A239-Simulador!$E$8)/Simulador!$G$8)&gt;1-Simulador!$B$11,Simulador!$B$10*(1-COS(PI()*(1-(($A239-Simulador!$E$8)/Simulador!$G$8))/Simulador!$B$11))/2,Simulador!$B$10)))</f>
        <v>8.4695994369528087</v>
      </c>
      <c r="F239" s="18">
        <f>IF(OR((($A239-Simulador!$E$9)/Simulador!$G$9)&lt;=0,(($A239-Simulador!$E$9)/Simulador!$G$9)&gt;=1),0,IF((($A239-Simulador!$E$9)/Simulador!$G$9)&lt;Simulador!$B$11,Simulador!$B$10*(1-COS(PI()*(($A239-Simulador!$E$9)/Simulador!$G$9)/Simulador!$B$11))/2,IF((($A239-Simulador!$E$9)/Simulador!$G$9)&gt;1-Simulador!$B$11,Simulador!$B$10*(1-COS(PI()*(1-(($A239-Simulador!$E$9)/Simulador!$G$9))/Simulador!$B$11))/2,Simulador!$B$10)))</f>
        <v>8.5</v>
      </c>
      <c r="G239" s="18">
        <f>IF(OR((($A239-Simulador!$E$10)/Simulador!$G$10)&lt;=0,(($A239-Simulador!$E$10)/Simulador!$G$10)&gt;=1),0,IF((($A239-Simulador!$E$10)/Simulador!$G$10)&lt;Simulador!$B$11,Simulador!$B$10*(1-COS(PI()*(($A239-Simulador!$E$10)/Simulador!$G$10)/Simulador!$B$11))/2,IF((($A239-Simulador!$E$10)/Simulador!$G$10)&gt;1-Simulador!$B$11,Simulador!$B$10*(1-COS(PI()*(1-(($A239-Simulador!$E$10)/Simulador!$G$10))/Simulador!$B$11))/2,Simulador!$B$10)))</f>
        <v>8.5</v>
      </c>
    </row>
    <row r="240" spans="1:7" x14ac:dyDescent="0.25">
      <c r="A240" s="17">
        <f>A239+Simulador!$B$14</f>
        <v>476</v>
      </c>
      <c r="B240" s="18">
        <f>IF(OR((($A240-Simulador!$E$5)/Simulador!$G$5)&lt;=0,(($A240-Simulador!$E$5)/Simulador!$G$5)&gt;=1),0,IF((($A240-Simulador!$E$5)/Simulador!$G$5)&lt;Simulador!$B$11,Simulador!$B$9*(1-COS(PI()*(($A240-Simulador!$E$5)/Simulador!$G$5)/Simulador!$B$11))/2,IF((($A240-Simulador!$E$5)/Simulador!$G$5)&gt;1-Simulador!$B$11,Simulador!$B$9*(1-COS(PI()*(1-(($A240-Simulador!$E$5)/Simulador!$G$5))/Simulador!$B$11))/2,Simulador!$B$9)))</f>
        <v>0</v>
      </c>
      <c r="C240" s="18">
        <f>IF(OR((($A240-Simulador!$E$6)/Simulador!$G$6)&lt;=0,(($A240-Simulador!$E$6)/Simulador!$G$6)&gt;=1),0,IF((($A240-Simulador!$E$6)/Simulador!$G$6)&lt;Simulador!$B$11,Simulador!$B$9*(1-COS(PI()*(($A240-Simulador!$E$6)/Simulador!$G$6)/Simulador!$B$11))/2,IF((($A240-Simulador!$E$6)/Simulador!$G$6)&gt;1-Simulador!$B$11,Simulador!$B$9*(1-COS(PI()*(1-(($A240-Simulador!$E$6)/Simulador!$G$6))/Simulador!$B$11))/2,Simulador!$B$9)))</f>
        <v>0</v>
      </c>
      <c r="D240" s="18">
        <f>IF(OR((($A240-Simulador!$E$7)/Simulador!$G$7)&lt;=0,(($A240-Simulador!$E$7)/Simulador!$G$7)&gt;=1),0,IF((($A240-Simulador!$E$7)/Simulador!$G$7)&lt;Simulador!$B$11,Simulador!$B$9*(1-COS(PI()*(($A240-Simulador!$E$7)/Simulador!$G$7)/Simulador!$B$11))/2,IF((($A240-Simulador!$E$7)/Simulador!$G$7)&gt;1-Simulador!$B$11,Simulador!$B$9*(1-COS(PI()*(1-(($A240-Simulador!$E$7)/Simulador!$G$7))/Simulador!$B$11))/2,Simulador!$B$9)))</f>
        <v>0</v>
      </c>
      <c r="E240" s="18">
        <f>IF(OR((($A240-Simulador!$E$8)/Simulador!$G$8)&lt;=0,(($A240-Simulador!$E$8)/Simulador!$G$8)&gt;=1),0,IF((($A240-Simulador!$E$8)/Simulador!$G$8)&lt;Simulador!$B$11,Simulador!$B$10*(1-COS(PI()*(($A240-Simulador!$E$8)/Simulador!$G$8)/Simulador!$B$11))/2,IF((($A240-Simulador!$E$8)/Simulador!$G$8)&gt;1-Simulador!$B$11,Simulador!$B$10*(1-COS(PI()*(1-(($A240-Simulador!$E$8)/Simulador!$G$8))/Simulador!$B$11))/2,Simulador!$B$10)))</f>
        <v>8.4317007515441755</v>
      </c>
      <c r="F240" s="18">
        <f>IF(OR((($A240-Simulador!$E$9)/Simulador!$G$9)&lt;=0,(($A240-Simulador!$E$9)/Simulador!$G$9)&gt;=1),0,IF((($A240-Simulador!$E$9)/Simulador!$G$9)&lt;Simulador!$B$11,Simulador!$B$10*(1-COS(PI()*(($A240-Simulador!$E$9)/Simulador!$G$9)/Simulador!$B$11))/2,IF((($A240-Simulador!$E$9)/Simulador!$G$9)&gt;1-Simulador!$B$11,Simulador!$B$10*(1-COS(PI()*(1-(($A240-Simulador!$E$9)/Simulador!$G$9))/Simulador!$B$11))/2,Simulador!$B$10)))</f>
        <v>8.5</v>
      </c>
      <c r="G240" s="18">
        <f>IF(OR((($A240-Simulador!$E$10)/Simulador!$G$10)&lt;=0,(($A240-Simulador!$E$10)/Simulador!$G$10)&gt;=1),0,IF((($A240-Simulador!$E$10)/Simulador!$G$10)&lt;Simulador!$B$11,Simulador!$B$10*(1-COS(PI()*(($A240-Simulador!$E$10)/Simulador!$G$10)/Simulador!$B$11))/2,IF((($A240-Simulador!$E$10)/Simulador!$G$10)&gt;1-Simulador!$B$11,Simulador!$B$10*(1-COS(PI()*(1-(($A240-Simulador!$E$10)/Simulador!$G$10))/Simulador!$B$11))/2,Simulador!$B$10)))</f>
        <v>8.5</v>
      </c>
    </row>
    <row r="241" spans="1:7" x14ac:dyDescent="0.25">
      <c r="A241" s="17">
        <f>A240+Simulador!$B$14</f>
        <v>478</v>
      </c>
      <c r="B241" s="18">
        <f>IF(OR((($A241-Simulador!$E$5)/Simulador!$G$5)&lt;=0,(($A241-Simulador!$E$5)/Simulador!$G$5)&gt;=1),0,IF((($A241-Simulador!$E$5)/Simulador!$G$5)&lt;Simulador!$B$11,Simulador!$B$9*(1-COS(PI()*(($A241-Simulador!$E$5)/Simulador!$G$5)/Simulador!$B$11))/2,IF((($A241-Simulador!$E$5)/Simulador!$G$5)&gt;1-Simulador!$B$11,Simulador!$B$9*(1-COS(PI()*(1-(($A241-Simulador!$E$5)/Simulador!$G$5))/Simulador!$B$11))/2,Simulador!$B$9)))</f>
        <v>0</v>
      </c>
      <c r="C241" s="18">
        <f>IF(OR((($A241-Simulador!$E$6)/Simulador!$G$6)&lt;=0,(($A241-Simulador!$E$6)/Simulador!$G$6)&gt;=1),0,IF((($A241-Simulador!$E$6)/Simulador!$G$6)&lt;Simulador!$B$11,Simulador!$B$9*(1-COS(PI()*(($A241-Simulador!$E$6)/Simulador!$G$6)/Simulador!$B$11))/2,IF((($A241-Simulador!$E$6)/Simulador!$G$6)&gt;1-Simulador!$B$11,Simulador!$B$9*(1-COS(PI()*(1-(($A241-Simulador!$E$6)/Simulador!$G$6))/Simulador!$B$11))/2,Simulador!$B$9)))</f>
        <v>0</v>
      </c>
      <c r="D241" s="18">
        <f>IF(OR((($A241-Simulador!$E$7)/Simulador!$G$7)&lt;=0,(($A241-Simulador!$E$7)/Simulador!$G$7)&gt;=1),0,IF((($A241-Simulador!$E$7)/Simulador!$G$7)&lt;Simulador!$B$11,Simulador!$B$9*(1-COS(PI()*(($A241-Simulador!$E$7)/Simulador!$G$7)/Simulador!$B$11))/2,IF((($A241-Simulador!$E$7)/Simulador!$G$7)&gt;1-Simulador!$B$11,Simulador!$B$9*(1-COS(PI()*(1-(($A241-Simulador!$E$7)/Simulador!$G$7))/Simulador!$B$11))/2,Simulador!$B$9)))</f>
        <v>0</v>
      </c>
      <c r="E241" s="18">
        <f>IF(OR((($A241-Simulador!$E$8)/Simulador!$G$8)&lt;=0,(($A241-Simulador!$E$8)/Simulador!$G$8)&gt;=1),0,IF((($A241-Simulador!$E$8)/Simulador!$G$8)&lt;Simulador!$B$11,Simulador!$B$10*(1-COS(PI()*(($A241-Simulador!$E$8)/Simulador!$G$8)/Simulador!$B$11))/2,IF((($A241-Simulador!$E$8)/Simulador!$G$8)&gt;1-Simulador!$B$11,Simulador!$B$10*(1-COS(PI()*(1-(($A241-Simulador!$E$8)/Simulador!$G$8))/Simulador!$B$11))/2,Simulador!$B$10)))</f>
        <v>8.3788326627446867</v>
      </c>
      <c r="F241" s="18">
        <f>IF(OR((($A241-Simulador!$E$9)/Simulador!$G$9)&lt;=0,(($A241-Simulador!$E$9)/Simulador!$G$9)&gt;=1),0,IF((($A241-Simulador!$E$9)/Simulador!$G$9)&lt;Simulador!$B$11,Simulador!$B$10*(1-COS(PI()*(($A241-Simulador!$E$9)/Simulador!$G$9)/Simulador!$B$11))/2,IF((($A241-Simulador!$E$9)/Simulador!$G$9)&gt;1-Simulador!$B$11,Simulador!$B$10*(1-COS(PI()*(1-(($A241-Simulador!$E$9)/Simulador!$G$9))/Simulador!$B$11))/2,Simulador!$B$10)))</f>
        <v>8.5</v>
      </c>
      <c r="G241" s="18">
        <f>IF(OR((($A241-Simulador!$E$10)/Simulador!$G$10)&lt;=0,(($A241-Simulador!$E$10)/Simulador!$G$10)&gt;=1),0,IF((($A241-Simulador!$E$10)/Simulador!$G$10)&lt;Simulador!$B$11,Simulador!$B$10*(1-COS(PI()*(($A241-Simulador!$E$10)/Simulador!$G$10)/Simulador!$B$11))/2,IF((($A241-Simulador!$E$10)/Simulador!$G$10)&gt;1-Simulador!$B$11,Simulador!$B$10*(1-COS(PI()*(1-(($A241-Simulador!$E$10)/Simulador!$G$10))/Simulador!$B$11))/2,Simulador!$B$10)))</f>
        <v>8.5</v>
      </c>
    </row>
    <row r="242" spans="1:7" x14ac:dyDescent="0.25">
      <c r="A242" s="17">
        <f>A241+Simulador!$B$14</f>
        <v>480</v>
      </c>
      <c r="B242" s="18">
        <f>IF(OR((($A242-Simulador!$E$5)/Simulador!$G$5)&lt;=0,(($A242-Simulador!$E$5)/Simulador!$G$5)&gt;=1),0,IF((($A242-Simulador!$E$5)/Simulador!$G$5)&lt;Simulador!$B$11,Simulador!$B$9*(1-COS(PI()*(($A242-Simulador!$E$5)/Simulador!$G$5)/Simulador!$B$11))/2,IF((($A242-Simulador!$E$5)/Simulador!$G$5)&gt;1-Simulador!$B$11,Simulador!$B$9*(1-COS(PI()*(1-(($A242-Simulador!$E$5)/Simulador!$G$5))/Simulador!$B$11))/2,Simulador!$B$9)))</f>
        <v>0</v>
      </c>
      <c r="C242" s="18">
        <f>IF(OR((($A242-Simulador!$E$6)/Simulador!$G$6)&lt;=0,(($A242-Simulador!$E$6)/Simulador!$G$6)&gt;=1),0,IF((($A242-Simulador!$E$6)/Simulador!$G$6)&lt;Simulador!$B$11,Simulador!$B$9*(1-COS(PI()*(($A242-Simulador!$E$6)/Simulador!$G$6)/Simulador!$B$11))/2,IF((($A242-Simulador!$E$6)/Simulador!$G$6)&gt;1-Simulador!$B$11,Simulador!$B$9*(1-COS(PI()*(1-(($A242-Simulador!$E$6)/Simulador!$G$6))/Simulador!$B$11))/2,Simulador!$B$9)))</f>
        <v>0</v>
      </c>
      <c r="D242" s="18">
        <f>IF(OR((($A242-Simulador!$E$7)/Simulador!$G$7)&lt;=0,(($A242-Simulador!$E$7)/Simulador!$G$7)&gt;=1),0,IF((($A242-Simulador!$E$7)/Simulador!$G$7)&lt;Simulador!$B$11,Simulador!$B$9*(1-COS(PI()*(($A242-Simulador!$E$7)/Simulador!$G$7)/Simulador!$B$11))/2,IF((($A242-Simulador!$E$7)/Simulador!$G$7)&gt;1-Simulador!$B$11,Simulador!$B$9*(1-COS(PI()*(1-(($A242-Simulador!$E$7)/Simulador!$G$7))/Simulador!$B$11))/2,Simulador!$B$9)))</f>
        <v>0</v>
      </c>
      <c r="E242" s="18">
        <f>IF(OR((($A242-Simulador!$E$8)/Simulador!$G$8)&lt;=0,(($A242-Simulador!$E$8)/Simulador!$G$8)&gt;=1),0,IF((($A242-Simulador!$E$8)/Simulador!$G$8)&lt;Simulador!$B$11,Simulador!$B$10*(1-COS(PI()*(($A242-Simulador!$E$8)/Simulador!$G$8)/Simulador!$B$11))/2,IF((($A242-Simulador!$E$8)/Simulador!$G$8)&gt;1-Simulador!$B$11,Simulador!$B$10*(1-COS(PI()*(1-(($A242-Simulador!$E$8)/Simulador!$G$8))/Simulador!$B$11))/2,Simulador!$B$10)))</f>
        <v>8.3111844245910973</v>
      </c>
      <c r="F242" s="18">
        <f>IF(OR((($A242-Simulador!$E$9)/Simulador!$G$9)&lt;=0,(($A242-Simulador!$E$9)/Simulador!$G$9)&gt;=1),0,IF((($A242-Simulador!$E$9)/Simulador!$G$9)&lt;Simulador!$B$11,Simulador!$B$10*(1-COS(PI()*(($A242-Simulador!$E$9)/Simulador!$G$9)/Simulador!$B$11))/2,IF((($A242-Simulador!$E$9)/Simulador!$G$9)&gt;1-Simulador!$B$11,Simulador!$B$10*(1-COS(PI()*(1-(($A242-Simulador!$E$9)/Simulador!$G$9))/Simulador!$B$11))/2,Simulador!$B$10)))</f>
        <v>8.5</v>
      </c>
      <c r="G242" s="18">
        <f>IF(OR((($A242-Simulador!$E$10)/Simulador!$G$10)&lt;=0,(($A242-Simulador!$E$10)/Simulador!$G$10)&gt;=1),0,IF((($A242-Simulador!$E$10)/Simulador!$G$10)&lt;Simulador!$B$11,Simulador!$B$10*(1-COS(PI()*(($A242-Simulador!$E$10)/Simulador!$G$10)/Simulador!$B$11))/2,IF((($A242-Simulador!$E$10)/Simulador!$G$10)&gt;1-Simulador!$B$11,Simulador!$B$10*(1-COS(PI()*(1-(($A242-Simulador!$E$10)/Simulador!$G$10))/Simulador!$B$11))/2,Simulador!$B$10)))</f>
        <v>8.5</v>
      </c>
    </row>
    <row r="243" spans="1:7" x14ac:dyDescent="0.25">
      <c r="A243" s="17">
        <f>A242+Simulador!$B$14</f>
        <v>482</v>
      </c>
      <c r="B243" s="18">
        <f>IF(OR((($A243-Simulador!$E$5)/Simulador!$G$5)&lt;=0,(($A243-Simulador!$E$5)/Simulador!$G$5)&gt;=1),0,IF((($A243-Simulador!$E$5)/Simulador!$G$5)&lt;Simulador!$B$11,Simulador!$B$9*(1-COS(PI()*(($A243-Simulador!$E$5)/Simulador!$G$5)/Simulador!$B$11))/2,IF((($A243-Simulador!$E$5)/Simulador!$G$5)&gt;1-Simulador!$B$11,Simulador!$B$9*(1-COS(PI()*(1-(($A243-Simulador!$E$5)/Simulador!$G$5))/Simulador!$B$11))/2,Simulador!$B$9)))</f>
        <v>0</v>
      </c>
      <c r="C243" s="18">
        <f>IF(OR((($A243-Simulador!$E$6)/Simulador!$G$6)&lt;=0,(($A243-Simulador!$E$6)/Simulador!$G$6)&gt;=1),0,IF((($A243-Simulador!$E$6)/Simulador!$G$6)&lt;Simulador!$B$11,Simulador!$B$9*(1-COS(PI()*(($A243-Simulador!$E$6)/Simulador!$G$6)/Simulador!$B$11))/2,IF((($A243-Simulador!$E$6)/Simulador!$G$6)&gt;1-Simulador!$B$11,Simulador!$B$9*(1-COS(PI()*(1-(($A243-Simulador!$E$6)/Simulador!$G$6))/Simulador!$B$11))/2,Simulador!$B$9)))</f>
        <v>0</v>
      </c>
      <c r="D243" s="18">
        <f>IF(OR((($A243-Simulador!$E$7)/Simulador!$G$7)&lt;=0,(($A243-Simulador!$E$7)/Simulador!$G$7)&gt;=1),0,IF((($A243-Simulador!$E$7)/Simulador!$G$7)&lt;Simulador!$B$11,Simulador!$B$9*(1-COS(PI()*(($A243-Simulador!$E$7)/Simulador!$G$7)/Simulador!$B$11))/2,IF((($A243-Simulador!$E$7)/Simulador!$G$7)&gt;1-Simulador!$B$11,Simulador!$B$9*(1-COS(PI()*(1-(($A243-Simulador!$E$7)/Simulador!$G$7))/Simulador!$B$11))/2,Simulador!$B$9)))</f>
        <v>0</v>
      </c>
      <c r="E243" s="18">
        <f>IF(OR((($A243-Simulador!$E$8)/Simulador!$G$8)&lt;=0,(($A243-Simulador!$E$8)/Simulador!$G$8)&gt;=1),0,IF((($A243-Simulador!$E$8)/Simulador!$G$8)&lt;Simulador!$B$11,Simulador!$B$10*(1-COS(PI()*(($A243-Simulador!$E$8)/Simulador!$G$8)/Simulador!$B$11))/2,IF((($A243-Simulador!$E$8)/Simulador!$G$8)&gt;1-Simulador!$B$11,Simulador!$B$10*(1-COS(PI()*(1-(($A243-Simulador!$E$8)/Simulador!$G$8))/Simulador!$B$11))/2,Simulador!$B$10)))</f>
        <v>8.228998200218884</v>
      </c>
      <c r="F243" s="18">
        <f>IF(OR((($A243-Simulador!$E$9)/Simulador!$G$9)&lt;=0,(($A243-Simulador!$E$9)/Simulador!$G$9)&gt;=1),0,IF((($A243-Simulador!$E$9)/Simulador!$G$9)&lt;Simulador!$B$11,Simulador!$B$10*(1-COS(PI()*(($A243-Simulador!$E$9)/Simulador!$G$9)/Simulador!$B$11))/2,IF((($A243-Simulador!$E$9)/Simulador!$G$9)&gt;1-Simulador!$B$11,Simulador!$B$10*(1-COS(PI()*(1-(($A243-Simulador!$E$9)/Simulador!$G$9))/Simulador!$B$11))/2,Simulador!$B$10)))</f>
        <v>8.5</v>
      </c>
      <c r="G243" s="18">
        <f>IF(OR((($A243-Simulador!$E$10)/Simulador!$G$10)&lt;=0,(($A243-Simulador!$E$10)/Simulador!$G$10)&gt;=1),0,IF((($A243-Simulador!$E$10)/Simulador!$G$10)&lt;Simulador!$B$11,Simulador!$B$10*(1-COS(PI()*(($A243-Simulador!$E$10)/Simulador!$G$10)/Simulador!$B$11))/2,IF((($A243-Simulador!$E$10)/Simulador!$G$10)&gt;1-Simulador!$B$11,Simulador!$B$10*(1-COS(PI()*(1-(($A243-Simulador!$E$10)/Simulador!$G$10))/Simulador!$B$11))/2,Simulador!$B$10)))</f>
        <v>8.5</v>
      </c>
    </row>
    <row r="244" spans="1:7" x14ac:dyDescent="0.25">
      <c r="A244" s="17">
        <f>A243+Simulador!$B$14</f>
        <v>484</v>
      </c>
      <c r="B244" s="18">
        <f>IF(OR((($A244-Simulador!$E$5)/Simulador!$G$5)&lt;=0,(($A244-Simulador!$E$5)/Simulador!$G$5)&gt;=1),0,IF((($A244-Simulador!$E$5)/Simulador!$G$5)&lt;Simulador!$B$11,Simulador!$B$9*(1-COS(PI()*(($A244-Simulador!$E$5)/Simulador!$G$5)/Simulador!$B$11))/2,IF((($A244-Simulador!$E$5)/Simulador!$G$5)&gt;1-Simulador!$B$11,Simulador!$B$9*(1-COS(PI()*(1-(($A244-Simulador!$E$5)/Simulador!$G$5))/Simulador!$B$11))/2,Simulador!$B$9)))</f>
        <v>0</v>
      </c>
      <c r="C244" s="18">
        <f>IF(OR((($A244-Simulador!$E$6)/Simulador!$G$6)&lt;=0,(($A244-Simulador!$E$6)/Simulador!$G$6)&gt;=1),0,IF((($A244-Simulador!$E$6)/Simulador!$G$6)&lt;Simulador!$B$11,Simulador!$B$9*(1-COS(PI()*(($A244-Simulador!$E$6)/Simulador!$G$6)/Simulador!$B$11))/2,IF((($A244-Simulador!$E$6)/Simulador!$G$6)&gt;1-Simulador!$B$11,Simulador!$B$9*(1-COS(PI()*(1-(($A244-Simulador!$E$6)/Simulador!$G$6))/Simulador!$B$11))/2,Simulador!$B$9)))</f>
        <v>0</v>
      </c>
      <c r="D244" s="18">
        <f>IF(OR((($A244-Simulador!$E$7)/Simulador!$G$7)&lt;=0,(($A244-Simulador!$E$7)/Simulador!$G$7)&gt;=1),0,IF((($A244-Simulador!$E$7)/Simulador!$G$7)&lt;Simulador!$B$11,Simulador!$B$9*(1-COS(PI()*(($A244-Simulador!$E$7)/Simulador!$G$7)/Simulador!$B$11))/2,IF((($A244-Simulador!$E$7)/Simulador!$G$7)&gt;1-Simulador!$B$11,Simulador!$B$9*(1-COS(PI()*(1-(($A244-Simulador!$E$7)/Simulador!$G$7))/Simulador!$B$11))/2,Simulador!$B$9)))</f>
        <v>0</v>
      </c>
      <c r="E244" s="18">
        <f>IF(OR((($A244-Simulador!$E$8)/Simulador!$G$8)&lt;=0,(($A244-Simulador!$E$8)/Simulador!$G$8)&gt;=1),0,IF((($A244-Simulador!$E$8)/Simulador!$G$8)&lt;Simulador!$B$11,Simulador!$B$10*(1-COS(PI()*(($A244-Simulador!$E$8)/Simulador!$G$8)/Simulador!$B$11))/2,IF((($A244-Simulador!$E$8)/Simulador!$G$8)&gt;1-Simulador!$B$11,Simulador!$B$10*(1-COS(PI()*(1-(($A244-Simulador!$E$8)/Simulador!$G$8))/Simulador!$B$11))/2,Simulador!$B$10)))</f>
        <v>8.1325681949810527</v>
      </c>
      <c r="F244" s="18">
        <f>IF(OR((($A244-Simulador!$E$9)/Simulador!$G$9)&lt;=0,(($A244-Simulador!$E$9)/Simulador!$G$9)&gt;=1),0,IF((($A244-Simulador!$E$9)/Simulador!$G$9)&lt;Simulador!$B$11,Simulador!$B$10*(1-COS(PI()*(($A244-Simulador!$E$9)/Simulador!$G$9)/Simulador!$B$11))/2,IF((($A244-Simulador!$E$9)/Simulador!$G$9)&gt;1-Simulador!$B$11,Simulador!$B$10*(1-COS(PI()*(1-(($A244-Simulador!$E$9)/Simulador!$G$9))/Simulador!$B$11))/2,Simulador!$B$10)))</f>
        <v>8.5</v>
      </c>
      <c r="G244" s="18">
        <f>IF(OR((($A244-Simulador!$E$10)/Simulador!$G$10)&lt;=0,(($A244-Simulador!$E$10)/Simulador!$G$10)&gt;=1),0,IF((($A244-Simulador!$E$10)/Simulador!$G$10)&lt;Simulador!$B$11,Simulador!$B$10*(1-COS(PI()*(($A244-Simulador!$E$10)/Simulador!$G$10)/Simulador!$B$11))/2,IF((($A244-Simulador!$E$10)/Simulador!$G$10)&gt;1-Simulador!$B$11,Simulador!$B$10*(1-COS(PI()*(1-(($A244-Simulador!$E$10)/Simulador!$G$10))/Simulador!$B$11))/2,Simulador!$B$10)))</f>
        <v>8.5</v>
      </c>
    </row>
    <row r="245" spans="1:7" x14ac:dyDescent="0.25">
      <c r="A245" s="17">
        <f>A244+Simulador!$B$14</f>
        <v>486</v>
      </c>
      <c r="B245" s="18">
        <f>IF(OR((($A245-Simulador!$E$5)/Simulador!$G$5)&lt;=0,(($A245-Simulador!$E$5)/Simulador!$G$5)&gt;=1),0,IF((($A245-Simulador!$E$5)/Simulador!$G$5)&lt;Simulador!$B$11,Simulador!$B$9*(1-COS(PI()*(($A245-Simulador!$E$5)/Simulador!$G$5)/Simulador!$B$11))/2,IF((($A245-Simulador!$E$5)/Simulador!$G$5)&gt;1-Simulador!$B$11,Simulador!$B$9*(1-COS(PI()*(1-(($A245-Simulador!$E$5)/Simulador!$G$5))/Simulador!$B$11))/2,Simulador!$B$9)))</f>
        <v>0</v>
      </c>
      <c r="C245" s="18">
        <f>IF(OR((($A245-Simulador!$E$6)/Simulador!$G$6)&lt;=0,(($A245-Simulador!$E$6)/Simulador!$G$6)&gt;=1),0,IF((($A245-Simulador!$E$6)/Simulador!$G$6)&lt;Simulador!$B$11,Simulador!$B$9*(1-COS(PI()*(($A245-Simulador!$E$6)/Simulador!$G$6)/Simulador!$B$11))/2,IF((($A245-Simulador!$E$6)/Simulador!$G$6)&gt;1-Simulador!$B$11,Simulador!$B$9*(1-COS(PI()*(1-(($A245-Simulador!$E$6)/Simulador!$G$6))/Simulador!$B$11))/2,Simulador!$B$9)))</f>
        <v>0</v>
      </c>
      <c r="D245" s="18">
        <f>IF(OR((($A245-Simulador!$E$7)/Simulador!$G$7)&lt;=0,(($A245-Simulador!$E$7)/Simulador!$G$7)&gt;=1),0,IF((($A245-Simulador!$E$7)/Simulador!$G$7)&lt;Simulador!$B$11,Simulador!$B$9*(1-COS(PI()*(($A245-Simulador!$E$7)/Simulador!$G$7)/Simulador!$B$11))/2,IF((($A245-Simulador!$E$7)/Simulador!$G$7)&gt;1-Simulador!$B$11,Simulador!$B$9*(1-COS(PI()*(1-(($A245-Simulador!$E$7)/Simulador!$G$7))/Simulador!$B$11))/2,Simulador!$B$9)))</f>
        <v>0</v>
      </c>
      <c r="E245" s="18">
        <f>IF(OR((($A245-Simulador!$E$8)/Simulador!$G$8)&lt;=0,(($A245-Simulador!$E$8)/Simulador!$G$8)&gt;=1),0,IF((($A245-Simulador!$E$8)/Simulador!$G$8)&lt;Simulador!$B$11,Simulador!$B$10*(1-COS(PI()*(($A245-Simulador!$E$8)/Simulador!$G$8)/Simulador!$B$11))/2,IF((($A245-Simulador!$E$8)/Simulador!$G$8)&gt;1-Simulador!$B$11,Simulador!$B$10*(1-COS(PI()*(1-(($A245-Simulador!$E$8)/Simulador!$G$8))/Simulador!$B$11))/2,Simulador!$B$10)))</f>
        <v>8.0222396032693553</v>
      </c>
      <c r="F245" s="18">
        <f>IF(OR((($A245-Simulador!$E$9)/Simulador!$G$9)&lt;=0,(($A245-Simulador!$E$9)/Simulador!$G$9)&gt;=1),0,IF((($A245-Simulador!$E$9)/Simulador!$G$9)&lt;Simulador!$B$11,Simulador!$B$10*(1-COS(PI()*(($A245-Simulador!$E$9)/Simulador!$G$9)/Simulador!$B$11))/2,IF((($A245-Simulador!$E$9)/Simulador!$G$9)&gt;1-Simulador!$B$11,Simulador!$B$10*(1-COS(PI()*(1-(($A245-Simulador!$E$9)/Simulador!$G$9))/Simulador!$B$11))/2,Simulador!$B$10)))</f>
        <v>8.4980978372048881</v>
      </c>
      <c r="G245" s="18">
        <f>IF(OR((($A245-Simulador!$E$10)/Simulador!$G$10)&lt;=0,(($A245-Simulador!$E$10)/Simulador!$G$10)&gt;=1),0,IF((($A245-Simulador!$E$10)/Simulador!$G$10)&lt;Simulador!$B$11,Simulador!$B$10*(1-COS(PI()*(($A245-Simulador!$E$10)/Simulador!$G$10)/Simulador!$B$11))/2,IF((($A245-Simulador!$E$10)/Simulador!$G$10)&gt;1-Simulador!$B$11,Simulador!$B$10*(1-COS(PI()*(1-(($A245-Simulador!$E$10)/Simulador!$G$10))/Simulador!$B$11))/2,Simulador!$B$10)))</f>
        <v>8.5</v>
      </c>
    </row>
    <row r="246" spans="1:7" x14ac:dyDescent="0.25">
      <c r="A246" s="17">
        <f>A245+Simulador!$B$14</f>
        <v>488</v>
      </c>
      <c r="B246" s="18">
        <f>IF(OR((($A246-Simulador!$E$5)/Simulador!$G$5)&lt;=0,(($A246-Simulador!$E$5)/Simulador!$G$5)&gt;=1),0,IF((($A246-Simulador!$E$5)/Simulador!$G$5)&lt;Simulador!$B$11,Simulador!$B$9*(1-COS(PI()*(($A246-Simulador!$E$5)/Simulador!$G$5)/Simulador!$B$11))/2,IF((($A246-Simulador!$E$5)/Simulador!$G$5)&gt;1-Simulador!$B$11,Simulador!$B$9*(1-COS(PI()*(1-(($A246-Simulador!$E$5)/Simulador!$G$5))/Simulador!$B$11))/2,Simulador!$B$9)))</f>
        <v>0</v>
      </c>
      <c r="C246" s="18">
        <f>IF(OR((($A246-Simulador!$E$6)/Simulador!$G$6)&lt;=0,(($A246-Simulador!$E$6)/Simulador!$G$6)&gt;=1),0,IF((($A246-Simulador!$E$6)/Simulador!$G$6)&lt;Simulador!$B$11,Simulador!$B$9*(1-COS(PI()*(($A246-Simulador!$E$6)/Simulador!$G$6)/Simulador!$B$11))/2,IF((($A246-Simulador!$E$6)/Simulador!$G$6)&gt;1-Simulador!$B$11,Simulador!$B$9*(1-COS(PI()*(1-(($A246-Simulador!$E$6)/Simulador!$G$6))/Simulador!$B$11))/2,Simulador!$B$9)))</f>
        <v>0</v>
      </c>
      <c r="D246" s="18">
        <f>IF(OR((($A246-Simulador!$E$7)/Simulador!$G$7)&lt;=0,(($A246-Simulador!$E$7)/Simulador!$G$7)&gt;=1),0,IF((($A246-Simulador!$E$7)/Simulador!$G$7)&lt;Simulador!$B$11,Simulador!$B$9*(1-COS(PI()*(($A246-Simulador!$E$7)/Simulador!$G$7)/Simulador!$B$11))/2,IF((($A246-Simulador!$E$7)/Simulador!$G$7)&gt;1-Simulador!$B$11,Simulador!$B$9*(1-COS(PI()*(1-(($A246-Simulador!$E$7)/Simulador!$G$7))/Simulador!$B$11))/2,Simulador!$B$9)))</f>
        <v>0</v>
      </c>
      <c r="E246" s="18">
        <f>IF(OR((($A246-Simulador!$E$8)/Simulador!$G$8)&lt;=0,(($A246-Simulador!$E$8)/Simulador!$G$8)&gt;=1),0,IF((($A246-Simulador!$E$8)/Simulador!$G$8)&lt;Simulador!$B$11,Simulador!$B$10*(1-COS(PI()*(($A246-Simulador!$E$8)/Simulador!$G$8)/Simulador!$B$11))/2,IF((($A246-Simulador!$E$8)/Simulador!$G$8)&gt;1-Simulador!$B$11,Simulador!$B$10*(1-COS(PI()*(1-(($A246-Simulador!$E$8)/Simulador!$G$8))/Simulador!$B$11))/2,Simulador!$B$10)))</f>
        <v>7.8984073728079309</v>
      </c>
      <c r="F246" s="18">
        <f>IF(OR((($A246-Simulador!$E$9)/Simulador!$G$9)&lt;=0,(($A246-Simulador!$E$9)/Simulador!$G$9)&gt;=1),0,IF((($A246-Simulador!$E$9)/Simulador!$G$9)&lt;Simulador!$B$11,Simulador!$B$10*(1-COS(PI()*(($A246-Simulador!$E$9)/Simulador!$G$9)/Simulador!$B$11))/2,IF((($A246-Simulador!$E$9)/Simulador!$G$9)&gt;1-Simulador!$B$11,Simulador!$B$10*(1-COS(PI()*(1-(($A246-Simulador!$E$9)/Simulador!$G$9))/Simulador!$B$11))/2,Simulador!$B$10)))</f>
        <v>8.4828907494797665</v>
      </c>
      <c r="G246" s="18">
        <f>IF(OR((($A246-Simulador!$E$10)/Simulador!$G$10)&lt;=0,(($A246-Simulador!$E$10)/Simulador!$G$10)&gt;=1),0,IF((($A246-Simulador!$E$10)/Simulador!$G$10)&lt;Simulador!$B$11,Simulador!$B$10*(1-COS(PI()*(($A246-Simulador!$E$10)/Simulador!$G$10)/Simulador!$B$11))/2,IF((($A246-Simulador!$E$10)/Simulador!$G$10)&gt;1-Simulador!$B$11,Simulador!$B$10*(1-COS(PI()*(1-(($A246-Simulador!$E$10)/Simulador!$G$10))/Simulador!$B$11))/2,Simulador!$B$10)))</f>
        <v>8.5</v>
      </c>
    </row>
    <row r="247" spans="1:7" x14ac:dyDescent="0.25">
      <c r="A247" s="17">
        <f>A246+Simulador!$B$14</f>
        <v>490</v>
      </c>
      <c r="B247" s="18">
        <f>IF(OR((($A247-Simulador!$E$5)/Simulador!$G$5)&lt;=0,(($A247-Simulador!$E$5)/Simulador!$G$5)&gt;=1),0,IF((($A247-Simulador!$E$5)/Simulador!$G$5)&lt;Simulador!$B$11,Simulador!$B$9*(1-COS(PI()*(($A247-Simulador!$E$5)/Simulador!$G$5)/Simulador!$B$11))/2,IF((($A247-Simulador!$E$5)/Simulador!$G$5)&gt;1-Simulador!$B$11,Simulador!$B$9*(1-COS(PI()*(1-(($A247-Simulador!$E$5)/Simulador!$G$5))/Simulador!$B$11))/2,Simulador!$B$9)))</f>
        <v>0</v>
      </c>
      <c r="C247" s="18">
        <f>IF(OR((($A247-Simulador!$E$6)/Simulador!$G$6)&lt;=0,(($A247-Simulador!$E$6)/Simulador!$G$6)&gt;=1),0,IF((($A247-Simulador!$E$6)/Simulador!$G$6)&lt;Simulador!$B$11,Simulador!$B$9*(1-COS(PI()*(($A247-Simulador!$E$6)/Simulador!$G$6)/Simulador!$B$11))/2,IF((($A247-Simulador!$E$6)/Simulador!$G$6)&gt;1-Simulador!$B$11,Simulador!$B$9*(1-COS(PI()*(1-(($A247-Simulador!$E$6)/Simulador!$G$6))/Simulador!$B$11))/2,Simulador!$B$9)))</f>
        <v>0</v>
      </c>
      <c r="D247" s="18">
        <f>IF(OR((($A247-Simulador!$E$7)/Simulador!$G$7)&lt;=0,(($A247-Simulador!$E$7)/Simulador!$G$7)&gt;=1),0,IF((($A247-Simulador!$E$7)/Simulador!$G$7)&lt;Simulador!$B$11,Simulador!$B$9*(1-COS(PI()*(($A247-Simulador!$E$7)/Simulador!$G$7)/Simulador!$B$11))/2,IF((($A247-Simulador!$E$7)/Simulador!$G$7)&gt;1-Simulador!$B$11,Simulador!$B$9*(1-COS(PI()*(1-(($A247-Simulador!$E$7)/Simulador!$G$7))/Simulador!$B$11))/2,Simulador!$B$9)))</f>
        <v>0</v>
      </c>
      <c r="E247" s="18">
        <f>IF(OR((($A247-Simulador!$E$8)/Simulador!$G$8)&lt;=0,(($A247-Simulador!$E$8)/Simulador!$G$8)&gt;=1),0,IF((($A247-Simulador!$E$8)/Simulador!$G$8)&lt;Simulador!$B$11,Simulador!$B$10*(1-COS(PI()*(($A247-Simulador!$E$8)/Simulador!$G$8)/Simulador!$B$11))/2,IF((($A247-Simulador!$E$8)/Simulador!$G$8)&gt;1-Simulador!$B$11,Simulador!$B$10*(1-COS(PI()*(1-(($A247-Simulador!$E$8)/Simulador!$G$8))/Simulador!$B$11))/2,Simulador!$B$10)))</f>
        <v>7.7615147908429778</v>
      </c>
      <c r="F247" s="18">
        <f>IF(OR((($A247-Simulador!$E$9)/Simulador!$G$9)&lt;=0,(($A247-Simulador!$E$9)/Simulador!$G$9)&gt;=1),0,IF((($A247-Simulador!$E$9)/Simulador!$G$9)&lt;Simulador!$B$11,Simulador!$B$10*(1-COS(PI()*(($A247-Simulador!$E$9)/Simulador!$G$9)/Simulador!$B$11))/2,IF((($A247-Simulador!$E$9)/Simulador!$G$9)&gt;1-Simulador!$B$11,Simulador!$B$10*(1-COS(PI()*(1-(($A247-Simulador!$E$9)/Simulador!$G$9))/Simulador!$B$11))/2,Simulador!$B$10)))</f>
        <v>8.4525310114567951</v>
      </c>
      <c r="G247" s="18">
        <f>IF(OR((($A247-Simulador!$E$10)/Simulador!$G$10)&lt;=0,(($A247-Simulador!$E$10)/Simulador!$G$10)&gt;=1),0,IF((($A247-Simulador!$E$10)/Simulador!$G$10)&lt;Simulador!$B$11,Simulador!$B$10*(1-COS(PI()*(($A247-Simulador!$E$10)/Simulador!$G$10)/Simulador!$B$11))/2,IF((($A247-Simulador!$E$10)/Simulador!$G$10)&gt;1-Simulador!$B$11,Simulador!$B$10*(1-COS(PI()*(1-(($A247-Simulador!$E$10)/Simulador!$G$10))/Simulador!$B$11))/2,Simulador!$B$10)))</f>
        <v>8.5</v>
      </c>
    </row>
    <row r="248" spans="1:7" x14ac:dyDescent="0.25">
      <c r="A248" s="17">
        <f>A247+Simulador!$B$14</f>
        <v>492</v>
      </c>
      <c r="B248" s="18">
        <f>IF(OR((($A248-Simulador!$E$5)/Simulador!$G$5)&lt;=0,(($A248-Simulador!$E$5)/Simulador!$G$5)&gt;=1),0,IF((($A248-Simulador!$E$5)/Simulador!$G$5)&lt;Simulador!$B$11,Simulador!$B$9*(1-COS(PI()*(($A248-Simulador!$E$5)/Simulador!$G$5)/Simulador!$B$11))/2,IF((($A248-Simulador!$E$5)/Simulador!$G$5)&gt;1-Simulador!$B$11,Simulador!$B$9*(1-COS(PI()*(1-(($A248-Simulador!$E$5)/Simulador!$G$5))/Simulador!$B$11))/2,Simulador!$B$9)))</f>
        <v>0</v>
      </c>
      <c r="C248" s="18">
        <f>IF(OR((($A248-Simulador!$E$6)/Simulador!$G$6)&lt;=0,(($A248-Simulador!$E$6)/Simulador!$G$6)&gt;=1),0,IF((($A248-Simulador!$E$6)/Simulador!$G$6)&lt;Simulador!$B$11,Simulador!$B$9*(1-COS(PI()*(($A248-Simulador!$E$6)/Simulador!$G$6)/Simulador!$B$11))/2,IF((($A248-Simulador!$E$6)/Simulador!$G$6)&gt;1-Simulador!$B$11,Simulador!$B$9*(1-COS(PI()*(1-(($A248-Simulador!$E$6)/Simulador!$G$6))/Simulador!$B$11))/2,Simulador!$B$9)))</f>
        <v>0</v>
      </c>
      <c r="D248" s="18">
        <f>IF(OR((($A248-Simulador!$E$7)/Simulador!$G$7)&lt;=0,(($A248-Simulador!$E$7)/Simulador!$G$7)&gt;=1),0,IF((($A248-Simulador!$E$7)/Simulador!$G$7)&lt;Simulador!$B$11,Simulador!$B$9*(1-COS(PI()*(($A248-Simulador!$E$7)/Simulador!$G$7)/Simulador!$B$11))/2,IF((($A248-Simulador!$E$7)/Simulador!$G$7)&gt;1-Simulador!$B$11,Simulador!$B$9*(1-COS(PI()*(1-(($A248-Simulador!$E$7)/Simulador!$G$7))/Simulador!$B$11))/2,Simulador!$B$9)))</f>
        <v>0</v>
      </c>
      <c r="E248" s="18">
        <f>IF(OR((($A248-Simulador!$E$8)/Simulador!$G$8)&lt;=0,(($A248-Simulador!$E$8)/Simulador!$G$8)&gt;=1),0,IF((($A248-Simulador!$E$8)/Simulador!$G$8)&lt;Simulador!$B$11,Simulador!$B$10*(1-COS(PI()*(($A248-Simulador!$E$8)/Simulador!$G$8)/Simulador!$B$11))/2,IF((($A248-Simulador!$E$8)/Simulador!$G$8)&gt;1-Simulador!$B$11,Simulador!$B$10*(1-COS(PI()*(1-(($A248-Simulador!$E$8)/Simulador!$G$8))/Simulador!$B$11))/2,Simulador!$B$10)))</f>
        <v>7.6120518972894509</v>
      </c>
      <c r="F248" s="18">
        <f>IF(OR((($A248-Simulador!$E$9)/Simulador!$G$9)&lt;=0,(($A248-Simulador!$E$9)/Simulador!$G$9)&gt;=1),0,IF((($A248-Simulador!$E$9)/Simulador!$G$9)&lt;Simulador!$B$11,Simulador!$B$10*(1-COS(PI()*(($A248-Simulador!$E$9)/Simulador!$G$9)/Simulador!$B$11))/2,IF((($A248-Simulador!$E$9)/Simulador!$G$9)&gt;1-Simulador!$B$11,Simulador!$B$10*(1-COS(PI()*(1-(($A248-Simulador!$E$9)/Simulador!$G$9))/Simulador!$B$11))/2,Simulador!$B$10)))</f>
        <v>8.4071273031186742</v>
      </c>
      <c r="G248" s="18">
        <f>IF(OR((($A248-Simulador!$E$10)/Simulador!$G$10)&lt;=0,(($A248-Simulador!$E$10)/Simulador!$G$10)&gt;=1),0,IF((($A248-Simulador!$E$10)/Simulador!$G$10)&lt;Simulador!$B$11,Simulador!$B$10*(1-COS(PI()*(($A248-Simulador!$E$10)/Simulador!$G$10)/Simulador!$B$11))/2,IF((($A248-Simulador!$E$10)/Simulador!$G$10)&gt;1-Simulador!$B$11,Simulador!$B$10*(1-COS(PI()*(1-(($A248-Simulador!$E$10)/Simulador!$G$10))/Simulador!$B$11))/2,Simulador!$B$10)))</f>
        <v>8.5</v>
      </c>
    </row>
    <row r="249" spans="1:7" x14ac:dyDescent="0.25">
      <c r="A249" s="17">
        <f>A248+Simulador!$B$14</f>
        <v>494</v>
      </c>
      <c r="B249" s="18">
        <f>IF(OR((($A249-Simulador!$E$5)/Simulador!$G$5)&lt;=0,(($A249-Simulador!$E$5)/Simulador!$G$5)&gt;=1),0,IF((($A249-Simulador!$E$5)/Simulador!$G$5)&lt;Simulador!$B$11,Simulador!$B$9*(1-COS(PI()*(($A249-Simulador!$E$5)/Simulador!$G$5)/Simulador!$B$11))/2,IF((($A249-Simulador!$E$5)/Simulador!$G$5)&gt;1-Simulador!$B$11,Simulador!$B$9*(1-COS(PI()*(1-(($A249-Simulador!$E$5)/Simulador!$G$5))/Simulador!$B$11))/2,Simulador!$B$9)))</f>
        <v>0</v>
      </c>
      <c r="C249" s="18">
        <f>IF(OR((($A249-Simulador!$E$6)/Simulador!$G$6)&lt;=0,(($A249-Simulador!$E$6)/Simulador!$G$6)&gt;=1),0,IF((($A249-Simulador!$E$6)/Simulador!$G$6)&lt;Simulador!$B$11,Simulador!$B$9*(1-COS(PI()*(($A249-Simulador!$E$6)/Simulador!$G$6)/Simulador!$B$11))/2,IF((($A249-Simulador!$E$6)/Simulador!$G$6)&gt;1-Simulador!$B$11,Simulador!$B$9*(1-COS(PI()*(1-(($A249-Simulador!$E$6)/Simulador!$G$6))/Simulador!$B$11))/2,Simulador!$B$9)))</f>
        <v>0</v>
      </c>
      <c r="D249" s="18">
        <f>IF(OR((($A249-Simulador!$E$7)/Simulador!$G$7)&lt;=0,(($A249-Simulador!$E$7)/Simulador!$G$7)&gt;=1),0,IF((($A249-Simulador!$E$7)/Simulador!$G$7)&lt;Simulador!$B$11,Simulador!$B$9*(1-COS(PI()*(($A249-Simulador!$E$7)/Simulador!$G$7)/Simulador!$B$11))/2,IF((($A249-Simulador!$E$7)/Simulador!$G$7)&gt;1-Simulador!$B$11,Simulador!$B$9*(1-COS(PI()*(1-(($A249-Simulador!$E$7)/Simulador!$G$7))/Simulador!$B$11))/2,Simulador!$B$9)))</f>
        <v>0</v>
      </c>
      <c r="E249" s="18">
        <f>IF(OR((($A249-Simulador!$E$8)/Simulador!$G$8)&lt;=0,(($A249-Simulador!$E$8)/Simulador!$G$8)&gt;=1),0,IF((($A249-Simulador!$E$8)/Simulador!$G$8)&lt;Simulador!$B$11,Simulador!$B$10*(1-COS(PI()*(($A249-Simulador!$E$8)/Simulador!$G$8)/Simulador!$B$11))/2,IF((($A249-Simulador!$E$8)/Simulador!$G$8)&gt;1-Simulador!$B$11,Simulador!$B$10*(1-COS(PI()*(1-(($A249-Simulador!$E$8)/Simulador!$G$8))/Simulador!$B$11))/2,Simulador!$B$10)))</f>
        <v>7.4505537305153453</v>
      </c>
      <c r="F249" s="18">
        <f>IF(OR((($A249-Simulador!$E$9)/Simulador!$G$9)&lt;=0,(($A249-Simulador!$E$9)/Simulador!$G$9)&gt;=1),0,IF((($A249-Simulador!$E$9)/Simulador!$G$9)&lt;Simulador!$B$11,Simulador!$B$10*(1-COS(PI()*(($A249-Simulador!$E$9)/Simulador!$G$9)/Simulador!$B$11))/2,IF((($A249-Simulador!$E$9)/Simulador!$G$9)&gt;1-Simulador!$B$11,Simulador!$B$10*(1-COS(PI()*(1-(($A249-Simulador!$E$9)/Simulador!$G$9))/Simulador!$B$11))/2,Simulador!$B$10)))</f>
        <v>8.3468421579573757</v>
      </c>
      <c r="G249" s="18">
        <f>IF(OR((($A249-Simulador!$E$10)/Simulador!$G$10)&lt;=0,(($A249-Simulador!$E$10)/Simulador!$G$10)&gt;=1),0,IF((($A249-Simulador!$E$10)/Simulador!$G$10)&lt;Simulador!$B$11,Simulador!$B$10*(1-COS(PI()*(($A249-Simulador!$E$10)/Simulador!$G$10)/Simulador!$B$11))/2,IF((($A249-Simulador!$E$10)/Simulador!$G$10)&gt;1-Simulador!$B$11,Simulador!$B$10*(1-COS(PI()*(1-(($A249-Simulador!$E$10)/Simulador!$G$10))/Simulador!$B$11))/2,Simulador!$B$10)))</f>
        <v>8.5</v>
      </c>
    </row>
    <row r="250" spans="1:7" x14ac:dyDescent="0.25">
      <c r="A250" s="17">
        <f>A249+Simulador!$B$14</f>
        <v>496</v>
      </c>
      <c r="B250" s="18">
        <f>IF(OR((($A250-Simulador!$E$5)/Simulador!$G$5)&lt;=0,(($A250-Simulador!$E$5)/Simulador!$G$5)&gt;=1),0,IF((($A250-Simulador!$E$5)/Simulador!$G$5)&lt;Simulador!$B$11,Simulador!$B$9*(1-COS(PI()*(($A250-Simulador!$E$5)/Simulador!$G$5)/Simulador!$B$11))/2,IF((($A250-Simulador!$E$5)/Simulador!$G$5)&gt;1-Simulador!$B$11,Simulador!$B$9*(1-COS(PI()*(1-(($A250-Simulador!$E$5)/Simulador!$G$5))/Simulador!$B$11))/2,Simulador!$B$9)))</f>
        <v>0</v>
      </c>
      <c r="C250" s="18">
        <f>IF(OR((($A250-Simulador!$E$6)/Simulador!$G$6)&lt;=0,(($A250-Simulador!$E$6)/Simulador!$G$6)&gt;=1),0,IF((($A250-Simulador!$E$6)/Simulador!$G$6)&lt;Simulador!$B$11,Simulador!$B$9*(1-COS(PI()*(($A250-Simulador!$E$6)/Simulador!$G$6)/Simulador!$B$11))/2,IF((($A250-Simulador!$E$6)/Simulador!$G$6)&gt;1-Simulador!$B$11,Simulador!$B$9*(1-COS(PI()*(1-(($A250-Simulador!$E$6)/Simulador!$G$6))/Simulador!$B$11))/2,Simulador!$B$9)))</f>
        <v>0</v>
      </c>
      <c r="D250" s="18">
        <f>IF(OR((($A250-Simulador!$E$7)/Simulador!$G$7)&lt;=0,(($A250-Simulador!$E$7)/Simulador!$G$7)&gt;=1),0,IF((($A250-Simulador!$E$7)/Simulador!$G$7)&lt;Simulador!$B$11,Simulador!$B$9*(1-COS(PI()*(($A250-Simulador!$E$7)/Simulador!$G$7)/Simulador!$B$11))/2,IF((($A250-Simulador!$E$7)/Simulador!$G$7)&gt;1-Simulador!$B$11,Simulador!$B$9*(1-COS(PI()*(1-(($A250-Simulador!$E$7)/Simulador!$G$7))/Simulador!$B$11))/2,Simulador!$B$9)))</f>
        <v>0</v>
      </c>
      <c r="E250" s="18">
        <f>IF(OR((($A250-Simulador!$E$8)/Simulador!$G$8)&lt;=0,(($A250-Simulador!$E$8)/Simulador!$G$8)&gt;=1),0,IF((($A250-Simulador!$E$8)/Simulador!$G$8)&lt;Simulador!$B$11,Simulador!$B$10*(1-COS(PI()*(($A250-Simulador!$E$8)/Simulador!$G$8)/Simulador!$B$11))/2,IF((($A250-Simulador!$E$8)/Simulador!$G$8)&gt;1-Simulador!$B$11,Simulador!$B$10*(1-COS(PI()*(1-(($A250-Simulador!$E$8)/Simulador!$G$8))/Simulador!$B$11))/2,Simulador!$B$10)))</f>
        <v>7.2775984120432149</v>
      </c>
      <c r="F250" s="18">
        <f>IF(OR((($A250-Simulador!$E$9)/Simulador!$G$9)&lt;=0,(($A250-Simulador!$E$9)/Simulador!$G$9)&gt;=1),0,IF((($A250-Simulador!$E$9)/Simulador!$G$9)&lt;Simulador!$B$11,Simulador!$B$10*(1-COS(PI()*(($A250-Simulador!$E$9)/Simulador!$G$9)/Simulador!$B$11))/2,IF((($A250-Simulador!$E$9)/Simulador!$G$9)&gt;1-Simulador!$B$11,Simulador!$B$10*(1-COS(PI()*(1-(($A250-Simulador!$E$9)/Simulador!$G$9))/Simulador!$B$11))/2,Simulador!$B$10)))</f>
        <v>8.2718913811464478</v>
      </c>
      <c r="G250" s="18">
        <f>IF(OR((($A250-Simulador!$E$10)/Simulador!$G$10)&lt;=0,(($A250-Simulador!$E$10)/Simulador!$G$10)&gt;=1),0,IF((($A250-Simulador!$E$10)/Simulador!$G$10)&lt;Simulador!$B$11,Simulador!$B$10*(1-COS(PI()*(($A250-Simulador!$E$10)/Simulador!$G$10)/Simulador!$B$11))/2,IF((($A250-Simulador!$E$10)/Simulador!$G$10)&gt;1-Simulador!$B$11,Simulador!$B$10*(1-COS(PI()*(1-(($A250-Simulador!$E$10)/Simulador!$G$10))/Simulador!$B$11))/2,Simulador!$B$10)))</f>
        <v>8.5</v>
      </c>
    </row>
    <row r="251" spans="1:7" x14ac:dyDescent="0.25">
      <c r="A251" s="17">
        <f>A250+Simulador!$B$14</f>
        <v>498</v>
      </c>
      <c r="B251" s="18">
        <f>IF(OR((($A251-Simulador!$E$5)/Simulador!$G$5)&lt;=0,(($A251-Simulador!$E$5)/Simulador!$G$5)&gt;=1),0,IF((($A251-Simulador!$E$5)/Simulador!$G$5)&lt;Simulador!$B$11,Simulador!$B$9*(1-COS(PI()*(($A251-Simulador!$E$5)/Simulador!$G$5)/Simulador!$B$11))/2,IF((($A251-Simulador!$E$5)/Simulador!$G$5)&gt;1-Simulador!$B$11,Simulador!$B$9*(1-COS(PI()*(1-(($A251-Simulador!$E$5)/Simulador!$G$5))/Simulador!$B$11))/2,Simulador!$B$9)))</f>
        <v>0</v>
      </c>
      <c r="C251" s="18">
        <f>IF(OR((($A251-Simulador!$E$6)/Simulador!$G$6)&lt;=0,(($A251-Simulador!$E$6)/Simulador!$G$6)&gt;=1),0,IF((($A251-Simulador!$E$6)/Simulador!$G$6)&lt;Simulador!$B$11,Simulador!$B$9*(1-COS(PI()*(($A251-Simulador!$E$6)/Simulador!$G$6)/Simulador!$B$11))/2,IF((($A251-Simulador!$E$6)/Simulador!$G$6)&gt;1-Simulador!$B$11,Simulador!$B$9*(1-COS(PI()*(1-(($A251-Simulador!$E$6)/Simulador!$G$6))/Simulador!$B$11))/2,Simulador!$B$9)))</f>
        <v>0</v>
      </c>
      <c r="D251" s="18">
        <f>IF(OR((($A251-Simulador!$E$7)/Simulador!$G$7)&lt;=0,(($A251-Simulador!$E$7)/Simulador!$G$7)&gt;=1),0,IF((($A251-Simulador!$E$7)/Simulador!$G$7)&lt;Simulador!$B$11,Simulador!$B$9*(1-COS(PI()*(($A251-Simulador!$E$7)/Simulador!$G$7)/Simulador!$B$11))/2,IF((($A251-Simulador!$E$7)/Simulador!$G$7)&gt;1-Simulador!$B$11,Simulador!$B$9*(1-COS(PI()*(1-(($A251-Simulador!$E$7)/Simulador!$G$7))/Simulador!$B$11))/2,Simulador!$B$9)))</f>
        <v>0</v>
      </c>
      <c r="E251" s="18">
        <f>IF(OR((($A251-Simulador!$E$8)/Simulador!$G$8)&lt;=0,(($A251-Simulador!$E$8)/Simulador!$G$8)&gt;=1),0,IF((($A251-Simulador!$E$8)/Simulador!$G$8)&lt;Simulador!$B$11,Simulador!$B$10*(1-COS(PI()*(($A251-Simulador!$E$8)/Simulador!$G$8)/Simulador!$B$11))/2,IF((($A251-Simulador!$E$8)/Simulador!$G$8)&gt;1-Simulador!$B$11,Simulador!$B$10*(1-COS(PI()*(1-(($A251-Simulador!$E$8)/Simulador!$G$8))/Simulador!$B$11))/2,Simulador!$B$10)))</f>
        <v>7.0938050770251495</v>
      </c>
      <c r="F251" s="18">
        <f>IF(OR((($A251-Simulador!$E$9)/Simulador!$G$9)&lt;=0,(($A251-Simulador!$E$9)/Simulador!$G$9)&gt;=1),0,IF((($A251-Simulador!$E$9)/Simulador!$G$9)&lt;Simulador!$B$11,Simulador!$B$10*(1-COS(PI()*(($A251-Simulador!$E$9)/Simulador!$G$9)/Simulador!$B$11))/2,IF((($A251-Simulador!$E$9)/Simulador!$G$9)&gt;1-Simulador!$B$11,Simulador!$B$10*(1-COS(PI()*(1-(($A251-Simulador!$E$9)/Simulador!$G$9))/Simulador!$B$11))/2,Simulador!$B$10)))</f>
        <v>8.1825432770144868</v>
      </c>
      <c r="G251" s="18">
        <f>IF(OR((($A251-Simulador!$E$10)/Simulador!$G$10)&lt;=0,(($A251-Simulador!$E$10)/Simulador!$G$10)&gt;=1),0,IF((($A251-Simulador!$E$10)/Simulador!$G$10)&lt;Simulador!$B$11,Simulador!$B$10*(1-COS(PI()*(($A251-Simulador!$E$10)/Simulador!$G$10)/Simulador!$B$11))/2,IF((($A251-Simulador!$E$10)/Simulador!$G$10)&gt;1-Simulador!$B$11,Simulador!$B$10*(1-COS(PI()*(1-(($A251-Simulador!$E$10)/Simulador!$G$10))/Simulador!$B$11))/2,Simulador!$B$10)))</f>
        <v>8.5</v>
      </c>
    </row>
    <row r="252" spans="1:7" x14ac:dyDescent="0.25">
      <c r="A252" s="17">
        <f>A251+Simulador!$B$14</f>
        <v>500</v>
      </c>
      <c r="B252" s="18">
        <f>IF(OR((($A252-Simulador!$E$5)/Simulador!$G$5)&lt;=0,(($A252-Simulador!$E$5)/Simulador!$G$5)&gt;=1),0,IF((($A252-Simulador!$E$5)/Simulador!$G$5)&lt;Simulador!$B$11,Simulador!$B$9*(1-COS(PI()*(($A252-Simulador!$E$5)/Simulador!$G$5)/Simulador!$B$11))/2,IF((($A252-Simulador!$E$5)/Simulador!$G$5)&gt;1-Simulador!$B$11,Simulador!$B$9*(1-COS(PI()*(1-(($A252-Simulador!$E$5)/Simulador!$G$5))/Simulador!$B$11))/2,Simulador!$B$9)))</f>
        <v>0</v>
      </c>
      <c r="C252" s="18">
        <f>IF(OR((($A252-Simulador!$E$6)/Simulador!$G$6)&lt;=0,(($A252-Simulador!$E$6)/Simulador!$G$6)&gt;=1),0,IF((($A252-Simulador!$E$6)/Simulador!$G$6)&lt;Simulador!$B$11,Simulador!$B$9*(1-COS(PI()*(($A252-Simulador!$E$6)/Simulador!$G$6)/Simulador!$B$11))/2,IF((($A252-Simulador!$E$6)/Simulador!$G$6)&gt;1-Simulador!$B$11,Simulador!$B$9*(1-COS(PI()*(1-(($A252-Simulador!$E$6)/Simulador!$G$6))/Simulador!$B$11))/2,Simulador!$B$9)))</f>
        <v>0</v>
      </c>
      <c r="D252" s="18">
        <f>IF(OR((($A252-Simulador!$E$7)/Simulador!$G$7)&lt;=0,(($A252-Simulador!$E$7)/Simulador!$G$7)&gt;=1),0,IF((($A252-Simulador!$E$7)/Simulador!$G$7)&lt;Simulador!$B$11,Simulador!$B$9*(1-COS(PI()*(($A252-Simulador!$E$7)/Simulador!$G$7)/Simulador!$B$11))/2,IF((($A252-Simulador!$E$7)/Simulador!$G$7)&gt;1-Simulador!$B$11,Simulador!$B$9*(1-COS(PI()*(1-(($A252-Simulador!$E$7)/Simulador!$G$7))/Simulador!$B$11))/2,Simulador!$B$9)))</f>
        <v>0</v>
      </c>
      <c r="E252" s="18">
        <f>IF(OR((($A252-Simulador!$E$8)/Simulador!$G$8)&lt;=0,(($A252-Simulador!$E$8)/Simulador!$G$8)&gt;=1),0,IF((($A252-Simulador!$E$8)/Simulador!$G$8)&lt;Simulador!$B$11,Simulador!$B$10*(1-COS(PI()*(($A252-Simulador!$E$8)/Simulador!$G$8)/Simulador!$B$11))/2,IF((($A252-Simulador!$E$8)/Simulador!$G$8)&gt;1-Simulador!$B$11,Simulador!$B$10*(1-COS(PI()*(1-(($A252-Simulador!$E$8)/Simulador!$G$8))/Simulador!$B$11))/2,Simulador!$B$10)))</f>
        <v>6.8998316578996191</v>
      </c>
      <c r="F252" s="18">
        <f>IF(OR((($A252-Simulador!$E$9)/Simulador!$G$9)&lt;=0,(($A252-Simulador!$E$9)/Simulador!$G$9)&gt;=1),0,IF((($A252-Simulador!$E$9)/Simulador!$G$9)&lt;Simulador!$B$11,Simulador!$B$10*(1-COS(PI()*(($A252-Simulador!$E$9)/Simulador!$G$9)/Simulador!$B$11))/2,IF((($A252-Simulador!$E$9)/Simulador!$G$9)&gt;1-Simulador!$B$11,Simulador!$B$10*(1-COS(PI()*(1-(($A252-Simulador!$E$9)/Simulador!$G$9))/Simulador!$B$11))/2,Simulador!$B$10)))</f>
        <v>8.0791176885852813</v>
      </c>
      <c r="G252" s="18">
        <f>IF(OR((($A252-Simulador!$E$10)/Simulador!$G$10)&lt;=0,(($A252-Simulador!$E$10)/Simulador!$G$10)&gt;=1),0,IF((($A252-Simulador!$E$10)/Simulador!$G$10)&lt;Simulador!$B$11,Simulador!$B$10*(1-COS(PI()*(($A252-Simulador!$E$10)/Simulador!$G$10)/Simulador!$B$11))/2,IF((($A252-Simulador!$E$10)/Simulador!$G$10)&gt;1-Simulador!$B$11,Simulador!$B$10*(1-COS(PI()*(1-(($A252-Simulador!$E$10)/Simulador!$G$10))/Simulador!$B$11))/2,Simulador!$B$10)))</f>
        <v>8.5</v>
      </c>
    </row>
    <row r="253" spans="1:7" x14ac:dyDescent="0.25">
      <c r="A253" s="17">
        <f>A252+Simulador!$B$14</f>
        <v>502</v>
      </c>
      <c r="B253" s="18">
        <f>IF(OR((($A253-Simulador!$E$5)/Simulador!$G$5)&lt;=0,(($A253-Simulador!$E$5)/Simulador!$G$5)&gt;=1),0,IF((($A253-Simulador!$E$5)/Simulador!$G$5)&lt;Simulador!$B$11,Simulador!$B$9*(1-COS(PI()*(($A253-Simulador!$E$5)/Simulador!$G$5)/Simulador!$B$11))/2,IF((($A253-Simulador!$E$5)/Simulador!$G$5)&gt;1-Simulador!$B$11,Simulador!$B$9*(1-COS(PI()*(1-(($A253-Simulador!$E$5)/Simulador!$G$5))/Simulador!$B$11))/2,Simulador!$B$9)))</f>
        <v>0</v>
      </c>
      <c r="C253" s="18">
        <f>IF(OR((($A253-Simulador!$E$6)/Simulador!$G$6)&lt;=0,(($A253-Simulador!$E$6)/Simulador!$G$6)&gt;=1),0,IF((($A253-Simulador!$E$6)/Simulador!$G$6)&lt;Simulador!$B$11,Simulador!$B$9*(1-COS(PI()*(($A253-Simulador!$E$6)/Simulador!$G$6)/Simulador!$B$11))/2,IF((($A253-Simulador!$E$6)/Simulador!$G$6)&gt;1-Simulador!$B$11,Simulador!$B$9*(1-COS(PI()*(1-(($A253-Simulador!$E$6)/Simulador!$G$6))/Simulador!$B$11))/2,Simulador!$B$9)))</f>
        <v>0</v>
      </c>
      <c r="D253" s="18">
        <f>IF(OR((($A253-Simulador!$E$7)/Simulador!$G$7)&lt;=0,(($A253-Simulador!$E$7)/Simulador!$G$7)&gt;=1),0,IF((($A253-Simulador!$E$7)/Simulador!$G$7)&lt;Simulador!$B$11,Simulador!$B$9*(1-COS(PI()*(($A253-Simulador!$E$7)/Simulador!$G$7)/Simulador!$B$11))/2,IF((($A253-Simulador!$E$7)/Simulador!$G$7)&gt;1-Simulador!$B$11,Simulador!$B$9*(1-COS(PI()*(1-(($A253-Simulador!$E$7)/Simulador!$G$7))/Simulador!$B$11))/2,Simulador!$B$9)))</f>
        <v>0</v>
      </c>
      <c r="E253" s="18">
        <f>IF(OR((($A253-Simulador!$E$8)/Simulador!$G$8)&lt;=0,(($A253-Simulador!$E$8)/Simulador!$G$8)&gt;=1),0,IF((($A253-Simulador!$E$8)/Simulador!$G$8)&lt;Simulador!$B$11,Simulador!$B$10*(1-COS(PI()*(($A253-Simulador!$E$8)/Simulador!$G$8)/Simulador!$B$11))/2,IF((($A253-Simulador!$E$8)/Simulador!$G$8)&gt;1-Simulador!$B$11,Simulador!$B$10*(1-COS(PI()*(1-(($A253-Simulador!$E$8)/Simulador!$G$8))/Simulador!$B$11))/2,Simulador!$B$10)))</f>
        <v>6.6963725291641127</v>
      </c>
      <c r="F253" s="18">
        <f>IF(OR((($A253-Simulador!$E$9)/Simulador!$G$9)&lt;=0,(($A253-Simulador!$E$9)/Simulador!$G$9)&gt;=1),0,IF((($A253-Simulador!$E$9)/Simulador!$G$9)&lt;Simulador!$B$11,Simulador!$B$10*(1-COS(PI()*(($A253-Simulador!$E$9)/Simulador!$G$9)/Simulador!$B$11))/2,IF((($A253-Simulador!$E$9)/Simulador!$G$9)&gt;1-Simulador!$B$11,Simulador!$B$10*(1-COS(PI()*(1-(($A253-Simulador!$E$9)/Simulador!$G$9))/Simulador!$B$11))/2,Simulador!$B$10)))</f>
        <v>7.9619848526228001</v>
      </c>
      <c r="G253" s="18">
        <f>IF(OR((($A253-Simulador!$E$10)/Simulador!$G$10)&lt;=0,(($A253-Simulador!$E$10)/Simulador!$G$10)&gt;=1),0,IF((($A253-Simulador!$E$10)/Simulador!$G$10)&lt;Simulador!$B$11,Simulador!$B$10*(1-COS(PI()*(($A253-Simulador!$E$10)/Simulador!$G$10)/Simulador!$B$11))/2,IF((($A253-Simulador!$E$10)/Simulador!$G$10)&gt;1-Simulador!$B$11,Simulador!$B$10*(1-COS(PI()*(1-(($A253-Simulador!$E$10)/Simulador!$G$10))/Simulador!$B$11))/2,Simulador!$B$10)))</f>
        <v>8.4923930515128738</v>
      </c>
    </row>
    <row r="254" spans="1:7" x14ac:dyDescent="0.25">
      <c r="A254" s="17">
        <f>A253+Simulador!$B$14</f>
        <v>504</v>
      </c>
      <c r="B254" s="18">
        <f>IF(OR((($A254-Simulador!$E$5)/Simulador!$G$5)&lt;=0,(($A254-Simulador!$E$5)/Simulador!$G$5)&gt;=1),0,IF((($A254-Simulador!$E$5)/Simulador!$G$5)&lt;Simulador!$B$11,Simulador!$B$9*(1-COS(PI()*(($A254-Simulador!$E$5)/Simulador!$G$5)/Simulador!$B$11))/2,IF((($A254-Simulador!$E$5)/Simulador!$G$5)&gt;1-Simulador!$B$11,Simulador!$B$9*(1-COS(PI()*(1-(($A254-Simulador!$E$5)/Simulador!$G$5))/Simulador!$B$11))/2,Simulador!$B$9)))</f>
        <v>0</v>
      </c>
      <c r="C254" s="18">
        <f>IF(OR((($A254-Simulador!$E$6)/Simulador!$G$6)&lt;=0,(($A254-Simulador!$E$6)/Simulador!$G$6)&gt;=1),0,IF((($A254-Simulador!$E$6)/Simulador!$G$6)&lt;Simulador!$B$11,Simulador!$B$9*(1-COS(PI()*(($A254-Simulador!$E$6)/Simulador!$G$6)/Simulador!$B$11))/2,IF((($A254-Simulador!$E$6)/Simulador!$G$6)&gt;1-Simulador!$B$11,Simulador!$B$9*(1-COS(PI()*(1-(($A254-Simulador!$E$6)/Simulador!$G$6))/Simulador!$B$11))/2,Simulador!$B$9)))</f>
        <v>0</v>
      </c>
      <c r="D254" s="18">
        <f>IF(OR((($A254-Simulador!$E$7)/Simulador!$G$7)&lt;=0,(($A254-Simulador!$E$7)/Simulador!$G$7)&gt;=1),0,IF((($A254-Simulador!$E$7)/Simulador!$G$7)&lt;Simulador!$B$11,Simulador!$B$9*(1-COS(PI()*(($A254-Simulador!$E$7)/Simulador!$G$7)/Simulador!$B$11))/2,IF((($A254-Simulador!$E$7)/Simulador!$G$7)&gt;1-Simulador!$B$11,Simulador!$B$9*(1-COS(PI()*(1-(($A254-Simulador!$E$7)/Simulador!$G$7))/Simulador!$B$11))/2,Simulador!$B$9)))</f>
        <v>0</v>
      </c>
      <c r="E254" s="18">
        <f>IF(OR((($A254-Simulador!$E$8)/Simulador!$G$8)&lt;=0,(($A254-Simulador!$E$8)/Simulador!$G$8)&gt;=1),0,IF((($A254-Simulador!$E$8)/Simulador!$G$8)&lt;Simulador!$B$11,Simulador!$B$10*(1-COS(PI()*(($A254-Simulador!$E$8)/Simulador!$G$8)/Simulador!$B$11))/2,IF((($A254-Simulador!$E$8)/Simulador!$G$8)&gt;1-Simulador!$B$11,Simulador!$B$10*(1-COS(PI()*(1-(($A254-Simulador!$E$8)/Simulador!$G$8))/Simulador!$B$11))/2,Simulador!$B$10)))</f>
        <v>6.4841560216946466</v>
      </c>
      <c r="F254" s="18">
        <f>IF(OR((($A254-Simulador!$E$9)/Simulador!$G$9)&lt;=0,(($A254-Simulador!$E$9)/Simulador!$G$9)&gt;=1),0,IF((($A254-Simulador!$E$9)/Simulador!$G$9)&lt;Simulador!$B$11,Simulador!$B$10*(1-COS(PI()*(($A254-Simulador!$E$9)/Simulador!$G$9)/Simulador!$B$11))/2,IF((($A254-Simulador!$E$9)/Simulador!$G$9)&gt;1-Simulador!$B$11,Simulador!$B$10*(1-COS(PI()*(1-(($A254-Simulador!$E$9)/Simulador!$G$9))/Simulador!$B$11))/2,Simulador!$B$10)))</f>
        <v>7.8315640742796653</v>
      </c>
      <c r="G254" s="18">
        <f>IF(OR((($A254-Simulador!$E$10)/Simulador!$G$10)&lt;=0,(($A254-Simulador!$E$10)/Simulador!$G$10)&gt;=1),0,IF((($A254-Simulador!$E$10)/Simulador!$G$10)&lt;Simulador!$B$11,Simulador!$B$10*(1-COS(PI()*(($A254-Simulador!$E$10)/Simulador!$G$10)/Simulador!$B$11))/2,IF((($A254-Simulador!$E$10)/Simulador!$G$10)&gt;1-Simulador!$B$11,Simulador!$B$10*(1-COS(PI()*(1-(($A254-Simulador!$E$10)/Simulador!$G$10))/Simulador!$B$11))/2,Simulador!$B$10)))</f>
        <v>8.4695994369528087</v>
      </c>
    </row>
    <row r="255" spans="1:7" x14ac:dyDescent="0.25">
      <c r="A255" s="17">
        <f>A254+Simulador!$B$14</f>
        <v>506</v>
      </c>
      <c r="B255" s="18">
        <f>IF(OR((($A255-Simulador!$E$5)/Simulador!$G$5)&lt;=0,(($A255-Simulador!$E$5)/Simulador!$G$5)&gt;=1),0,IF((($A255-Simulador!$E$5)/Simulador!$G$5)&lt;Simulador!$B$11,Simulador!$B$9*(1-COS(PI()*(($A255-Simulador!$E$5)/Simulador!$G$5)/Simulador!$B$11))/2,IF((($A255-Simulador!$E$5)/Simulador!$G$5)&gt;1-Simulador!$B$11,Simulador!$B$9*(1-COS(PI()*(1-(($A255-Simulador!$E$5)/Simulador!$G$5))/Simulador!$B$11))/2,Simulador!$B$9)))</f>
        <v>0</v>
      </c>
      <c r="C255" s="18">
        <f>IF(OR((($A255-Simulador!$E$6)/Simulador!$G$6)&lt;=0,(($A255-Simulador!$E$6)/Simulador!$G$6)&gt;=1),0,IF((($A255-Simulador!$E$6)/Simulador!$G$6)&lt;Simulador!$B$11,Simulador!$B$9*(1-COS(PI()*(($A255-Simulador!$E$6)/Simulador!$G$6)/Simulador!$B$11))/2,IF((($A255-Simulador!$E$6)/Simulador!$G$6)&gt;1-Simulador!$B$11,Simulador!$B$9*(1-COS(PI()*(1-(($A255-Simulador!$E$6)/Simulador!$G$6))/Simulador!$B$11))/2,Simulador!$B$9)))</f>
        <v>0</v>
      </c>
      <c r="D255" s="18">
        <f>IF(OR((($A255-Simulador!$E$7)/Simulador!$G$7)&lt;=0,(($A255-Simulador!$E$7)/Simulador!$G$7)&gt;=1),0,IF((($A255-Simulador!$E$7)/Simulador!$G$7)&lt;Simulador!$B$11,Simulador!$B$9*(1-COS(PI()*(($A255-Simulador!$E$7)/Simulador!$G$7)/Simulador!$B$11))/2,IF((($A255-Simulador!$E$7)/Simulador!$G$7)&gt;1-Simulador!$B$11,Simulador!$B$9*(1-COS(PI()*(1-(($A255-Simulador!$E$7)/Simulador!$G$7))/Simulador!$B$11))/2,Simulador!$B$9)))</f>
        <v>0</v>
      </c>
      <c r="E255" s="18">
        <f>IF(OR((($A255-Simulador!$E$8)/Simulador!$G$8)&lt;=0,(($A255-Simulador!$E$8)/Simulador!$G$8)&gt;=1),0,IF((($A255-Simulador!$E$8)/Simulador!$G$8)&lt;Simulador!$B$11,Simulador!$B$10*(1-COS(PI()*(($A255-Simulador!$E$8)/Simulador!$G$8)/Simulador!$B$11))/2,IF((($A255-Simulador!$E$8)/Simulador!$G$8)&gt;1-Simulador!$B$11,Simulador!$B$10*(1-COS(PI()*(1-(($A255-Simulador!$E$8)/Simulador!$G$8))/Simulador!$B$11))/2,Simulador!$B$10)))</f>
        <v>6.2639418155102442</v>
      </c>
      <c r="F255" s="18">
        <f>IF(OR((($A255-Simulador!$E$9)/Simulador!$G$9)&lt;=0,(($A255-Simulador!$E$9)/Simulador!$G$9)&gt;=1),0,IF((($A255-Simulador!$E$9)/Simulador!$G$9)&lt;Simulador!$B$11,Simulador!$B$10*(1-COS(PI()*(($A255-Simulador!$E$9)/Simulador!$G$9)/Simulador!$B$11))/2,IF((($A255-Simulador!$E$9)/Simulador!$G$9)&gt;1-Simulador!$B$11,Simulador!$B$10*(1-COS(PI()*(1-(($A255-Simulador!$E$9)/Simulador!$G$9))/Simulador!$B$11))/2,Simulador!$B$10)))</f>
        <v>7.6883222260935247</v>
      </c>
      <c r="G255" s="18">
        <f>IF(OR((($A255-Simulador!$E$10)/Simulador!$G$10)&lt;=0,(($A255-Simulador!$E$10)/Simulador!$G$10)&gt;=1),0,IF((($A255-Simulador!$E$10)/Simulador!$G$10)&lt;Simulador!$B$11,Simulador!$B$10*(1-COS(PI()*(($A255-Simulador!$E$10)/Simulador!$G$10)/Simulador!$B$11))/2,IF((($A255-Simulador!$E$10)/Simulador!$G$10)&gt;1-Simulador!$B$11,Simulador!$B$10*(1-COS(PI()*(1-(($A255-Simulador!$E$10)/Simulador!$G$10))/Simulador!$B$11))/2,Simulador!$B$10)))</f>
        <v>8.4317007515441755</v>
      </c>
    </row>
    <row r="256" spans="1:7" x14ac:dyDescent="0.25">
      <c r="A256" s="17">
        <f>A255+Simulador!$B$14</f>
        <v>508</v>
      </c>
      <c r="B256" s="18">
        <f>IF(OR((($A256-Simulador!$E$5)/Simulador!$G$5)&lt;=0,(($A256-Simulador!$E$5)/Simulador!$G$5)&gt;=1),0,IF((($A256-Simulador!$E$5)/Simulador!$G$5)&lt;Simulador!$B$11,Simulador!$B$9*(1-COS(PI()*(($A256-Simulador!$E$5)/Simulador!$G$5)/Simulador!$B$11))/2,IF((($A256-Simulador!$E$5)/Simulador!$G$5)&gt;1-Simulador!$B$11,Simulador!$B$9*(1-COS(PI()*(1-(($A256-Simulador!$E$5)/Simulador!$G$5))/Simulador!$B$11))/2,Simulador!$B$9)))</f>
        <v>0</v>
      </c>
      <c r="C256" s="18">
        <f>IF(OR((($A256-Simulador!$E$6)/Simulador!$G$6)&lt;=0,(($A256-Simulador!$E$6)/Simulador!$G$6)&gt;=1),0,IF((($A256-Simulador!$E$6)/Simulador!$G$6)&lt;Simulador!$B$11,Simulador!$B$9*(1-COS(PI()*(($A256-Simulador!$E$6)/Simulador!$G$6)/Simulador!$B$11))/2,IF((($A256-Simulador!$E$6)/Simulador!$G$6)&gt;1-Simulador!$B$11,Simulador!$B$9*(1-COS(PI()*(1-(($A256-Simulador!$E$6)/Simulador!$G$6))/Simulador!$B$11))/2,Simulador!$B$9)))</f>
        <v>0</v>
      </c>
      <c r="D256" s="18">
        <f>IF(OR((($A256-Simulador!$E$7)/Simulador!$G$7)&lt;=0,(($A256-Simulador!$E$7)/Simulador!$G$7)&gt;=1),0,IF((($A256-Simulador!$E$7)/Simulador!$G$7)&lt;Simulador!$B$11,Simulador!$B$9*(1-COS(PI()*(($A256-Simulador!$E$7)/Simulador!$G$7)/Simulador!$B$11))/2,IF((($A256-Simulador!$E$7)/Simulador!$G$7)&gt;1-Simulador!$B$11,Simulador!$B$9*(1-COS(PI()*(1-(($A256-Simulador!$E$7)/Simulador!$G$7))/Simulador!$B$11))/2,Simulador!$B$9)))</f>
        <v>0</v>
      </c>
      <c r="E256" s="18">
        <f>IF(OR((($A256-Simulador!$E$8)/Simulador!$G$8)&lt;=0,(($A256-Simulador!$E$8)/Simulador!$G$8)&gt;=1),0,IF((($A256-Simulador!$E$8)/Simulador!$G$8)&lt;Simulador!$B$11,Simulador!$B$10*(1-COS(PI()*(($A256-Simulador!$E$8)/Simulador!$G$8)/Simulador!$B$11))/2,IF((($A256-Simulador!$E$8)/Simulador!$G$8)&gt;1-Simulador!$B$11,Simulador!$B$10*(1-COS(PI()*(1-(($A256-Simulador!$E$8)/Simulador!$G$8))/Simulador!$B$11))/2,Simulador!$B$10)))</f>
        <v>6.0365182203156538</v>
      </c>
      <c r="F256" s="18">
        <f>IF(OR((($A256-Simulador!$E$9)/Simulador!$G$9)&lt;=0,(($A256-Simulador!$E$9)/Simulador!$G$9)&gt;=1),0,IF((($A256-Simulador!$E$9)/Simulador!$G$9)&lt;Simulador!$B$11,Simulador!$B$10*(1-COS(PI()*(($A256-Simulador!$E$9)/Simulador!$G$9)/Simulador!$B$11))/2,IF((($A256-Simulador!$E$9)/Simulador!$G$9)&gt;1-Simulador!$B$11,Simulador!$B$10*(1-COS(PI()*(1-(($A256-Simulador!$E$9)/Simulador!$G$9))/Simulador!$B$11))/2,Simulador!$B$10)))</f>
        <v>7.5327720767045481</v>
      </c>
      <c r="G256" s="18">
        <f>IF(OR((($A256-Simulador!$E$10)/Simulador!$G$10)&lt;=0,(($A256-Simulador!$E$10)/Simulador!$G$10)&gt;=1),0,IF((($A256-Simulador!$E$10)/Simulador!$G$10)&lt;Simulador!$B$11,Simulador!$B$10*(1-COS(PI()*(($A256-Simulador!$E$10)/Simulador!$G$10)/Simulador!$B$11))/2,IF((($A256-Simulador!$E$10)/Simulador!$G$10)&gt;1-Simulador!$B$11,Simulador!$B$10*(1-COS(PI()*(1-(($A256-Simulador!$E$10)/Simulador!$G$10))/Simulador!$B$11))/2,Simulador!$B$10)))</f>
        <v>8.3788326627446867</v>
      </c>
    </row>
    <row r="257" spans="1:7" x14ac:dyDescent="0.25">
      <c r="A257" s="17">
        <f>A256+Simulador!$B$14</f>
        <v>510</v>
      </c>
      <c r="B257" s="18">
        <f>IF(OR((($A257-Simulador!$E$5)/Simulador!$G$5)&lt;=0,(($A257-Simulador!$E$5)/Simulador!$G$5)&gt;=1),0,IF((($A257-Simulador!$E$5)/Simulador!$G$5)&lt;Simulador!$B$11,Simulador!$B$9*(1-COS(PI()*(($A257-Simulador!$E$5)/Simulador!$G$5)/Simulador!$B$11))/2,IF((($A257-Simulador!$E$5)/Simulador!$G$5)&gt;1-Simulador!$B$11,Simulador!$B$9*(1-COS(PI()*(1-(($A257-Simulador!$E$5)/Simulador!$G$5))/Simulador!$B$11))/2,Simulador!$B$9)))</f>
        <v>0</v>
      </c>
      <c r="C257" s="18">
        <f>IF(OR((($A257-Simulador!$E$6)/Simulador!$G$6)&lt;=0,(($A257-Simulador!$E$6)/Simulador!$G$6)&gt;=1),0,IF((($A257-Simulador!$E$6)/Simulador!$G$6)&lt;Simulador!$B$11,Simulador!$B$9*(1-COS(PI()*(($A257-Simulador!$E$6)/Simulador!$G$6)/Simulador!$B$11))/2,IF((($A257-Simulador!$E$6)/Simulador!$G$6)&gt;1-Simulador!$B$11,Simulador!$B$9*(1-COS(PI()*(1-(($A257-Simulador!$E$6)/Simulador!$G$6))/Simulador!$B$11))/2,Simulador!$B$9)))</f>
        <v>0</v>
      </c>
      <c r="D257" s="18">
        <f>IF(OR((($A257-Simulador!$E$7)/Simulador!$G$7)&lt;=0,(($A257-Simulador!$E$7)/Simulador!$G$7)&gt;=1),0,IF((($A257-Simulador!$E$7)/Simulador!$G$7)&lt;Simulador!$B$11,Simulador!$B$9*(1-COS(PI()*(($A257-Simulador!$E$7)/Simulador!$G$7)/Simulador!$B$11))/2,IF((($A257-Simulador!$E$7)/Simulador!$G$7)&gt;1-Simulador!$B$11,Simulador!$B$9*(1-COS(PI()*(1-(($A257-Simulador!$E$7)/Simulador!$G$7))/Simulador!$B$11))/2,Simulador!$B$9)))</f>
        <v>0</v>
      </c>
      <c r="E257" s="18">
        <f>IF(OR((($A257-Simulador!$E$8)/Simulador!$G$8)&lt;=0,(($A257-Simulador!$E$8)/Simulador!$G$8)&gt;=1),0,IF((($A257-Simulador!$E$8)/Simulador!$G$8)&lt;Simulador!$B$11,Simulador!$B$10*(1-COS(PI()*(($A257-Simulador!$E$8)/Simulador!$G$8)/Simulador!$B$11))/2,IF((($A257-Simulador!$E$8)/Simulador!$G$8)&gt;1-Simulador!$B$11,Simulador!$B$10*(1-COS(PI()*(1-(($A257-Simulador!$E$8)/Simulador!$G$8))/Simulador!$B$11))/2,Simulador!$B$10)))</f>
        <v>5.8026993535571787</v>
      </c>
      <c r="F257" s="18">
        <f>IF(OR((($A257-Simulador!$E$9)/Simulador!$G$9)&lt;=0,(($A257-Simulador!$E$9)/Simulador!$G$9)&gt;=1),0,IF((($A257-Simulador!$E$9)/Simulador!$G$9)&lt;Simulador!$B$11,Simulador!$B$10*(1-COS(PI()*(($A257-Simulador!$E$9)/Simulador!$G$9)/Simulador!$B$11))/2,IF((($A257-Simulador!$E$9)/Simulador!$G$9)&gt;1-Simulador!$B$11,Simulador!$B$10*(1-COS(PI()*(1-(($A257-Simulador!$E$9)/Simulador!$G$9))/Simulador!$B$11))/2,Simulador!$B$10)))</f>
        <v>7.3654704552767614</v>
      </c>
      <c r="G257" s="18">
        <f>IF(OR((($A257-Simulador!$E$10)/Simulador!$G$10)&lt;=0,(($A257-Simulador!$E$10)/Simulador!$G$10)&gt;=1),0,IF((($A257-Simulador!$E$10)/Simulador!$G$10)&lt;Simulador!$B$11,Simulador!$B$10*(1-COS(PI()*(($A257-Simulador!$E$10)/Simulador!$G$10)/Simulador!$B$11))/2,IF((($A257-Simulador!$E$10)/Simulador!$G$10)&gt;1-Simulador!$B$11,Simulador!$B$10*(1-COS(PI()*(1-(($A257-Simulador!$E$10)/Simulador!$G$10))/Simulador!$B$11))/2,Simulador!$B$10)))</f>
        <v>8.3111844245910973</v>
      </c>
    </row>
    <row r="258" spans="1:7" x14ac:dyDescent="0.25">
      <c r="A258" s="17">
        <f>A257+Simulador!$B$14</f>
        <v>512</v>
      </c>
      <c r="B258" s="18">
        <f>IF(OR((($A258-Simulador!$E$5)/Simulador!$G$5)&lt;=0,(($A258-Simulador!$E$5)/Simulador!$G$5)&gt;=1),0,IF((($A258-Simulador!$E$5)/Simulador!$G$5)&lt;Simulador!$B$11,Simulador!$B$9*(1-COS(PI()*(($A258-Simulador!$E$5)/Simulador!$G$5)/Simulador!$B$11))/2,IF((($A258-Simulador!$E$5)/Simulador!$G$5)&gt;1-Simulador!$B$11,Simulador!$B$9*(1-COS(PI()*(1-(($A258-Simulador!$E$5)/Simulador!$G$5))/Simulador!$B$11))/2,Simulador!$B$9)))</f>
        <v>0</v>
      </c>
      <c r="C258" s="18">
        <f>IF(OR((($A258-Simulador!$E$6)/Simulador!$G$6)&lt;=0,(($A258-Simulador!$E$6)/Simulador!$G$6)&gt;=1),0,IF((($A258-Simulador!$E$6)/Simulador!$G$6)&lt;Simulador!$B$11,Simulador!$B$9*(1-COS(PI()*(($A258-Simulador!$E$6)/Simulador!$G$6)/Simulador!$B$11))/2,IF((($A258-Simulador!$E$6)/Simulador!$G$6)&gt;1-Simulador!$B$11,Simulador!$B$9*(1-COS(PI()*(1-(($A258-Simulador!$E$6)/Simulador!$G$6))/Simulador!$B$11))/2,Simulador!$B$9)))</f>
        <v>0</v>
      </c>
      <c r="D258" s="18">
        <f>IF(OR((($A258-Simulador!$E$7)/Simulador!$G$7)&lt;=0,(($A258-Simulador!$E$7)/Simulador!$G$7)&gt;=1),0,IF((($A258-Simulador!$E$7)/Simulador!$G$7)&lt;Simulador!$B$11,Simulador!$B$9*(1-COS(PI()*(($A258-Simulador!$E$7)/Simulador!$G$7)/Simulador!$B$11))/2,IF((($A258-Simulador!$E$7)/Simulador!$G$7)&gt;1-Simulador!$B$11,Simulador!$B$9*(1-COS(PI()*(1-(($A258-Simulador!$E$7)/Simulador!$G$7))/Simulador!$B$11))/2,Simulador!$B$9)))</f>
        <v>0</v>
      </c>
      <c r="E258" s="18">
        <f>IF(OR((($A258-Simulador!$E$8)/Simulador!$G$8)&lt;=0,(($A258-Simulador!$E$8)/Simulador!$G$8)&gt;=1),0,IF((($A258-Simulador!$E$8)/Simulador!$G$8)&lt;Simulador!$B$11,Simulador!$B$10*(1-COS(PI()*(($A258-Simulador!$E$8)/Simulador!$G$8)/Simulador!$B$11))/2,IF((($A258-Simulador!$E$8)/Simulador!$G$8)&gt;1-Simulador!$B$11,Simulador!$B$10*(1-COS(PI()*(1-(($A258-Simulador!$E$8)/Simulador!$G$8))/Simulador!$B$11))/2,Simulador!$B$10)))</f>
        <v>5.5633222260935264</v>
      </c>
      <c r="F258" s="18">
        <f>IF(OR((($A258-Simulador!$E$9)/Simulador!$G$9)&lt;=0,(($A258-Simulador!$E$9)/Simulador!$G$9)&gt;=1),0,IF((($A258-Simulador!$E$9)/Simulador!$G$9)&lt;Simulador!$B$11,Simulador!$B$10*(1-COS(PI()*(($A258-Simulador!$E$9)/Simulador!$G$9)/Simulador!$B$11))/2,IF((($A258-Simulador!$E$9)/Simulador!$G$9)&gt;1-Simulador!$B$11,Simulador!$B$10*(1-COS(PI()*(1-(($A258-Simulador!$E$9)/Simulador!$G$9))/Simulador!$B$11))/2,Simulador!$B$10)))</f>
        <v>7.1870162581941761</v>
      </c>
      <c r="G258" s="18">
        <f>IF(OR((($A258-Simulador!$E$10)/Simulador!$G$10)&lt;=0,(($A258-Simulador!$E$10)/Simulador!$G$10)&gt;=1),0,IF((($A258-Simulador!$E$10)/Simulador!$G$10)&lt;Simulador!$B$11,Simulador!$B$10*(1-COS(PI()*(($A258-Simulador!$E$10)/Simulador!$G$10)/Simulador!$B$11))/2,IF((($A258-Simulador!$E$10)/Simulador!$G$10)&gt;1-Simulador!$B$11,Simulador!$B$10*(1-COS(PI()*(1-(($A258-Simulador!$E$10)/Simulador!$G$10))/Simulador!$B$11))/2,Simulador!$B$10)))</f>
        <v>8.228998200218884</v>
      </c>
    </row>
    <row r="259" spans="1:7" x14ac:dyDescent="0.25">
      <c r="A259" s="17">
        <f>A258+Simulador!$B$14</f>
        <v>514</v>
      </c>
      <c r="B259" s="18">
        <f>IF(OR((($A259-Simulador!$E$5)/Simulador!$G$5)&lt;=0,(($A259-Simulador!$E$5)/Simulador!$G$5)&gt;=1),0,IF((($A259-Simulador!$E$5)/Simulador!$G$5)&lt;Simulador!$B$11,Simulador!$B$9*(1-COS(PI()*(($A259-Simulador!$E$5)/Simulador!$G$5)/Simulador!$B$11))/2,IF((($A259-Simulador!$E$5)/Simulador!$G$5)&gt;1-Simulador!$B$11,Simulador!$B$9*(1-COS(PI()*(1-(($A259-Simulador!$E$5)/Simulador!$G$5))/Simulador!$B$11))/2,Simulador!$B$9)))</f>
        <v>0</v>
      </c>
      <c r="C259" s="18">
        <f>IF(OR((($A259-Simulador!$E$6)/Simulador!$G$6)&lt;=0,(($A259-Simulador!$E$6)/Simulador!$G$6)&gt;=1),0,IF((($A259-Simulador!$E$6)/Simulador!$G$6)&lt;Simulador!$B$11,Simulador!$B$9*(1-COS(PI()*(($A259-Simulador!$E$6)/Simulador!$G$6)/Simulador!$B$11))/2,IF((($A259-Simulador!$E$6)/Simulador!$G$6)&gt;1-Simulador!$B$11,Simulador!$B$9*(1-COS(PI()*(1-(($A259-Simulador!$E$6)/Simulador!$G$6))/Simulador!$B$11))/2,Simulador!$B$9)))</f>
        <v>0</v>
      </c>
      <c r="D259" s="18">
        <f>IF(OR((($A259-Simulador!$E$7)/Simulador!$G$7)&lt;=0,(($A259-Simulador!$E$7)/Simulador!$G$7)&gt;=1),0,IF((($A259-Simulador!$E$7)/Simulador!$G$7)&lt;Simulador!$B$11,Simulador!$B$9*(1-COS(PI()*(($A259-Simulador!$E$7)/Simulador!$G$7)/Simulador!$B$11))/2,IF((($A259-Simulador!$E$7)/Simulador!$G$7)&gt;1-Simulador!$B$11,Simulador!$B$9*(1-COS(PI()*(1-(($A259-Simulador!$E$7)/Simulador!$G$7))/Simulador!$B$11))/2,Simulador!$B$9)))</f>
        <v>0</v>
      </c>
      <c r="E259" s="18">
        <f>IF(OR((($A259-Simulador!$E$8)/Simulador!$G$8)&lt;=0,(($A259-Simulador!$E$8)/Simulador!$G$8)&gt;=1),0,IF((($A259-Simulador!$E$8)/Simulador!$G$8)&lt;Simulador!$B$11,Simulador!$B$10*(1-COS(PI()*(($A259-Simulador!$E$8)/Simulador!$G$8)/Simulador!$B$11))/2,IF((($A259-Simulador!$E$8)/Simulador!$G$8)&gt;1-Simulador!$B$11,Simulador!$B$10*(1-COS(PI()*(1-(($A259-Simulador!$E$8)/Simulador!$G$8))/Simulador!$B$11))/2,Simulador!$B$10)))</f>
        <v>5.3192437459141599</v>
      </c>
      <c r="F259" s="18">
        <f>IF(OR((($A259-Simulador!$E$9)/Simulador!$G$9)&lt;=0,(($A259-Simulador!$E$9)/Simulador!$G$9)&gt;=1),0,IF((($A259-Simulador!$E$9)/Simulador!$G$9)&lt;Simulador!$B$11,Simulador!$B$10*(1-COS(PI()*(($A259-Simulador!$E$9)/Simulador!$G$9)/Simulador!$B$11))/2,IF((($A259-Simulador!$E$9)/Simulador!$G$9)&gt;1-Simulador!$B$11,Simulador!$B$10*(1-COS(PI()*(1-(($A259-Simulador!$E$9)/Simulador!$G$9))/Simulador!$B$11))/2,Simulador!$B$10)))</f>
        <v>6.99804830516715</v>
      </c>
      <c r="G259" s="18">
        <f>IF(OR((($A259-Simulador!$E$10)/Simulador!$G$10)&lt;=0,(($A259-Simulador!$E$10)/Simulador!$G$10)&gt;=1),0,IF((($A259-Simulador!$E$10)/Simulador!$G$10)&lt;Simulador!$B$11,Simulador!$B$10*(1-COS(PI()*(($A259-Simulador!$E$10)/Simulador!$G$10)/Simulador!$B$11))/2,IF((($A259-Simulador!$E$10)/Simulador!$G$10)&gt;1-Simulador!$B$11,Simulador!$B$10*(1-COS(PI()*(1-(($A259-Simulador!$E$10)/Simulador!$G$10))/Simulador!$B$11))/2,Simulador!$B$10)))</f>
        <v>8.1325681949810527</v>
      </c>
    </row>
    <row r="260" spans="1:7" x14ac:dyDescent="0.25">
      <c r="A260" s="17">
        <f>A259+Simulador!$B$14</f>
        <v>516</v>
      </c>
      <c r="B260" s="18">
        <f>IF(OR((($A260-Simulador!$E$5)/Simulador!$G$5)&lt;=0,(($A260-Simulador!$E$5)/Simulador!$G$5)&gt;=1),0,IF((($A260-Simulador!$E$5)/Simulador!$G$5)&lt;Simulador!$B$11,Simulador!$B$9*(1-COS(PI()*(($A260-Simulador!$E$5)/Simulador!$G$5)/Simulador!$B$11))/2,IF((($A260-Simulador!$E$5)/Simulador!$G$5)&gt;1-Simulador!$B$11,Simulador!$B$9*(1-COS(PI()*(1-(($A260-Simulador!$E$5)/Simulador!$G$5))/Simulador!$B$11))/2,Simulador!$B$9)))</f>
        <v>0</v>
      </c>
      <c r="C260" s="18">
        <f>IF(OR((($A260-Simulador!$E$6)/Simulador!$G$6)&lt;=0,(($A260-Simulador!$E$6)/Simulador!$G$6)&gt;=1),0,IF((($A260-Simulador!$E$6)/Simulador!$G$6)&lt;Simulador!$B$11,Simulador!$B$9*(1-COS(PI()*(($A260-Simulador!$E$6)/Simulador!$G$6)/Simulador!$B$11))/2,IF((($A260-Simulador!$E$6)/Simulador!$G$6)&gt;1-Simulador!$B$11,Simulador!$B$9*(1-COS(PI()*(1-(($A260-Simulador!$E$6)/Simulador!$G$6))/Simulador!$B$11))/2,Simulador!$B$9)))</f>
        <v>0</v>
      </c>
      <c r="D260" s="18">
        <f>IF(OR((($A260-Simulador!$E$7)/Simulador!$G$7)&lt;=0,(($A260-Simulador!$E$7)/Simulador!$G$7)&gt;=1),0,IF((($A260-Simulador!$E$7)/Simulador!$G$7)&lt;Simulador!$B$11,Simulador!$B$9*(1-COS(PI()*(($A260-Simulador!$E$7)/Simulador!$G$7)/Simulador!$B$11))/2,IF((($A260-Simulador!$E$7)/Simulador!$G$7)&gt;1-Simulador!$B$11,Simulador!$B$9*(1-COS(PI()*(1-(($A260-Simulador!$E$7)/Simulador!$G$7))/Simulador!$B$11))/2,Simulador!$B$9)))</f>
        <v>0</v>
      </c>
      <c r="E260" s="18">
        <f>IF(OR((($A260-Simulador!$E$8)/Simulador!$G$8)&lt;=0,(($A260-Simulador!$E$8)/Simulador!$G$8)&gt;=1),0,IF((($A260-Simulador!$E$8)/Simulador!$G$8)&lt;Simulador!$B$11,Simulador!$B$10*(1-COS(PI()*(($A260-Simulador!$E$8)/Simulador!$G$8)/Simulador!$B$11))/2,IF((($A260-Simulador!$E$8)/Simulador!$G$8)&gt;1-Simulador!$B$11,Simulador!$B$10*(1-COS(PI()*(1-(($A260-Simulador!$E$8)/Simulador!$G$8))/Simulador!$B$11))/2,Simulador!$B$10)))</f>
        <v>5.0713376506311008</v>
      </c>
      <c r="F260" s="18">
        <f>IF(OR((($A260-Simulador!$E$9)/Simulador!$G$9)&lt;=0,(($A260-Simulador!$E$9)/Simulador!$G$9)&gt;=1),0,IF((($A260-Simulador!$E$9)/Simulador!$G$9)&lt;Simulador!$B$11,Simulador!$B$10*(1-COS(PI()*(($A260-Simulador!$E$9)/Simulador!$G$9)/Simulador!$B$11))/2,IF((($A260-Simulador!$E$9)/Simulador!$G$9)&gt;1-Simulador!$B$11,Simulador!$B$10*(1-COS(PI()*(1-(($A260-Simulador!$E$9)/Simulador!$G$9))/Simulador!$B$11))/2,Simulador!$B$10)))</f>
        <v>6.7992430524236331</v>
      </c>
      <c r="G260" s="18">
        <f>IF(OR((($A260-Simulador!$E$10)/Simulador!$G$10)&lt;=0,(($A260-Simulador!$E$10)/Simulador!$G$10)&gt;=1),0,IF((($A260-Simulador!$E$10)/Simulador!$G$10)&lt;Simulador!$B$11,Simulador!$B$10*(1-COS(PI()*(($A260-Simulador!$E$10)/Simulador!$G$10)/Simulador!$B$11))/2,IF((($A260-Simulador!$E$10)/Simulador!$G$10)&gt;1-Simulador!$B$11,Simulador!$B$10*(1-COS(PI()*(1-(($A260-Simulador!$E$10)/Simulador!$G$10))/Simulador!$B$11))/2,Simulador!$B$10)))</f>
        <v>8.0222396032693553</v>
      </c>
    </row>
    <row r="261" spans="1:7" x14ac:dyDescent="0.25">
      <c r="A261" s="17">
        <f>A260+Simulador!$B$14</f>
        <v>518</v>
      </c>
      <c r="B261" s="18">
        <f>IF(OR((($A261-Simulador!$E$5)/Simulador!$G$5)&lt;=0,(($A261-Simulador!$E$5)/Simulador!$G$5)&gt;=1),0,IF((($A261-Simulador!$E$5)/Simulador!$G$5)&lt;Simulador!$B$11,Simulador!$B$9*(1-COS(PI()*(($A261-Simulador!$E$5)/Simulador!$G$5)/Simulador!$B$11))/2,IF((($A261-Simulador!$E$5)/Simulador!$G$5)&gt;1-Simulador!$B$11,Simulador!$B$9*(1-COS(PI()*(1-(($A261-Simulador!$E$5)/Simulador!$G$5))/Simulador!$B$11))/2,Simulador!$B$9)))</f>
        <v>0</v>
      </c>
      <c r="C261" s="18">
        <f>IF(OR((($A261-Simulador!$E$6)/Simulador!$G$6)&lt;=0,(($A261-Simulador!$E$6)/Simulador!$G$6)&gt;=1),0,IF((($A261-Simulador!$E$6)/Simulador!$G$6)&lt;Simulador!$B$11,Simulador!$B$9*(1-COS(PI()*(($A261-Simulador!$E$6)/Simulador!$G$6)/Simulador!$B$11))/2,IF((($A261-Simulador!$E$6)/Simulador!$G$6)&gt;1-Simulador!$B$11,Simulador!$B$9*(1-COS(PI()*(1-(($A261-Simulador!$E$6)/Simulador!$G$6))/Simulador!$B$11))/2,Simulador!$B$9)))</f>
        <v>0</v>
      </c>
      <c r="D261" s="18">
        <f>IF(OR((($A261-Simulador!$E$7)/Simulador!$G$7)&lt;=0,(($A261-Simulador!$E$7)/Simulador!$G$7)&gt;=1),0,IF((($A261-Simulador!$E$7)/Simulador!$G$7)&lt;Simulador!$B$11,Simulador!$B$9*(1-COS(PI()*(($A261-Simulador!$E$7)/Simulador!$G$7)/Simulador!$B$11))/2,IF((($A261-Simulador!$E$7)/Simulador!$G$7)&gt;1-Simulador!$B$11,Simulador!$B$9*(1-COS(PI()*(1-(($A261-Simulador!$E$7)/Simulador!$G$7))/Simulador!$B$11))/2,Simulador!$B$9)))</f>
        <v>0</v>
      </c>
      <c r="E261" s="18">
        <f>IF(OR((($A261-Simulador!$E$8)/Simulador!$G$8)&lt;=0,(($A261-Simulador!$E$8)/Simulador!$G$8)&gt;=1),0,IF((($A261-Simulador!$E$8)/Simulador!$G$8)&lt;Simulador!$B$11,Simulador!$B$10*(1-COS(PI()*(($A261-Simulador!$E$8)/Simulador!$G$8)/Simulador!$B$11))/2,IF((($A261-Simulador!$E$8)/Simulador!$G$8)&gt;1-Simulador!$B$11,Simulador!$B$10*(1-COS(PI()*(1-(($A261-Simulador!$E$8)/Simulador!$G$8))/Simulador!$B$11))/2,Simulador!$B$10)))</f>
        <v>4.8204913797250359</v>
      </c>
      <c r="F261" s="18">
        <f>IF(OR((($A261-Simulador!$E$9)/Simulador!$G$9)&lt;=0,(($A261-Simulador!$E$9)/Simulador!$G$9)&gt;=1),0,IF((($A261-Simulador!$E$9)/Simulador!$G$9)&lt;Simulador!$B$11,Simulador!$B$10*(1-COS(PI()*(($A261-Simulador!$E$9)/Simulador!$G$9)/Simulador!$B$11))/2,IF((($A261-Simulador!$E$9)/Simulador!$G$9)&gt;1-Simulador!$B$11,Simulador!$B$10*(1-COS(PI()*(1-(($A261-Simulador!$E$9)/Simulador!$G$9))/Simulador!$B$11))/2,Simulador!$B$10)))</f>
        <v>6.5913121711714373</v>
      </c>
      <c r="G261" s="18">
        <f>IF(OR((($A261-Simulador!$E$10)/Simulador!$G$10)&lt;=0,(($A261-Simulador!$E$10)/Simulador!$G$10)&gt;=1),0,IF((($A261-Simulador!$E$10)/Simulador!$G$10)&lt;Simulador!$B$11,Simulador!$B$10*(1-COS(PI()*(($A261-Simulador!$E$10)/Simulador!$G$10)/Simulador!$B$11))/2,IF((($A261-Simulador!$E$10)/Simulador!$G$10)&gt;1-Simulador!$B$11,Simulador!$B$10*(1-COS(PI()*(1-(($A261-Simulador!$E$10)/Simulador!$G$10))/Simulador!$B$11))/2,Simulador!$B$10)))</f>
        <v>7.8984073728079309</v>
      </c>
    </row>
    <row r="262" spans="1:7" x14ac:dyDescent="0.25">
      <c r="A262" s="17">
        <f>A261+Simulador!$B$14</f>
        <v>520</v>
      </c>
      <c r="B262" s="18">
        <f>IF(OR((($A262-Simulador!$E$5)/Simulador!$G$5)&lt;=0,(($A262-Simulador!$E$5)/Simulador!$G$5)&gt;=1),0,IF((($A262-Simulador!$E$5)/Simulador!$G$5)&lt;Simulador!$B$11,Simulador!$B$9*(1-COS(PI()*(($A262-Simulador!$E$5)/Simulador!$G$5)/Simulador!$B$11))/2,IF((($A262-Simulador!$E$5)/Simulador!$G$5)&gt;1-Simulador!$B$11,Simulador!$B$9*(1-COS(PI()*(1-(($A262-Simulador!$E$5)/Simulador!$G$5))/Simulador!$B$11))/2,Simulador!$B$9)))</f>
        <v>0</v>
      </c>
      <c r="C262" s="18">
        <f>IF(OR((($A262-Simulador!$E$6)/Simulador!$G$6)&lt;=0,(($A262-Simulador!$E$6)/Simulador!$G$6)&gt;=1),0,IF((($A262-Simulador!$E$6)/Simulador!$G$6)&lt;Simulador!$B$11,Simulador!$B$9*(1-COS(PI()*(($A262-Simulador!$E$6)/Simulador!$G$6)/Simulador!$B$11))/2,IF((($A262-Simulador!$E$6)/Simulador!$G$6)&gt;1-Simulador!$B$11,Simulador!$B$9*(1-COS(PI()*(1-(($A262-Simulador!$E$6)/Simulador!$G$6))/Simulador!$B$11))/2,Simulador!$B$9)))</f>
        <v>0</v>
      </c>
      <c r="D262" s="18">
        <f>IF(OR((($A262-Simulador!$E$7)/Simulador!$G$7)&lt;=0,(($A262-Simulador!$E$7)/Simulador!$G$7)&gt;=1),0,IF((($A262-Simulador!$E$7)/Simulador!$G$7)&lt;Simulador!$B$11,Simulador!$B$9*(1-COS(PI()*(($A262-Simulador!$E$7)/Simulador!$G$7)/Simulador!$B$11))/2,IF((($A262-Simulador!$E$7)/Simulador!$G$7)&gt;1-Simulador!$B$11,Simulador!$B$9*(1-COS(PI()*(1-(($A262-Simulador!$E$7)/Simulador!$G$7))/Simulador!$B$11))/2,Simulador!$B$9)))</f>
        <v>0</v>
      </c>
      <c r="E262" s="18">
        <f>IF(OR((($A262-Simulador!$E$8)/Simulador!$G$8)&lt;=0,(($A262-Simulador!$E$8)/Simulador!$G$8)&gt;=1),0,IF((($A262-Simulador!$E$8)/Simulador!$G$8)&lt;Simulador!$B$11,Simulador!$B$10*(1-COS(PI()*(($A262-Simulador!$E$8)/Simulador!$G$8)/Simulador!$B$11))/2,IF((($A262-Simulador!$E$8)/Simulador!$G$8)&gt;1-Simulador!$B$11,Simulador!$B$10*(1-COS(PI()*(1-(($A262-Simulador!$E$8)/Simulador!$G$8))/Simulador!$B$11))/2,Simulador!$B$10)))</f>
        <v>4.5676028977423027</v>
      </c>
      <c r="F262" s="18">
        <f>IF(OR((($A262-Simulador!$E$9)/Simulador!$G$9)&lt;=0,(($A262-Simulador!$E$9)/Simulador!$G$9)&gt;=1),0,IF((($A262-Simulador!$E$9)/Simulador!$G$9)&lt;Simulador!$B$11,Simulador!$B$10*(1-COS(PI()*(($A262-Simulador!$E$9)/Simulador!$G$9)/Simulador!$B$11))/2,IF((($A262-Simulador!$E$9)/Simulador!$G$9)&gt;1-Simulador!$B$11,Simulador!$B$10*(1-COS(PI()*(1-(($A262-Simulador!$E$9)/Simulador!$G$9))/Simulador!$B$11))/2,Simulador!$B$10)))</f>
        <v>6.3750000000000009</v>
      </c>
      <c r="G262" s="18">
        <f>IF(OR((($A262-Simulador!$E$10)/Simulador!$G$10)&lt;=0,(($A262-Simulador!$E$10)/Simulador!$G$10)&gt;=1),0,IF((($A262-Simulador!$E$10)/Simulador!$G$10)&lt;Simulador!$B$11,Simulador!$B$10*(1-COS(PI()*(($A262-Simulador!$E$10)/Simulador!$G$10)/Simulador!$B$11))/2,IF((($A262-Simulador!$E$10)/Simulador!$G$10)&gt;1-Simulador!$B$11,Simulador!$B$10*(1-COS(PI()*(1-(($A262-Simulador!$E$10)/Simulador!$G$10))/Simulador!$B$11))/2,Simulador!$B$10)))</f>
        <v>7.7615147908429778</v>
      </c>
    </row>
    <row r="263" spans="1:7" x14ac:dyDescent="0.25">
      <c r="A263" s="17">
        <f>A262+Simulador!$B$14</f>
        <v>522</v>
      </c>
      <c r="B263" s="18">
        <f>IF(OR((($A263-Simulador!$E$5)/Simulador!$G$5)&lt;=0,(($A263-Simulador!$E$5)/Simulador!$G$5)&gt;=1),0,IF((($A263-Simulador!$E$5)/Simulador!$G$5)&lt;Simulador!$B$11,Simulador!$B$9*(1-COS(PI()*(($A263-Simulador!$E$5)/Simulador!$G$5)/Simulador!$B$11))/2,IF((($A263-Simulador!$E$5)/Simulador!$G$5)&gt;1-Simulador!$B$11,Simulador!$B$9*(1-COS(PI()*(1-(($A263-Simulador!$E$5)/Simulador!$G$5))/Simulador!$B$11))/2,Simulador!$B$9)))</f>
        <v>0</v>
      </c>
      <c r="C263" s="18">
        <f>IF(OR((($A263-Simulador!$E$6)/Simulador!$G$6)&lt;=0,(($A263-Simulador!$E$6)/Simulador!$G$6)&gt;=1),0,IF((($A263-Simulador!$E$6)/Simulador!$G$6)&lt;Simulador!$B$11,Simulador!$B$9*(1-COS(PI()*(($A263-Simulador!$E$6)/Simulador!$G$6)/Simulador!$B$11))/2,IF((($A263-Simulador!$E$6)/Simulador!$G$6)&gt;1-Simulador!$B$11,Simulador!$B$9*(1-COS(PI()*(1-(($A263-Simulador!$E$6)/Simulador!$G$6))/Simulador!$B$11))/2,Simulador!$B$9)))</f>
        <v>0</v>
      </c>
      <c r="D263" s="18">
        <f>IF(OR((($A263-Simulador!$E$7)/Simulador!$G$7)&lt;=0,(($A263-Simulador!$E$7)/Simulador!$G$7)&gt;=1),0,IF((($A263-Simulador!$E$7)/Simulador!$G$7)&lt;Simulador!$B$11,Simulador!$B$9*(1-COS(PI()*(($A263-Simulador!$E$7)/Simulador!$G$7)/Simulador!$B$11))/2,IF((($A263-Simulador!$E$7)/Simulador!$G$7)&gt;1-Simulador!$B$11,Simulador!$B$9*(1-COS(PI()*(1-(($A263-Simulador!$E$7)/Simulador!$G$7))/Simulador!$B$11))/2,Simulador!$B$9)))</f>
        <v>0</v>
      </c>
      <c r="E263" s="18">
        <f>IF(OR((($A263-Simulador!$E$8)/Simulador!$G$8)&lt;=0,(($A263-Simulador!$E$8)/Simulador!$G$8)&gt;=1),0,IF((($A263-Simulador!$E$8)/Simulador!$G$8)&lt;Simulador!$B$11,Simulador!$B$10*(1-COS(PI()*(($A263-Simulador!$E$8)/Simulador!$G$8)/Simulador!$B$11))/2,IF((($A263-Simulador!$E$8)/Simulador!$G$8)&gt;1-Simulador!$B$11,Simulador!$B$10*(1-COS(PI()*(1-(($A263-Simulador!$E$8)/Simulador!$G$8))/Simulador!$B$11))/2,Simulador!$B$10)))</f>
        <v>4.3135774798148683</v>
      </c>
      <c r="F263" s="18">
        <f>IF(OR((($A263-Simulador!$E$9)/Simulador!$G$9)&lt;=0,(($A263-Simulador!$E$9)/Simulador!$G$9)&gt;=1),0,IF((($A263-Simulador!$E$9)/Simulador!$G$9)&lt;Simulador!$B$11,Simulador!$B$10*(1-COS(PI()*(($A263-Simulador!$E$9)/Simulador!$G$9)/Simulador!$B$11))/2,IF((($A263-Simulador!$E$9)/Simulador!$G$9)&gt;1-Simulador!$B$11,Simulador!$B$10*(1-COS(PI()*(1-(($A263-Simulador!$E$9)/Simulador!$G$9))/Simulador!$B$11))/2,Simulador!$B$10)))</f>
        <v>6.1510808803414392</v>
      </c>
      <c r="G263" s="18">
        <f>IF(OR((($A263-Simulador!$E$10)/Simulador!$G$10)&lt;=0,(($A263-Simulador!$E$10)/Simulador!$G$10)&gt;=1),0,IF((($A263-Simulador!$E$10)/Simulador!$G$10)&lt;Simulador!$B$11,Simulador!$B$10*(1-COS(PI()*(($A263-Simulador!$E$10)/Simulador!$G$10)/Simulador!$B$11))/2,IF((($A263-Simulador!$E$10)/Simulador!$G$10)&gt;1-Simulador!$B$11,Simulador!$B$10*(1-COS(PI()*(1-(($A263-Simulador!$E$10)/Simulador!$G$10))/Simulador!$B$11))/2,Simulador!$B$10)))</f>
        <v>7.6120518972894509</v>
      </c>
    </row>
    <row r="264" spans="1:7" x14ac:dyDescent="0.25">
      <c r="A264" s="17">
        <f>A263+Simulador!$B$14</f>
        <v>524</v>
      </c>
      <c r="B264" s="18">
        <f>IF(OR((($A264-Simulador!$E$5)/Simulador!$G$5)&lt;=0,(($A264-Simulador!$E$5)/Simulador!$G$5)&gt;=1),0,IF((($A264-Simulador!$E$5)/Simulador!$G$5)&lt;Simulador!$B$11,Simulador!$B$9*(1-COS(PI()*(($A264-Simulador!$E$5)/Simulador!$G$5)/Simulador!$B$11))/2,IF((($A264-Simulador!$E$5)/Simulador!$G$5)&gt;1-Simulador!$B$11,Simulador!$B$9*(1-COS(PI()*(1-(($A264-Simulador!$E$5)/Simulador!$G$5))/Simulador!$B$11))/2,Simulador!$B$9)))</f>
        <v>0</v>
      </c>
      <c r="C264" s="18">
        <f>IF(OR((($A264-Simulador!$E$6)/Simulador!$G$6)&lt;=0,(($A264-Simulador!$E$6)/Simulador!$G$6)&gt;=1),0,IF((($A264-Simulador!$E$6)/Simulador!$G$6)&lt;Simulador!$B$11,Simulador!$B$9*(1-COS(PI()*(($A264-Simulador!$E$6)/Simulador!$G$6)/Simulador!$B$11))/2,IF((($A264-Simulador!$E$6)/Simulador!$G$6)&gt;1-Simulador!$B$11,Simulador!$B$9*(1-COS(PI()*(1-(($A264-Simulador!$E$6)/Simulador!$G$6))/Simulador!$B$11))/2,Simulador!$B$9)))</f>
        <v>0</v>
      </c>
      <c r="D264" s="18">
        <f>IF(OR((($A264-Simulador!$E$7)/Simulador!$G$7)&lt;=0,(($A264-Simulador!$E$7)/Simulador!$G$7)&gt;=1),0,IF((($A264-Simulador!$E$7)/Simulador!$G$7)&lt;Simulador!$B$11,Simulador!$B$9*(1-COS(PI()*(($A264-Simulador!$E$7)/Simulador!$G$7)/Simulador!$B$11))/2,IF((($A264-Simulador!$E$7)/Simulador!$G$7)&gt;1-Simulador!$B$11,Simulador!$B$9*(1-COS(PI()*(1-(($A264-Simulador!$E$7)/Simulador!$G$7))/Simulador!$B$11))/2,Simulador!$B$9)))</f>
        <v>0</v>
      </c>
      <c r="E264" s="18">
        <f>IF(OR((($A264-Simulador!$E$8)/Simulador!$G$8)&lt;=0,(($A264-Simulador!$E$8)/Simulador!$G$8)&gt;=1),0,IF((($A264-Simulador!$E$8)/Simulador!$G$8)&lt;Simulador!$B$11,Simulador!$B$10*(1-COS(PI()*(($A264-Simulador!$E$8)/Simulador!$G$8)/Simulador!$B$11))/2,IF((($A264-Simulador!$E$8)/Simulador!$G$8)&gt;1-Simulador!$B$11,Simulador!$B$10*(1-COS(PI()*(1-(($A264-Simulador!$E$8)/Simulador!$G$8))/Simulador!$B$11))/2,Simulador!$B$10)))</f>
        <v>4.05932447101031</v>
      </c>
      <c r="F264" s="18">
        <f>IF(OR((($A264-Simulador!$E$9)/Simulador!$G$9)&lt;=0,(($A264-Simulador!$E$9)/Simulador!$G$9)&gt;=1),0,IF((($A264-Simulador!$E$9)/Simulador!$G$9)&lt;Simulador!$B$11,Simulador!$B$10*(1-COS(PI()*(($A264-Simulador!$E$9)/Simulador!$G$9)/Simulador!$B$11))/2,IF((($A264-Simulador!$E$9)/Simulador!$G$9)&gt;1-Simulador!$B$11,Simulador!$B$10*(1-COS(PI()*(1-(($A264-Simulador!$E$9)/Simulador!$G$9))/Simulador!$B$11))/2,Simulador!$B$10)))</f>
        <v>5.9203563845291756</v>
      </c>
      <c r="G264" s="18">
        <f>IF(OR((($A264-Simulador!$E$10)/Simulador!$G$10)&lt;=0,(($A264-Simulador!$E$10)/Simulador!$G$10)&gt;=1),0,IF((($A264-Simulador!$E$10)/Simulador!$G$10)&lt;Simulador!$B$11,Simulador!$B$10*(1-COS(PI()*(($A264-Simulador!$E$10)/Simulador!$G$10)/Simulador!$B$11))/2,IF((($A264-Simulador!$E$10)/Simulador!$G$10)&gt;1-Simulador!$B$11,Simulador!$B$10*(1-COS(PI()*(1-(($A264-Simulador!$E$10)/Simulador!$G$10))/Simulador!$B$11))/2,Simulador!$B$10)))</f>
        <v>7.4505537305153453</v>
      </c>
    </row>
    <row r="265" spans="1:7" x14ac:dyDescent="0.25">
      <c r="A265" s="17">
        <f>A264+Simulador!$B$14</f>
        <v>526</v>
      </c>
      <c r="B265" s="18">
        <f>IF(OR((($A265-Simulador!$E$5)/Simulador!$G$5)&lt;=0,(($A265-Simulador!$E$5)/Simulador!$G$5)&gt;=1),0,IF((($A265-Simulador!$E$5)/Simulador!$G$5)&lt;Simulador!$B$11,Simulador!$B$9*(1-COS(PI()*(($A265-Simulador!$E$5)/Simulador!$G$5)/Simulador!$B$11))/2,IF((($A265-Simulador!$E$5)/Simulador!$G$5)&gt;1-Simulador!$B$11,Simulador!$B$9*(1-COS(PI()*(1-(($A265-Simulador!$E$5)/Simulador!$G$5))/Simulador!$B$11))/2,Simulador!$B$9)))</f>
        <v>0</v>
      </c>
      <c r="C265" s="18">
        <f>IF(OR((($A265-Simulador!$E$6)/Simulador!$G$6)&lt;=0,(($A265-Simulador!$E$6)/Simulador!$G$6)&gt;=1),0,IF((($A265-Simulador!$E$6)/Simulador!$G$6)&lt;Simulador!$B$11,Simulador!$B$9*(1-COS(PI()*(($A265-Simulador!$E$6)/Simulador!$G$6)/Simulador!$B$11))/2,IF((($A265-Simulador!$E$6)/Simulador!$G$6)&gt;1-Simulador!$B$11,Simulador!$B$9*(1-COS(PI()*(1-(($A265-Simulador!$E$6)/Simulador!$G$6))/Simulador!$B$11))/2,Simulador!$B$9)))</f>
        <v>0</v>
      </c>
      <c r="D265" s="18">
        <f>IF(OR((($A265-Simulador!$E$7)/Simulador!$G$7)&lt;=0,(($A265-Simulador!$E$7)/Simulador!$G$7)&gt;=1),0,IF((($A265-Simulador!$E$7)/Simulador!$G$7)&lt;Simulador!$B$11,Simulador!$B$9*(1-COS(PI()*(($A265-Simulador!$E$7)/Simulador!$G$7)/Simulador!$B$11))/2,IF((($A265-Simulador!$E$7)/Simulador!$G$7)&gt;1-Simulador!$B$11,Simulador!$B$9*(1-COS(PI()*(1-(($A265-Simulador!$E$7)/Simulador!$G$7))/Simulador!$B$11))/2,Simulador!$B$9)))</f>
        <v>0</v>
      </c>
      <c r="E265" s="18">
        <f>IF(OR((($A265-Simulador!$E$8)/Simulador!$G$8)&lt;=0,(($A265-Simulador!$E$8)/Simulador!$G$8)&gt;=1),0,IF((($A265-Simulador!$E$8)/Simulador!$G$8)&lt;Simulador!$B$11,Simulador!$B$10*(1-COS(PI()*(($A265-Simulador!$E$8)/Simulador!$G$8)/Simulador!$B$11))/2,IF((($A265-Simulador!$E$8)/Simulador!$G$8)&gt;1-Simulador!$B$11,Simulador!$B$10*(1-COS(PI()*(1-(($A265-Simulador!$E$8)/Simulador!$G$8))/Simulador!$B$11))/2,Simulador!$B$10)))</f>
        <v>3.805754031112472</v>
      </c>
      <c r="F265" s="18">
        <f>IF(OR((($A265-Simulador!$E$9)/Simulador!$G$9)&lt;=0,(($A265-Simulador!$E$9)/Simulador!$G$9)&gt;=1),0,IF((($A265-Simulador!$E$9)/Simulador!$G$9)&lt;Simulador!$B$11,Simulador!$B$10*(1-COS(PI()*(($A265-Simulador!$E$9)/Simulador!$G$9)/Simulador!$B$11))/2,IF((($A265-Simulador!$E$9)/Simulador!$G$9)&gt;1-Simulador!$B$11,Simulador!$B$10*(1-COS(PI()*(1-(($A265-Simulador!$E$9)/Simulador!$G$9))/Simulador!$B$11))/2,Simulador!$B$10)))</f>
        <v>5.6836524463770282</v>
      </c>
      <c r="G265" s="18">
        <f>IF(OR((($A265-Simulador!$E$10)/Simulador!$G$10)&lt;=0,(($A265-Simulador!$E$10)/Simulador!$G$10)&gt;=1),0,IF((($A265-Simulador!$E$10)/Simulador!$G$10)&lt;Simulador!$B$11,Simulador!$B$10*(1-COS(PI()*(($A265-Simulador!$E$10)/Simulador!$G$10)/Simulador!$B$11))/2,IF((($A265-Simulador!$E$10)/Simulador!$G$10)&gt;1-Simulador!$B$11,Simulador!$B$10*(1-COS(PI()*(1-(($A265-Simulador!$E$10)/Simulador!$G$10))/Simulador!$B$11))/2,Simulador!$B$10)))</f>
        <v>7.2775984120432149</v>
      </c>
    </row>
    <row r="266" spans="1:7" x14ac:dyDescent="0.25">
      <c r="A266" s="17">
        <f>A265+Simulador!$B$14</f>
        <v>528</v>
      </c>
      <c r="B266" s="18">
        <f>IF(OR((($A266-Simulador!$E$5)/Simulador!$G$5)&lt;=0,(($A266-Simulador!$E$5)/Simulador!$G$5)&gt;=1),0,IF((($A266-Simulador!$E$5)/Simulador!$G$5)&lt;Simulador!$B$11,Simulador!$B$9*(1-COS(PI()*(($A266-Simulador!$E$5)/Simulador!$G$5)/Simulador!$B$11))/2,IF((($A266-Simulador!$E$5)/Simulador!$G$5)&gt;1-Simulador!$B$11,Simulador!$B$9*(1-COS(PI()*(1-(($A266-Simulador!$E$5)/Simulador!$G$5))/Simulador!$B$11))/2,Simulador!$B$9)))</f>
        <v>0</v>
      </c>
      <c r="C266" s="18">
        <f>IF(OR((($A266-Simulador!$E$6)/Simulador!$G$6)&lt;=0,(($A266-Simulador!$E$6)/Simulador!$G$6)&gt;=1),0,IF((($A266-Simulador!$E$6)/Simulador!$G$6)&lt;Simulador!$B$11,Simulador!$B$9*(1-COS(PI()*(($A266-Simulador!$E$6)/Simulador!$G$6)/Simulador!$B$11))/2,IF((($A266-Simulador!$E$6)/Simulador!$G$6)&gt;1-Simulador!$B$11,Simulador!$B$9*(1-COS(PI()*(1-(($A266-Simulador!$E$6)/Simulador!$G$6))/Simulador!$B$11))/2,Simulador!$B$9)))</f>
        <v>0</v>
      </c>
      <c r="D266" s="18">
        <f>IF(OR((($A266-Simulador!$E$7)/Simulador!$G$7)&lt;=0,(($A266-Simulador!$E$7)/Simulador!$G$7)&gt;=1),0,IF((($A266-Simulador!$E$7)/Simulador!$G$7)&lt;Simulador!$B$11,Simulador!$B$9*(1-COS(PI()*(($A266-Simulador!$E$7)/Simulador!$G$7)/Simulador!$B$11))/2,IF((($A266-Simulador!$E$7)/Simulador!$G$7)&gt;1-Simulador!$B$11,Simulador!$B$9*(1-COS(PI()*(1-(($A266-Simulador!$E$7)/Simulador!$G$7))/Simulador!$B$11))/2,Simulador!$B$9)))</f>
        <v>0</v>
      </c>
      <c r="E266" s="18">
        <f>IF(OR((($A266-Simulador!$E$8)/Simulador!$G$8)&lt;=0,(($A266-Simulador!$E$8)/Simulador!$G$8)&gt;=1),0,IF((($A266-Simulador!$E$8)/Simulador!$G$8)&lt;Simulador!$B$11,Simulador!$B$10*(1-COS(PI()*(($A266-Simulador!$E$8)/Simulador!$G$8)/Simulador!$B$11))/2,IF((($A266-Simulador!$E$8)/Simulador!$G$8)&gt;1-Simulador!$B$11,Simulador!$B$10*(1-COS(PI()*(1-(($A266-Simulador!$E$8)/Simulador!$G$8))/Simulador!$B$11))/2,Simulador!$B$10)))</f>
        <v>3.5537738764856623</v>
      </c>
      <c r="F266" s="18">
        <f>IF(OR((($A266-Simulador!$E$9)/Simulador!$G$9)&lt;=0,(($A266-Simulador!$E$9)/Simulador!$G$9)&gt;=1),0,IF((($A266-Simulador!$E$9)/Simulador!$G$9)&lt;Simulador!$B$11,Simulador!$B$10*(1-COS(PI()*(($A266-Simulador!$E$9)/Simulador!$G$9)/Simulador!$B$11))/2,IF((($A266-Simulador!$E$9)/Simulador!$G$9)&gt;1-Simulador!$B$11,Simulador!$B$10*(1-COS(PI()*(1-(($A266-Simulador!$E$9)/Simulador!$G$9))/Simulador!$B$11))/2,Simulador!$B$10)))</f>
        <v>5.4418164045505106</v>
      </c>
      <c r="G266" s="18">
        <f>IF(OR((($A266-Simulador!$E$10)/Simulador!$G$10)&lt;=0,(($A266-Simulador!$E$10)/Simulador!$G$10)&gt;=1),0,IF((($A266-Simulador!$E$10)/Simulador!$G$10)&lt;Simulador!$B$11,Simulador!$B$10*(1-COS(PI()*(($A266-Simulador!$E$10)/Simulador!$G$10)/Simulador!$B$11))/2,IF((($A266-Simulador!$E$10)/Simulador!$G$10)&gt;1-Simulador!$B$11,Simulador!$B$10*(1-COS(PI()*(1-(($A266-Simulador!$E$10)/Simulador!$G$10))/Simulador!$B$11))/2,Simulador!$B$10)))</f>
        <v>7.0938050770251495</v>
      </c>
    </row>
    <row r="267" spans="1:7" x14ac:dyDescent="0.25">
      <c r="A267" s="17">
        <f>A266+Simulador!$B$14</f>
        <v>530</v>
      </c>
      <c r="B267" s="18">
        <f>IF(OR((($A267-Simulador!$E$5)/Simulador!$G$5)&lt;=0,(($A267-Simulador!$E$5)/Simulador!$G$5)&gt;=1),0,IF((($A267-Simulador!$E$5)/Simulador!$G$5)&lt;Simulador!$B$11,Simulador!$B$9*(1-COS(PI()*(($A267-Simulador!$E$5)/Simulador!$G$5)/Simulador!$B$11))/2,IF((($A267-Simulador!$E$5)/Simulador!$G$5)&gt;1-Simulador!$B$11,Simulador!$B$9*(1-COS(PI()*(1-(($A267-Simulador!$E$5)/Simulador!$G$5))/Simulador!$B$11))/2,Simulador!$B$9)))</f>
        <v>0</v>
      </c>
      <c r="C267" s="18">
        <f>IF(OR((($A267-Simulador!$E$6)/Simulador!$G$6)&lt;=0,(($A267-Simulador!$E$6)/Simulador!$G$6)&gt;=1),0,IF((($A267-Simulador!$E$6)/Simulador!$G$6)&lt;Simulador!$B$11,Simulador!$B$9*(1-COS(PI()*(($A267-Simulador!$E$6)/Simulador!$G$6)/Simulador!$B$11))/2,IF((($A267-Simulador!$E$6)/Simulador!$G$6)&gt;1-Simulador!$B$11,Simulador!$B$9*(1-COS(PI()*(1-(($A267-Simulador!$E$6)/Simulador!$G$6))/Simulador!$B$11))/2,Simulador!$B$9)))</f>
        <v>0</v>
      </c>
      <c r="D267" s="18">
        <f>IF(OR((($A267-Simulador!$E$7)/Simulador!$G$7)&lt;=0,(($A267-Simulador!$E$7)/Simulador!$G$7)&gt;=1),0,IF((($A267-Simulador!$E$7)/Simulador!$G$7)&lt;Simulador!$B$11,Simulador!$B$9*(1-COS(PI()*(($A267-Simulador!$E$7)/Simulador!$G$7)/Simulador!$B$11))/2,IF((($A267-Simulador!$E$7)/Simulador!$G$7)&gt;1-Simulador!$B$11,Simulador!$B$9*(1-COS(PI()*(1-(($A267-Simulador!$E$7)/Simulador!$G$7))/Simulador!$B$11))/2,Simulador!$B$9)))</f>
        <v>0</v>
      </c>
      <c r="E267" s="18">
        <f>IF(OR((($A267-Simulador!$E$8)/Simulador!$G$8)&lt;=0,(($A267-Simulador!$E$8)/Simulador!$G$8)&gt;=1),0,IF((($A267-Simulador!$E$8)/Simulador!$G$8)&lt;Simulador!$B$11,Simulador!$B$10*(1-COS(PI()*(($A267-Simulador!$E$8)/Simulador!$G$8)/Simulador!$B$11))/2,IF((($A267-Simulador!$E$8)/Simulador!$G$8)&gt;1-Simulador!$B$11,Simulador!$B$10*(1-COS(PI()*(1-(($A267-Simulador!$E$8)/Simulador!$G$8))/Simulador!$B$11))/2,Simulador!$B$10)))</f>
        <v>3.3042860306856654</v>
      </c>
      <c r="F267" s="18">
        <f>IF(OR((($A267-Simulador!$E$9)/Simulador!$G$9)&lt;=0,(($A267-Simulador!$E$9)/Simulador!$G$9)&gt;=1),0,IF((($A267-Simulador!$E$9)/Simulador!$G$9)&lt;Simulador!$B$11,Simulador!$B$10*(1-COS(PI()*(($A267-Simulador!$E$9)/Simulador!$G$9)/Simulador!$B$11))/2,IF((($A267-Simulador!$E$9)/Simulador!$G$9)&gt;1-Simulador!$B$11,Simulador!$B$10*(1-COS(PI()*(1-(($A267-Simulador!$E$9)/Simulador!$G$9))/Simulador!$B$11))/2,Simulador!$B$10)))</f>
        <v>5.1957139693143359</v>
      </c>
      <c r="G267" s="18">
        <f>IF(OR((($A267-Simulador!$E$10)/Simulador!$G$10)&lt;=0,(($A267-Simulador!$E$10)/Simulador!$G$10)&gt;=1),0,IF((($A267-Simulador!$E$10)/Simulador!$G$10)&lt;Simulador!$B$11,Simulador!$B$10*(1-COS(PI()*(($A267-Simulador!$E$10)/Simulador!$G$10)/Simulador!$B$11))/2,IF((($A267-Simulador!$E$10)/Simulador!$G$10)&gt;1-Simulador!$B$11,Simulador!$B$10*(1-COS(PI()*(1-(($A267-Simulador!$E$10)/Simulador!$G$10))/Simulador!$B$11))/2,Simulador!$B$10)))</f>
        <v>6.8998316578996191</v>
      </c>
    </row>
    <row r="268" spans="1:7" x14ac:dyDescent="0.25">
      <c r="A268" s="17">
        <f>A267+Simulador!$B$14</f>
        <v>532</v>
      </c>
      <c r="B268" s="18">
        <f>IF(OR((($A268-Simulador!$E$5)/Simulador!$G$5)&lt;=0,(($A268-Simulador!$E$5)/Simulador!$G$5)&gt;=1),0,IF((($A268-Simulador!$E$5)/Simulador!$G$5)&lt;Simulador!$B$11,Simulador!$B$9*(1-COS(PI()*(($A268-Simulador!$E$5)/Simulador!$G$5)/Simulador!$B$11))/2,IF((($A268-Simulador!$E$5)/Simulador!$G$5)&gt;1-Simulador!$B$11,Simulador!$B$9*(1-COS(PI()*(1-(($A268-Simulador!$E$5)/Simulador!$G$5))/Simulador!$B$11))/2,Simulador!$B$9)))</f>
        <v>0</v>
      </c>
      <c r="C268" s="18">
        <f>IF(OR((($A268-Simulador!$E$6)/Simulador!$G$6)&lt;=0,(($A268-Simulador!$E$6)/Simulador!$G$6)&gt;=1),0,IF((($A268-Simulador!$E$6)/Simulador!$G$6)&lt;Simulador!$B$11,Simulador!$B$9*(1-COS(PI()*(($A268-Simulador!$E$6)/Simulador!$G$6)/Simulador!$B$11))/2,IF((($A268-Simulador!$E$6)/Simulador!$G$6)&gt;1-Simulador!$B$11,Simulador!$B$9*(1-COS(PI()*(1-(($A268-Simulador!$E$6)/Simulador!$G$6))/Simulador!$B$11))/2,Simulador!$B$9)))</f>
        <v>0</v>
      </c>
      <c r="D268" s="18">
        <f>IF(OR((($A268-Simulador!$E$7)/Simulador!$G$7)&lt;=0,(($A268-Simulador!$E$7)/Simulador!$G$7)&gt;=1),0,IF((($A268-Simulador!$E$7)/Simulador!$G$7)&lt;Simulador!$B$11,Simulador!$B$9*(1-COS(PI()*(($A268-Simulador!$E$7)/Simulador!$G$7)/Simulador!$B$11))/2,IF((($A268-Simulador!$E$7)/Simulador!$G$7)&gt;1-Simulador!$B$11,Simulador!$B$9*(1-COS(PI()*(1-(($A268-Simulador!$E$7)/Simulador!$G$7))/Simulador!$B$11))/2,Simulador!$B$9)))</f>
        <v>0</v>
      </c>
      <c r="E268" s="18">
        <f>IF(OR((($A268-Simulador!$E$8)/Simulador!$G$8)&lt;=0,(($A268-Simulador!$E$8)/Simulador!$G$8)&gt;=1),0,IF((($A268-Simulador!$E$8)/Simulador!$G$8)&lt;Simulador!$B$11,Simulador!$B$10*(1-COS(PI()*(($A268-Simulador!$E$8)/Simulador!$G$8)/Simulador!$B$11))/2,IF((($A268-Simulador!$E$8)/Simulador!$G$8)&gt;1-Simulador!$B$11,Simulador!$B$10*(1-COS(PI()*(1-(($A268-Simulador!$E$8)/Simulador!$G$8))/Simulador!$B$11))/2,Simulador!$B$10)))</f>
        <v>3.0581835954494894</v>
      </c>
      <c r="F268" s="18">
        <f>IF(OR((($A268-Simulador!$E$9)/Simulador!$G$9)&lt;=0,(($A268-Simulador!$E$9)/Simulador!$G$9)&gt;=1),0,IF((($A268-Simulador!$E$9)/Simulador!$G$9)&lt;Simulador!$B$11,Simulador!$B$10*(1-COS(PI()*(($A268-Simulador!$E$9)/Simulador!$G$9)/Simulador!$B$11))/2,IF((($A268-Simulador!$E$9)/Simulador!$G$9)&gt;1-Simulador!$B$11,Simulador!$B$10*(1-COS(PI()*(1-(($A268-Simulador!$E$9)/Simulador!$G$9))/Simulador!$B$11))/2,Simulador!$B$10)))</f>
        <v>4.946226123514335</v>
      </c>
      <c r="G268" s="18">
        <f>IF(OR((($A268-Simulador!$E$10)/Simulador!$G$10)&lt;=0,(($A268-Simulador!$E$10)/Simulador!$G$10)&gt;=1),0,IF((($A268-Simulador!$E$10)/Simulador!$G$10)&lt;Simulador!$B$11,Simulador!$B$10*(1-COS(PI()*(($A268-Simulador!$E$10)/Simulador!$G$10)/Simulador!$B$11))/2,IF((($A268-Simulador!$E$10)/Simulador!$G$10)&gt;1-Simulador!$B$11,Simulador!$B$10*(1-COS(PI()*(1-(($A268-Simulador!$E$10)/Simulador!$G$10))/Simulador!$B$11))/2,Simulador!$B$10)))</f>
        <v>6.6963725291641127</v>
      </c>
    </row>
    <row r="269" spans="1:7" x14ac:dyDescent="0.25">
      <c r="A269" s="17">
        <f>A268+Simulador!$B$14</f>
        <v>534</v>
      </c>
      <c r="B269" s="18">
        <f>IF(OR((($A269-Simulador!$E$5)/Simulador!$G$5)&lt;=0,(($A269-Simulador!$E$5)/Simulador!$G$5)&gt;=1),0,IF((($A269-Simulador!$E$5)/Simulador!$G$5)&lt;Simulador!$B$11,Simulador!$B$9*(1-COS(PI()*(($A269-Simulador!$E$5)/Simulador!$G$5)/Simulador!$B$11))/2,IF((($A269-Simulador!$E$5)/Simulador!$G$5)&gt;1-Simulador!$B$11,Simulador!$B$9*(1-COS(PI()*(1-(($A269-Simulador!$E$5)/Simulador!$G$5))/Simulador!$B$11))/2,Simulador!$B$9)))</f>
        <v>0</v>
      </c>
      <c r="C269" s="18">
        <f>IF(OR((($A269-Simulador!$E$6)/Simulador!$G$6)&lt;=0,(($A269-Simulador!$E$6)/Simulador!$G$6)&gt;=1),0,IF((($A269-Simulador!$E$6)/Simulador!$G$6)&lt;Simulador!$B$11,Simulador!$B$9*(1-COS(PI()*(($A269-Simulador!$E$6)/Simulador!$G$6)/Simulador!$B$11))/2,IF((($A269-Simulador!$E$6)/Simulador!$G$6)&gt;1-Simulador!$B$11,Simulador!$B$9*(1-COS(PI()*(1-(($A269-Simulador!$E$6)/Simulador!$G$6))/Simulador!$B$11))/2,Simulador!$B$9)))</f>
        <v>0</v>
      </c>
      <c r="D269" s="18">
        <f>IF(OR((($A269-Simulador!$E$7)/Simulador!$G$7)&lt;=0,(($A269-Simulador!$E$7)/Simulador!$G$7)&gt;=1),0,IF((($A269-Simulador!$E$7)/Simulador!$G$7)&lt;Simulador!$B$11,Simulador!$B$9*(1-COS(PI()*(($A269-Simulador!$E$7)/Simulador!$G$7)/Simulador!$B$11))/2,IF((($A269-Simulador!$E$7)/Simulador!$G$7)&gt;1-Simulador!$B$11,Simulador!$B$9*(1-COS(PI()*(1-(($A269-Simulador!$E$7)/Simulador!$G$7))/Simulador!$B$11))/2,Simulador!$B$9)))</f>
        <v>0</v>
      </c>
      <c r="E269" s="18">
        <f>IF(OR((($A269-Simulador!$E$8)/Simulador!$G$8)&lt;=0,(($A269-Simulador!$E$8)/Simulador!$G$8)&gt;=1),0,IF((($A269-Simulador!$E$8)/Simulador!$G$8)&lt;Simulador!$B$11,Simulador!$B$10*(1-COS(PI()*(($A269-Simulador!$E$8)/Simulador!$G$8)/Simulador!$B$11))/2,IF((($A269-Simulador!$E$8)/Simulador!$G$8)&gt;1-Simulador!$B$11,Simulador!$B$10*(1-COS(PI()*(1-(($A269-Simulador!$E$8)/Simulador!$G$8))/Simulador!$B$11))/2,Simulador!$B$10)))</f>
        <v>2.8163475536229736</v>
      </c>
      <c r="F269" s="18">
        <f>IF(OR((($A269-Simulador!$E$9)/Simulador!$G$9)&lt;=0,(($A269-Simulador!$E$9)/Simulador!$G$9)&gt;=1),0,IF((($A269-Simulador!$E$9)/Simulador!$G$9)&lt;Simulador!$B$11,Simulador!$B$10*(1-COS(PI()*(($A269-Simulador!$E$9)/Simulador!$G$9)/Simulador!$B$11))/2,IF((($A269-Simulador!$E$9)/Simulador!$G$9)&gt;1-Simulador!$B$11,Simulador!$B$10*(1-COS(PI()*(1-(($A269-Simulador!$E$9)/Simulador!$G$9))/Simulador!$B$11))/2,Simulador!$B$10)))</f>
        <v>4.6942459688875262</v>
      </c>
      <c r="G269" s="18">
        <f>IF(OR((($A269-Simulador!$E$10)/Simulador!$G$10)&lt;=0,(($A269-Simulador!$E$10)/Simulador!$G$10)&gt;=1),0,IF((($A269-Simulador!$E$10)/Simulador!$G$10)&lt;Simulador!$B$11,Simulador!$B$10*(1-COS(PI()*(($A269-Simulador!$E$10)/Simulador!$G$10)/Simulador!$B$11))/2,IF((($A269-Simulador!$E$10)/Simulador!$G$10)&gt;1-Simulador!$B$11,Simulador!$B$10*(1-COS(PI()*(1-(($A269-Simulador!$E$10)/Simulador!$G$10))/Simulador!$B$11))/2,Simulador!$B$10)))</f>
        <v>6.4841560216946466</v>
      </c>
    </row>
    <row r="270" spans="1:7" x14ac:dyDescent="0.25">
      <c r="A270" s="17">
        <f>A269+Simulador!$B$14</f>
        <v>536</v>
      </c>
      <c r="B270" s="18">
        <f>IF(OR((($A270-Simulador!$E$5)/Simulador!$G$5)&lt;=0,(($A270-Simulador!$E$5)/Simulador!$G$5)&gt;=1),0,IF((($A270-Simulador!$E$5)/Simulador!$G$5)&lt;Simulador!$B$11,Simulador!$B$9*(1-COS(PI()*(($A270-Simulador!$E$5)/Simulador!$G$5)/Simulador!$B$11))/2,IF((($A270-Simulador!$E$5)/Simulador!$G$5)&gt;1-Simulador!$B$11,Simulador!$B$9*(1-COS(PI()*(1-(($A270-Simulador!$E$5)/Simulador!$G$5))/Simulador!$B$11))/2,Simulador!$B$9)))</f>
        <v>0</v>
      </c>
      <c r="C270" s="18">
        <f>IF(OR((($A270-Simulador!$E$6)/Simulador!$G$6)&lt;=0,(($A270-Simulador!$E$6)/Simulador!$G$6)&gt;=1),0,IF((($A270-Simulador!$E$6)/Simulador!$G$6)&lt;Simulador!$B$11,Simulador!$B$9*(1-COS(PI()*(($A270-Simulador!$E$6)/Simulador!$G$6)/Simulador!$B$11))/2,IF((($A270-Simulador!$E$6)/Simulador!$G$6)&gt;1-Simulador!$B$11,Simulador!$B$9*(1-COS(PI()*(1-(($A270-Simulador!$E$6)/Simulador!$G$6))/Simulador!$B$11))/2,Simulador!$B$9)))</f>
        <v>0</v>
      </c>
      <c r="D270" s="18">
        <f>IF(OR((($A270-Simulador!$E$7)/Simulador!$G$7)&lt;=0,(($A270-Simulador!$E$7)/Simulador!$G$7)&gt;=1),0,IF((($A270-Simulador!$E$7)/Simulador!$G$7)&lt;Simulador!$B$11,Simulador!$B$9*(1-COS(PI()*(($A270-Simulador!$E$7)/Simulador!$G$7)/Simulador!$B$11))/2,IF((($A270-Simulador!$E$7)/Simulador!$G$7)&gt;1-Simulador!$B$11,Simulador!$B$9*(1-COS(PI()*(1-(($A270-Simulador!$E$7)/Simulador!$G$7))/Simulador!$B$11))/2,Simulador!$B$9)))</f>
        <v>0</v>
      </c>
      <c r="E270" s="18">
        <f>IF(OR((($A270-Simulador!$E$8)/Simulador!$G$8)&lt;=0,(($A270-Simulador!$E$8)/Simulador!$G$8)&gt;=1),0,IF((($A270-Simulador!$E$8)/Simulador!$G$8)&lt;Simulador!$B$11,Simulador!$B$10*(1-COS(PI()*(($A270-Simulador!$E$8)/Simulador!$G$8)/Simulador!$B$11))/2,IF((($A270-Simulador!$E$8)/Simulador!$G$8)&gt;1-Simulador!$B$11,Simulador!$B$10*(1-COS(PI()*(1-(($A270-Simulador!$E$8)/Simulador!$G$8))/Simulador!$B$11))/2,Simulador!$B$10)))</f>
        <v>2.5796436154708253</v>
      </c>
      <c r="F270" s="18">
        <f>IF(OR((($A270-Simulador!$E$9)/Simulador!$G$9)&lt;=0,(($A270-Simulador!$E$9)/Simulador!$G$9)&gt;=1),0,IF((($A270-Simulador!$E$9)/Simulador!$G$9)&lt;Simulador!$B$11,Simulador!$B$10*(1-COS(PI()*(($A270-Simulador!$E$9)/Simulador!$G$9)/Simulador!$B$11))/2,IF((($A270-Simulador!$E$9)/Simulador!$G$9)&gt;1-Simulador!$B$11,Simulador!$B$10*(1-COS(PI()*(1-(($A270-Simulador!$E$9)/Simulador!$G$9))/Simulador!$B$11))/2,Simulador!$B$10)))</f>
        <v>4.4406755289896873</v>
      </c>
      <c r="G270" s="18">
        <f>IF(OR((($A270-Simulador!$E$10)/Simulador!$G$10)&lt;=0,(($A270-Simulador!$E$10)/Simulador!$G$10)&gt;=1),0,IF((($A270-Simulador!$E$10)/Simulador!$G$10)&lt;Simulador!$B$11,Simulador!$B$10*(1-COS(PI()*(($A270-Simulador!$E$10)/Simulador!$G$10)/Simulador!$B$11))/2,IF((($A270-Simulador!$E$10)/Simulador!$G$10)&gt;1-Simulador!$B$11,Simulador!$B$10*(1-COS(PI()*(1-(($A270-Simulador!$E$10)/Simulador!$G$10))/Simulador!$B$11))/2,Simulador!$B$10)))</f>
        <v>6.2639418155102442</v>
      </c>
    </row>
    <row r="271" spans="1:7" x14ac:dyDescent="0.25">
      <c r="A271" s="17">
        <f>A270+Simulador!$B$14</f>
        <v>538</v>
      </c>
      <c r="B271" s="18">
        <f>IF(OR((($A271-Simulador!$E$5)/Simulador!$G$5)&lt;=0,(($A271-Simulador!$E$5)/Simulador!$G$5)&gt;=1),0,IF((($A271-Simulador!$E$5)/Simulador!$G$5)&lt;Simulador!$B$11,Simulador!$B$9*(1-COS(PI()*(($A271-Simulador!$E$5)/Simulador!$G$5)/Simulador!$B$11))/2,IF((($A271-Simulador!$E$5)/Simulador!$G$5)&gt;1-Simulador!$B$11,Simulador!$B$9*(1-COS(PI()*(1-(($A271-Simulador!$E$5)/Simulador!$G$5))/Simulador!$B$11))/2,Simulador!$B$9)))</f>
        <v>0</v>
      </c>
      <c r="C271" s="18">
        <f>IF(OR((($A271-Simulador!$E$6)/Simulador!$G$6)&lt;=0,(($A271-Simulador!$E$6)/Simulador!$G$6)&gt;=1),0,IF((($A271-Simulador!$E$6)/Simulador!$G$6)&lt;Simulador!$B$11,Simulador!$B$9*(1-COS(PI()*(($A271-Simulador!$E$6)/Simulador!$G$6)/Simulador!$B$11))/2,IF((($A271-Simulador!$E$6)/Simulador!$G$6)&gt;1-Simulador!$B$11,Simulador!$B$9*(1-COS(PI()*(1-(($A271-Simulador!$E$6)/Simulador!$G$6))/Simulador!$B$11))/2,Simulador!$B$9)))</f>
        <v>0</v>
      </c>
      <c r="D271" s="18">
        <f>IF(OR((($A271-Simulador!$E$7)/Simulador!$G$7)&lt;=0,(($A271-Simulador!$E$7)/Simulador!$G$7)&gt;=1),0,IF((($A271-Simulador!$E$7)/Simulador!$G$7)&lt;Simulador!$B$11,Simulador!$B$9*(1-COS(PI()*(($A271-Simulador!$E$7)/Simulador!$G$7)/Simulador!$B$11))/2,IF((($A271-Simulador!$E$7)/Simulador!$G$7)&gt;1-Simulador!$B$11,Simulador!$B$9*(1-COS(PI()*(1-(($A271-Simulador!$E$7)/Simulador!$G$7))/Simulador!$B$11))/2,Simulador!$B$9)))</f>
        <v>0</v>
      </c>
      <c r="E271" s="18">
        <f>IF(OR((($A271-Simulador!$E$8)/Simulador!$G$8)&lt;=0,(($A271-Simulador!$E$8)/Simulador!$G$8)&gt;=1),0,IF((($A271-Simulador!$E$8)/Simulador!$G$8)&lt;Simulador!$B$11,Simulador!$B$10*(1-COS(PI()*(($A271-Simulador!$E$8)/Simulador!$G$8)/Simulador!$B$11))/2,IF((($A271-Simulador!$E$8)/Simulador!$G$8)&gt;1-Simulador!$B$11,Simulador!$B$10*(1-COS(PI()*(1-(($A271-Simulador!$E$8)/Simulador!$G$8))/Simulador!$B$11))/2,Simulador!$B$10)))</f>
        <v>2.3489191196585613</v>
      </c>
      <c r="F271" s="18">
        <f>IF(OR((($A271-Simulador!$E$9)/Simulador!$G$9)&lt;=0,(($A271-Simulador!$E$9)/Simulador!$G$9)&gt;=1),0,IF((($A271-Simulador!$E$9)/Simulador!$G$9)&lt;Simulador!$B$11,Simulador!$B$10*(1-COS(PI()*(($A271-Simulador!$E$9)/Simulador!$G$9)/Simulador!$B$11))/2,IF((($A271-Simulador!$E$9)/Simulador!$G$9)&gt;1-Simulador!$B$11,Simulador!$B$10*(1-COS(PI()*(1-(($A271-Simulador!$E$9)/Simulador!$G$9))/Simulador!$B$11))/2,Simulador!$B$10)))</f>
        <v>4.1864225201851282</v>
      </c>
      <c r="G271" s="18">
        <f>IF(OR((($A271-Simulador!$E$10)/Simulador!$G$10)&lt;=0,(($A271-Simulador!$E$10)/Simulador!$G$10)&gt;=1),0,IF((($A271-Simulador!$E$10)/Simulador!$G$10)&lt;Simulador!$B$11,Simulador!$B$10*(1-COS(PI()*(($A271-Simulador!$E$10)/Simulador!$G$10)/Simulador!$B$11))/2,IF((($A271-Simulador!$E$10)/Simulador!$G$10)&gt;1-Simulador!$B$11,Simulador!$B$10*(1-COS(PI()*(1-(($A271-Simulador!$E$10)/Simulador!$G$10))/Simulador!$B$11))/2,Simulador!$B$10)))</f>
        <v>6.0365182203156538</v>
      </c>
    </row>
    <row r="272" spans="1:7" x14ac:dyDescent="0.25">
      <c r="A272" s="17">
        <f>A271+Simulador!$B$14</f>
        <v>540</v>
      </c>
      <c r="B272" s="18">
        <f>IF(OR((($A272-Simulador!$E$5)/Simulador!$G$5)&lt;=0,(($A272-Simulador!$E$5)/Simulador!$G$5)&gt;=1),0,IF((($A272-Simulador!$E$5)/Simulador!$G$5)&lt;Simulador!$B$11,Simulador!$B$9*(1-COS(PI()*(($A272-Simulador!$E$5)/Simulador!$G$5)/Simulador!$B$11))/2,IF((($A272-Simulador!$E$5)/Simulador!$G$5)&gt;1-Simulador!$B$11,Simulador!$B$9*(1-COS(PI()*(1-(($A272-Simulador!$E$5)/Simulador!$G$5))/Simulador!$B$11))/2,Simulador!$B$9)))</f>
        <v>0</v>
      </c>
      <c r="C272" s="18">
        <f>IF(OR((($A272-Simulador!$E$6)/Simulador!$G$6)&lt;=0,(($A272-Simulador!$E$6)/Simulador!$G$6)&gt;=1),0,IF((($A272-Simulador!$E$6)/Simulador!$G$6)&lt;Simulador!$B$11,Simulador!$B$9*(1-COS(PI()*(($A272-Simulador!$E$6)/Simulador!$G$6)/Simulador!$B$11))/2,IF((($A272-Simulador!$E$6)/Simulador!$G$6)&gt;1-Simulador!$B$11,Simulador!$B$9*(1-COS(PI()*(1-(($A272-Simulador!$E$6)/Simulador!$G$6))/Simulador!$B$11))/2,Simulador!$B$9)))</f>
        <v>0</v>
      </c>
      <c r="D272" s="18">
        <f>IF(OR((($A272-Simulador!$E$7)/Simulador!$G$7)&lt;=0,(($A272-Simulador!$E$7)/Simulador!$G$7)&gt;=1),0,IF((($A272-Simulador!$E$7)/Simulador!$G$7)&lt;Simulador!$B$11,Simulador!$B$9*(1-COS(PI()*(($A272-Simulador!$E$7)/Simulador!$G$7)/Simulador!$B$11))/2,IF((($A272-Simulador!$E$7)/Simulador!$G$7)&gt;1-Simulador!$B$11,Simulador!$B$9*(1-COS(PI()*(1-(($A272-Simulador!$E$7)/Simulador!$G$7))/Simulador!$B$11))/2,Simulador!$B$9)))</f>
        <v>0</v>
      </c>
      <c r="E272" s="18">
        <f>IF(OR((($A272-Simulador!$E$8)/Simulador!$G$8)&lt;=0,(($A272-Simulador!$E$8)/Simulador!$G$8)&gt;=1),0,IF((($A272-Simulador!$E$8)/Simulador!$G$8)&lt;Simulador!$B$11,Simulador!$B$10*(1-COS(PI()*(($A272-Simulador!$E$8)/Simulador!$G$8)/Simulador!$B$11))/2,IF((($A272-Simulador!$E$8)/Simulador!$G$8)&gt;1-Simulador!$B$11,Simulador!$B$10*(1-COS(PI()*(1-(($A272-Simulador!$E$8)/Simulador!$G$8))/Simulador!$B$11))/2,Simulador!$B$10)))</f>
        <v>2.1250000000000004</v>
      </c>
      <c r="F272" s="18">
        <f>IF(OR((($A272-Simulador!$E$9)/Simulador!$G$9)&lt;=0,(($A272-Simulador!$E$9)/Simulador!$G$9)&gt;=1),0,IF((($A272-Simulador!$E$9)/Simulador!$G$9)&lt;Simulador!$B$11,Simulador!$B$10*(1-COS(PI()*(($A272-Simulador!$E$9)/Simulador!$G$9)/Simulador!$B$11))/2,IF((($A272-Simulador!$E$9)/Simulador!$G$9)&gt;1-Simulador!$B$11,Simulador!$B$10*(1-COS(PI()*(1-(($A272-Simulador!$E$9)/Simulador!$G$9))/Simulador!$B$11))/2,Simulador!$B$10)))</f>
        <v>3.9323971022576956</v>
      </c>
      <c r="G272" s="18">
        <f>IF(OR((($A272-Simulador!$E$10)/Simulador!$G$10)&lt;=0,(($A272-Simulador!$E$10)/Simulador!$G$10)&gt;=1),0,IF((($A272-Simulador!$E$10)/Simulador!$G$10)&lt;Simulador!$B$11,Simulador!$B$10*(1-COS(PI()*(($A272-Simulador!$E$10)/Simulador!$G$10)/Simulador!$B$11))/2,IF((($A272-Simulador!$E$10)/Simulador!$G$10)&gt;1-Simulador!$B$11,Simulador!$B$10*(1-COS(PI()*(1-(($A272-Simulador!$E$10)/Simulador!$G$10))/Simulador!$B$11))/2,Simulador!$B$10)))</f>
        <v>5.8026993535571787</v>
      </c>
    </row>
    <row r="273" spans="1:7" x14ac:dyDescent="0.25">
      <c r="A273" s="17">
        <f>A272+Simulador!$B$14</f>
        <v>542</v>
      </c>
      <c r="B273" s="18">
        <f>IF(OR((($A273-Simulador!$E$5)/Simulador!$G$5)&lt;=0,(($A273-Simulador!$E$5)/Simulador!$G$5)&gt;=1),0,IF((($A273-Simulador!$E$5)/Simulador!$G$5)&lt;Simulador!$B$11,Simulador!$B$9*(1-COS(PI()*(($A273-Simulador!$E$5)/Simulador!$G$5)/Simulador!$B$11))/2,IF((($A273-Simulador!$E$5)/Simulador!$G$5)&gt;1-Simulador!$B$11,Simulador!$B$9*(1-COS(PI()*(1-(($A273-Simulador!$E$5)/Simulador!$G$5))/Simulador!$B$11))/2,Simulador!$B$9)))</f>
        <v>0</v>
      </c>
      <c r="C273" s="18">
        <f>IF(OR((($A273-Simulador!$E$6)/Simulador!$G$6)&lt;=0,(($A273-Simulador!$E$6)/Simulador!$G$6)&gt;=1),0,IF((($A273-Simulador!$E$6)/Simulador!$G$6)&lt;Simulador!$B$11,Simulador!$B$9*(1-COS(PI()*(($A273-Simulador!$E$6)/Simulador!$G$6)/Simulador!$B$11))/2,IF((($A273-Simulador!$E$6)/Simulador!$G$6)&gt;1-Simulador!$B$11,Simulador!$B$9*(1-COS(PI()*(1-(($A273-Simulador!$E$6)/Simulador!$G$6))/Simulador!$B$11))/2,Simulador!$B$9)))</f>
        <v>0</v>
      </c>
      <c r="D273" s="18">
        <f>IF(OR((($A273-Simulador!$E$7)/Simulador!$G$7)&lt;=0,(($A273-Simulador!$E$7)/Simulador!$G$7)&gt;=1),0,IF((($A273-Simulador!$E$7)/Simulador!$G$7)&lt;Simulador!$B$11,Simulador!$B$9*(1-COS(PI()*(($A273-Simulador!$E$7)/Simulador!$G$7)/Simulador!$B$11))/2,IF((($A273-Simulador!$E$7)/Simulador!$G$7)&gt;1-Simulador!$B$11,Simulador!$B$9*(1-COS(PI()*(1-(($A273-Simulador!$E$7)/Simulador!$G$7))/Simulador!$B$11))/2,Simulador!$B$9)))</f>
        <v>0</v>
      </c>
      <c r="E273" s="18">
        <f>IF(OR((($A273-Simulador!$E$8)/Simulador!$G$8)&lt;=0,(($A273-Simulador!$E$8)/Simulador!$G$8)&gt;=1),0,IF((($A273-Simulador!$E$8)/Simulador!$G$8)&lt;Simulador!$B$11,Simulador!$B$10*(1-COS(PI()*(($A273-Simulador!$E$8)/Simulador!$G$8)/Simulador!$B$11))/2,IF((($A273-Simulador!$E$8)/Simulador!$G$8)&gt;1-Simulador!$B$11,Simulador!$B$10*(1-COS(PI()*(1-(($A273-Simulador!$E$8)/Simulador!$G$8))/Simulador!$B$11))/2,Simulador!$B$10)))</f>
        <v>1.9086878288285647</v>
      </c>
      <c r="F273" s="18">
        <f>IF(OR((($A273-Simulador!$E$9)/Simulador!$G$9)&lt;=0,(($A273-Simulador!$E$9)/Simulador!$G$9)&gt;=1),0,IF((($A273-Simulador!$E$9)/Simulador!$G$9)&lt;Simulador!$B$11,Simulador!$B$10*(1-COS(PI()*(($A273-Simulador!$E$9)/Simulador!$G$9)/Simulador!$B$11))/2,IF((($A273-Simulador!$E$9)/Simulador!$G$9)&gt;1-Simulador!$B$11,Simulador!$B$10*(1-COS(PI()*(1-(($A273-Simulador!$E$9)/Simulador!$G$9))/Simulador!$B$11))/2,Simulador!$B$10)))</f>
        <v>3.6795086202749623</v>
      </c>
      <c r="G273" s="18">
        <f>IF(OR((($A273-Simulador!$E$10)/Simulador!$G$10)&lt;=0,(($A273-Simulador!$E$10)/Simulador!$G$10)&gt;=1),0,IF((($A273-Simulador!$E$10)/Simulador!$G$10)&lt;Simulador!$B$11,Simulador!$B$10*(1-COS(PI()*(($A273-Simulador!$E$10)/Simulador!$G$10)/Simulador!$B$11))/2,IF((($A273-Simulador!$E$10)/Simulador!$G$10)&gt;1-Simulador!$B$11,Simulador!$B$10*(1-COS(PI()*(1-(($A273-Simulador!$E$10)/Simulador!$G$10))/Simulador!$B$11))/2,Simulador!$B$10)))</f>
        <v>5.5633222260935264</v>
      </c>
    </row>
    <row r="274" spans="1:7" x14ac:dyDescent="0.25">
      <c r="A274" s="17">
        <f>A273+Simulador!$B$14</f>
        <v>544</v>
      </c>
      <c r="B274" s="18">
        <f>IF(OR((($A274-Simulador!$E$5)/Simulador!$G$5)&lt;=0,(($A274-Simulador!$E$5)/Simulador!$G$5)&gt;=1),0,IF((($A274-Simulador!$E$5)/Simulador!$G$5)&lt;Simulador!$B$11,Simulador!$B$9*(1-COS(PI()*(($A274-Simulador!$E$5)/Simulador!$G$5)/Simulador!$B$11))/2,IF((($A274-Simulador!$E$5)/Simulador!$G$5)&gt;1-Simulador!$B$11,Simulador!$B$9*(1-COS(PI()*(1-(($A274-Simulador!$E$5)/Simulador!$G$5))/Simulador!$B$11))/2,Simulador!$B$9)))</f>
        <v>0</v>
      </c>
      <c r="C274" s="18">
        <f>IF(OR((($A274-Simulador!$E$6)/Simulador!$G$6)&lt;=0,(($A274-Simulador!$E$6)/Simulador!$G$6)&gt;=1),0,IF((($A274-Simulador!$E$6)/Simulador!$G$6)&lt;Simulador!$B$11,Simulador!$B$9*(1-COS(PI()*(($A274-Simulador!$E$6)/Simulador!$G$6)/Simulador!$B$11))/2,IF((($A274-Simulador!$E$6)/Simulador!$G$6)&gt;1-Simulador!$B$11,Simulador!$B$9*(1-COS(PI()*(1-(($A274-Simulador!$E$6)/Simulador!$G$6))/Simulador!$B$11))/2,Simulador!$B$9)))</f>
        <v>0</v>
      </c>
      <c r="D274" s="18">
        <f>IF(OR((($A274-Simulador!$E$7)/Simulador!$G$7)&lt;=0,(($A274-Simulador!$E$7)/Simulador!$G$7)&gt;=1),0,IF((($A274-Simulador!$E$7)/Simulador!$G$7)&lt;Simulador!$B$11,Simulador!$B$9*(1-COS(PI()*(($A274-Simulador!$E$7)/Simulador!$G$7)/Simulador!$B$11))/2,IF((($A274-Simulador!$E$7)/Simulador!$G$7)&gt;1-Simulador!$B$11,Simulador!$B$9*(1-COS(PI()*(1-(($A274-Simulador!$E$7)/Simulador!$G$7))/Simulador!$B$11))/2,Simulador!$B$9)))</f>
        <v>0</v>
      </c>
      <c r="E274" s="18">
        <f>IF(OR((($A274-Simulador!$E$8)/Simulador!$G$8)&lt;=0,(($A274-Simulador!$E$8)/Simulador!$G$8)&gt;=1),0,IF((($A274-Simulador!$E$8)/Simulador!$G$8)&lt;Simulador!$B$11,Simulador!$B$10*(1-COS(PI()*(($A274-Simulador!$E$8)/Simulador!$G$8)/Simulador!$B$11))/2,IF((($A274-Simulador!$E$8)/Simulador!$G$8)&gt;1-Simulador!$B$11,Simulador!$B$10*(1-COS(PI()*(1-(($A274-Simulador!$E$8)/Simulador!$G$8))/Simulador!$B$11))/2,Simulador!$B$10)))</f>
        <v>1.7007569475763664</v>
      </c>
      <c r="F274" s="18">
        <f>IF(OR((($A274-Simulador!$E$9)/Simulador!$G$9)&lt;=0,(($A274-Simulador!$E$9)/Simulador!$G$9)&gt;=1),0,IF((($A274-Simulador!$E$9)/Simulador!$G$9)&lt;Simulador!$B$11,Simulador!$B$10*(1-COS(PI()*(($A274-Simulador!$E$9)/Simulador!$G$9)/Simulador!$B$11))/2,IF((($A274-Simulador!$E$9)/Simulador!$G$9)&gt;1-Simulador!$B$11,Simulador!$B$10*(1-COS(PI()*(1-(($A274-Simulador!$E$9)/Simulador!$G$9))/Simulador!$B$11))/2,Simulador!$B$10)))</f>
        <v>3.4286623493688992</v>
      </c>
      <c r="G274" s="18">
        <f>IF(OR((($A274-Simulador!$E$10)/Simulador!$G$10)&lt;=0,(($A274-Simulador!$E$10)/Simulador!$G$10)&gt;=1),0,IF((($A274-Simulador!$E$10)/Simulador!$G$10)&lt;Simulador!$B$11,Simulador!$B$10*(1-COS(PI()*(($A274-Simulador!$E$10)/Simulador!$G$10)/Simulador!$B$11))/2,IF((($A274-Simulador!$E$10)/Simulador!$G$10)&gt;1-Simulador!$B$11,Simulador!$B$10*(1-COS(PI()*(1-(($A274-Simulador!$E$10)/Simulador!$G$10))/Simulador!$B$11))/2,Simulador!$B$10)))</f>
        <v>5.3192437459141599</v>
      </c>
    </row>
    <row r="275" spans="1:7" x14ac:dyDescent="0.25">
      <c r="A275" s="17">
        <f>A274+Simulador!$B$14</f>
        <v>546</v>
      </c>
      <c r="B275" s="18">
        <f>IF(OR((($A275-Simulador!$E$5)/Simulador!$G$5)&lt;=0,(($A275-Simulador!$E$5)/Simulador!$G$5)&gt;=1),0,IF((($A275-Simulador!$E$5)/Simulador!$G$5)&lt;Simulador!$B$11,Simulador!$B$9*(1-COS(PI()*(($A275-Simulador!$E$5)/Simulador!$G$5)/Simulador!$B$11))/2,IF((($A275-Simulador!$E$5)/Simulador!$G$5)&gt;1-Simulador!$B$11,Simulador!$B$9*(1-COS(PI()*(1-(($A275-Simulador!$E$5)/Simulador!$G$5))/Simulador!$B$11))/2,Simulador!$B$9)))</f>
        <v>0</v>
      </c>
      <c r="C275" s="18">
        <f>IF(OR((($A275-Simulador!$E$6)/Simulador!$G$6)&lt;=0,(($A275-Simulador!$E$6)/Simulador!$G$6)&gt;=1),0,IF((($A275-Simulador!$E$6)/Simulador!$G$6)&lt;Simulador!$B$11,Simulador!$B$9*(1-COS(PI()*(($A275-Simulador!$E$6)/Simulador!$G$6)/Simulador!$B$11))/2,IF((($A275-Simulador!$E$6)/Simulador!$G$6)&gt;1-Simulador!$B$11,Simulador!$B$9*(1-COS(PI()*(1-(($A275-Simulador!$E$6)/Simulador!$G$6))/Simulador!$B$11))/2,Simulador!$B$9)))</f>
        <v>0</v>
      </c>
      <c r="D275" s="18">
        <f>IF(OR((($A275-Simulador!$E$7)/Simulador!$G$7)&lt;=0,(($A275-Simulador!$E$7)/Simulador!$G$7)&gt;=1),0,IF((($A275-Simulador!$E$7)/Simulador!$G$7)&lt;Simulador!$B$11,Simulador!$B$9*(1-COS(PI()*(($A275-Simulador!$E$7)/Simulador!$G$7)/Simulador!$B$11))/2,IF((($A275-Simulador!$E$7)/Simulador!$G$7)&gt;1-Simulador!$B$11,Simulador!$B$9*(1-COS(PI()*(1-(($A275-Simulador!$E$7)/Simulador!$G$7))/Simulador!$B$11))/2,Simulador!$B$9)))</f>
        <v>0</v>
      </c>
      <c r="E275" s="18">
        <f>IF(OR((($A275-Simulador!$E$8)/Simulador!$G$8)&lt;=0,(($A275-Simulador!$E$8)/Simulador!$G$8)&gt;=1),0,IF((($A275-Simulador!$E$8)/Simulador!$G$8)&lt;Simulador!$B$11,Simulador!$B$10*(1-COS(PI()*(($A275-Simulador!$E$8)/Simulador!$G$8)/Simulador!$B$11))/2,IF((($A275-Simulador!$E$8)/Simulador!$G$8)&gt;1-Simulador!$B$11,Simulador!$B$10*(1-COS(PI()*(1-(($A275-Simulador!$E$8)/Simulador!$G$8))/Simulador!$B$11))/2,Simulador!$B$10)))</f>
        <v>1.5019516948328515</v>
      </c>
      <c r="F275" s="18">
        <f>IF(OR((($A275-Simulador!$E$9)/Simulador!$G$9)&lt;=0,(($A275-Simulador!$E$9)/Simulador!$G$9)&gt;=1),0,IF((($A275-Simulador!$E$9)/Simulador!$G$9)&lt;Simulador!$B$11,Simulador!$B$10*(1-COS(PI()*(($A275-Simulador!$E$9)/Simulador!$G$9)/Simulador!$B$11))/2,IF((($A275-Simulador!$E$9)/Simulador!$G$9)&gt;1-Simulador!$B$11,Simulador!$B$10*(1-COS(PI()*(1-(($A275-Simulador!$E$9)/Simulador!$G$9))/Simulador!$B$11))/2,Simulador!$B$10)))</f>
        <v>3.1807562540858401</v>
      </c>
      <c r="G275" s="18">
        <f>IF(OR((($A275-Simulador!$E$10)/Simulador!$G$10)&lt;=0,(($A275-Simulador!$E$10)/Simulador!$G$10)&gt;=1),0,IF((($A275-Simulador!$E$10)/Simulador!$G$10)&lt;Simulador!$B$11,Simulador!$B$10*(1-COS(PI()*(($A275-Simulador!$E$10)/Simulador!$G$10)/Simulador!$B$11))/2,IF((($A275-Simulador!$E$10)/Simulador!$G$10)&gt;1-Simulador!$B$11,Simulador!$B$10*(1-COS(PI()*(1-(($A275-Simulador!$E$10)/Simulador!$G$10))/Simulador!$B$11))/2,Simulador!$B$10)))</f>
        <v>5.0713376506311008</v>
      </c>
    </row>
    <row r="276" spans="1:7" x14ac:dyDescent="0.25">
      <c r="A276" s="17">
        <f>A275+Simulador!$B$14</f>
        <v>548</v>
      </c>
      <c r="B276" s="18">
        <f>IF(OR((($A276-Simulador!$E$5)/Simulador!$G$5)&lt;=0,(($A276-Simulador!$E$5)/Simulador!$G$5)&gt;=1),0,IF((($A276-Simulador!$E$5)/Simulador!$G$5)&lt;Simulador!$B$11,Simulador!$B$9*(1-COS(PI()*(($A276-Simulador!$E$5)/Simulador!$G$5)/Simulador!$B$11))/2,IF((($A276-Simulador!$E$5)/Simulador!$G$5)&gt;1-Simulador!$B$11,Simulador!$B$9*(1-COS(PI()*(1-(($A276-Simulador!$E$5)/Simulador!$G$5))/Simulador!$B$11))/2,Simulador!$B$9)))</f>
        <v>0</v>
      </c>
      <c r="C276" s="18">
        <f>IF(OR((($A276-Simulador!$E$6)/Simulador!$G$6)&lt;=0,(($A276-Simulador!$E$6)/Simulador!$G$6)&gt;=1),0,IF((($A276-Simulador!$E$6)/Simulador!$G$6)&lt;Simulador!$B$11,Simulador!$B$9*(1-COS(PI()*(($A276-Simulador!$E$6)/Simulador!$G$6)/Simulador!$B$11))/2,IF((($A276-Simulador!$E$6)/Simulador!$G$6)&gt;1-Simulador!$B$11,Simulador!$B$9*(1-COS(PI()*(1-(($A276-Simulador!$E$6)/Simulador!$G$6))/Simulador!$B$11))/2,Simulador!$B$9)))</f>
        <v>0</v>
      </c>
      <c r="D276" s="18">
        <f>IF(OR((($A276-Simulador!$E$7)/Simulador!$G$7)&lt;=0,(($A276-Simulador!$E$7)/Simulador!$G$7)&gt;=1),0,IF((($A276-Simulador!$E$7)/Simulador!$G$7)&lt;Simulador!$B$11,Simulador!$B$9*(1-COS(PI()*(($A276-Simulador!$E$7)/Simulador!$G$7)/Simulador!$B$11))/2,IF((($A276-Simulador!$E$7)/Simulador!$G$7)&gt;1-Simulador!$B$11,Simulador!$B$9*(1-COS(PI()*(1-(($A276-Simulador!$E$7)/Simulador!$G$7))/Simulador!$B$11))/2,Simulador!$B$9)))</f>
        <v>0</v>
      </c>
      <c r="E276" s="18">
        <f>IF(OR((($A276-Simulador!$E$8)/Simulador!$G$8)&lt;=0,(($A276-Simulador!$E$8)/Simulador!$G$8)&gt;=1),0,IF((($A276-Simulador!$E$8)/Simulador!$G$8)&lt;Simulador!$B$11,Simulador!$B$10*(1-COS(PI()*(($A276-Simulador!$E$8)/Simulador!$G$8)/Simulador!$B$11))/2,IF((($A276-Simulador!$E$8)/Simulador!$G$8)&gt;1-Simulador!$B$11,Simulador!$B$10*(1-COS(PI()*(1-(($A276-Simulador!$E$8)/Simulador!$G$8))/Simulador!$B$11))/2,Simulador!$B$10)))</f>
        <v>1.3129837418058248</v>
      </c>
      <c r="F276" s="18">
        <f>IF(OR((($A276-Simulador!$E$9)/Simulador!$G$9)&lt;=0,(($A276-Simulador!$E$9)/Simulador!$G$9)&gt;=1),0,IF((($A276-Simulador!$E$9)/Simulador!$G$9)&lt;Simulador!$B$11,Simulador!$B$10*(1-COS(PI()*(($A276-Simulador!$E$9)/Simulador!$G$9)/Simulador!$B$11))/2,IF((($A276-Simulador!$E$9)/Simulador!$G$9)&gt;1-Simulador!$B$11,Simulador!$B$10*(1-COS(PI()*(1-(($A276-Simulador!$E$9)/Simulador!$G$9))/Simulador!$B$11))/2,Simulador!$B$10)))</f>
        <v>2.9366777739064753</v>
      </c>
      <c r="G276" s="18">
        <f>IF(OR((($A276-Simulador!$E$10)/Simulador!$G$10)&lt;=0,(($A276-Simulador!$E$10)/Simulador!$G$10)&gt;=1),0,IF((($A276-Simulador!$E$10)/Simulador!$G$10)&lt;Simulador!$B$11,Simulador!$B$10*(1-COS(PI()*(($A276-Simulador!$E$10)/Simulador!$G$10)/Simulador!$B$11))/2,IF((($A276-Simulador!$E$10)/Simulador!$G$10)&gt;1-Simulador!$B$11,Simulador!$B$10*(1-COS(PI()*(1-(($A276-Simulador!$E$10)/Simulador!$G$10))/Simulador!$B$11))/2,Simulador!$B$10)))</f>
        <v>4.8204913797250359</v>
      </c>
    </row>
    <row r="277" spans="1:7" x14ac:dyDescent="0.25">
      <c r="A277" s="17">
        <f>A276+Simulador!$B$14</f>
        <v>550</v>
      </c>
      <c r="B277" s="18">
        <f>IF(OR((($A277-Simulador!$E$5)/Simulador!$G$5)&lt;=0,(($A277-Simulador!$E$5)/Simulador!$G$5)&gt;=1),0,IF((($A277-Simulador!$E$5)/Simulador!$G$5)&lt;Simulador!$B$11,Simulador!$B$9*(1-COS(PI()*(($A277-Simulador!$E$5)/Simulador!$G$5)/Simulador!$B$11))/2,IF((($A277-Simulador!$E$5)/Simulador!$G$5)&gt;1-Simulador!$B$11,Simulador!$B$9*(1-COS(PI()*(1-(($A277-Simulador!$E$5)/Simulador!$G$5))/Simulador!$B$11))/2,Simulador!$B$9)))</f>
        <v>0</v>
      </c>
      <c r="C277" s="18">
        <f>IF(OR((($A277-Simulador!$E$6)/Simulador!$G$6)&lt;=0,(($A277-Simulador!$E$6)/Simulador!$G$6)&gt;=1),0,IF((($A277-Simulador!$E$6)/Simulador!$G$6)&lt;Simulador!$B$11,Simulador!$B$9*(1-COS(PI()*(($A277-Simulador!$E$6)/Simulador!$G$6)/Simulador!$B$11))/2,IF((($A277-Simulador!$E$6)/Simulador!$G$6)&gt;1-Simulador!$B$11,Simulador!$B$9*(1-COS(PI()*(1-(($A277-Simulador!$E$6)/Simulador!$G$6))/Simulador!$B$11))/2,Simulador!$B$9)))</f>
        <v>0</v>
      </c>
      <c r="D277" s="18">
        <f>IF(OR((($A277-Simulador!$E$7)/Simulador!$G$7)&lt;=0,(($A277-Simulador!$E$7)/Simulador!$G$7)&gt;=1),0,IF((($A277-Simulador!$E$7)/Simulador!$G$7)&lt;Simulador!$B$11,Simulador!$B$9*(1-COS(PI()*(($A277-Simulador!$E$7)/Simulador!$G$7)/Simulador!$B$11))/2,IF((($A277-Simulador!$E$7)/Simulador!$G$7)&gt;1-Simulador!$B$11,Simulador!$B$9*(1-COS(PI()*(1-(($A277-Simulador!$E$7)/Simulador!$G$7))/Simulador!$B$11))/2,Simulador!$B$9)))</f>
        <v>0</v>
      </c>
      <c r="E277" s="18">
        <f>IF(OR((($A277-Simulador!$E$8)/Simulador!$G$8)&lt;=0,(($A277-Simulador!$E$8)/Simulador!$G$8)&gt;=1),0,IF((($A277-Simulador!$E$8)/Simulador!$G$8)&lt;Simulador!$B$11,Simulador!$B$10*(1-COS(PI()*(($A277-Simulador!$E$8)/Simulador!$G$8)/Simulador!$B$11))/2,IF((($A277-Simulador!$E$8)/Simulador!$G$8)&gt;1-Simulador!$B$11,Simulador!$B$10*(1-COS(PI()*(1-(($A277-Simulador!$E$8)/Simulador!$G$8))/Simulador!$B$11))/2,Simulador!$B$10)))</f>
        <v>1.1345295447232375</v>
      </c>
      <c r="F277" s="18">
        <f>IF(OR((($A277-Simulador!$E$9)/Simulador!$G$9)&lt;=0,(($A277-Simulador!$E$9)/Simulador!$G$9)&gt;=1),0,IF((($A277-Simulador!$E$9)/Simulador!$G$9)&lt;Simulador!$B$11,Simulador!$B$10*(1-COS(PI()*(($A277-Simulador!$E$9)/Simulador!$G$9)/Simulador!$B$11))/2,IF((($A277-Simulador!$E$9)/Simulador!$G$9)&gt;1-Simulador!$B$11,Simulador!$B$10*(1-COS(PI()*(1-(($A277-Simulador!$E$9)/Simulador!$G$9))/Simulador!$B$11))/2,Simulador!$B$10)))</f>
        <v>2.6973006464428213</v>
      </c>
      <c r="G277" s="18">
        <f>IF(OR((($A277-Simulador!$E$10)/Simulador!$G$10)&lt;=0,(($A277-Simulador!$E$10)/Simulador!$G$10)&gt;=1),0,IF((($A277-Simulador!$E$10)/Simulador!$G$10)&lt;Simulador!$B$11,Simulador!$B$10*(1-COS(PI()*(($A277-Simulador!$E$10)/Simulador!$G$10)/Simulador!$B$11))/2,IF((($A277-Simulador!$E$10)/Simulador!$G$10)&gt;1-Simulador!$B$11,Simulador!$B$10*(1-COS(PI()*(1-(($A277-Simulador!$E$10)/Simulador!$G$10))/Simulador!$B$11))/2,Simulador!$B$10)))</f>
        <v>4.5676028977423027</v>
      </c>
    </row>
    <row r="278" spans="1:7" x14ac:dyDescent="0.25">
      <c r="A278" s="17">
        <f>A277+Simulador!$B$14</f>
        <v>552</v>
      </c>
      <c r="B278" s="18">
        <f>IF(OR((($A278-Simulador!$E$5)/Simulador!$G$5)&lt;=0,(($A278-Simulador!$E$5)/Simulador!$G$5)&gt;=1),0,IF((($A278-Simulador!$E$5)/Simulador!$G$5)&lt;Simulador!$B$11,Simulador!$B$9*(1-COS(PI()*(($A278-Simulador!$E$5)/Simulador!$G$5)/Simulador!$B$11))/2,IF((($A278-Simulador!$E$5)/Simulador!$G$5)&gt;1-Simulador!$B$11,Simulador!$B$9*(1-COS(PI()*(1-(($A278-Simulador!$E$5)/Simulador!$G$5))/Simulador!$B$11))/2,Simulador!$B$9)))</f>
        <v>0</v>
      </c>
      <c r="C278" s="18">
        <f>IF(OR((($A278-Simulador!$E$6)/Simulador!$G$6)&lt;=0,(($A278-Simulador!$E$6)/Simulador!$G$6)&gt;=1),0,IF((($A278-Simulador!$E$6)/Simulador!$G$6)&lt;Simulador!$B$11,Simulador!$B$9*(1-COS(PI()*(($A278-Simulador!$E$6)/Simulador!$G$6)/Simulador!$B$11))/2,IF((($A278-Simulador!$E$6)/Simulador!$G$6)&gt;1-Simulador!$B$11,Simulador!$B$9*(1-COS(PI()*(1-(($A278-Simulador!$E$6)/Simulador!$G$6))/Simulador!$B$11))/2,Simulador!$B$9)))</f>
        <v>0</v>
      </c>
      <c r="D278" s="18">
        <f>IF(OR((($A278-Simulador!$E$7)/Simulador!$G$7)&lt;=0,(($A278-Simulador!$E$7)/Simulador!$G$7)&gt;=1),0,IF((($A278-Simulador!$E$7)/Simulador!$G$7)&lt;Simulador!$B$11,Simulador!$B$9*(1-COS(PI()*(($A278-Simulador!$E$7)/Simulador!$G$7)/Simulador!$B$11))/2,IF((($A278-Simulador!$E$7)/Simulador!$G$7)&gt;1-Simulador!$B$11,Simulador!$B$9*(1-COS(PI()*(1-(($A278-Simulador!$E$7)/Simulador!$G$7))/Simulador!$B$11))/2,Simulador!$B$9)))</f>
        <v>0</v>
      </c>
      <c r="E278" s="18">
        <f>IF(OR((($A278-Simulador!$E$8)/Simulador!$G$8)&lt;=0,(($A278-Simulador!$E$8)/Simulador!$G$8)&gt;=1),0,IF((($A278-Simulador!$E$8)/Simulador!$G$8)&lt;Simulador!$B$11,Simulador!$B$10*(1-COS(PI()*(($A278-Simulador!$E$8)/Simulador!$G$8)/Simulador!$B$11))/2,IF((($A278-Simulador!$E$8)/Simulador!$G$8)&gt;1-Simulador!$B$11,Simulador!$B$10*(1-COS(PI()*(1-(($A278-Simulador!$E$8)/Simulador!$G$8))/Simulador!$B$11))/2,Simulador!$B$10)))</f>
        <v>0.9672279232954516</v>
      </c>
      <c r="F278" s="18">
        <f>IF(OR((($A278-Simulador!$E$9)/Simulador!$G$9)&lt;=0,(($A278-Simulador!$E$9)/Simulador!$G$9)&gt;=1),0,IF((($A278-Simulador!$E$9)/Simulador!$G$9)&lt;Simulador!$B$11,Simulador!$B$10*(1-COS(PI()*(($A278-Simulador!$E$9)/Simulador!$G$9)/Simulador!$B$11))/2,IF((($A278-Simulador!$E$9)/Simulador!$G$9)&gt;1-Simulador!$B$11,Simulador!$B$10*(1-COS(PI()*(1-(($A278-Simulador!$E$9)/Simulador!$G$9))/Simulador!$B$11))/2,Simulador!$B$10)))</f>
        <v>2.4634817796843471</v>
      </c>
      <c r="G278" s="18">
        <f>IF(OR((($A278-Simulador!$E$10)/Simulador!$G$10)&lt;=0,(($A278-Simulador!$E$10)/Simulador!$G$10)&gt;=1),0,IF((($A278-Simulador!$E$10)/Simulador!$G$10)&lt;Simulador!$B$11,Simulador!$B$10*(1-COS(PI()*(($A278-Simulador!$E$10)/Simulador!$G$10)/Simulador!$B$11))/2,IF((($A278-Simulador!$E$10)/Simulador!$G$10)&gt;1-Simulador!$B$11,Simulador!$B$10*(1-COS(PI()*(1-(($A278-Simulador!$E$10)/Simulador!$G$10))/Simulador!$B$11))/2,Simulador!$B$10)))</f>
        <v>4.3135774798148683</v>
      </c>
    </row>
    <row r="279" spans="1:7" x14ac:dyDescent="0.25">
      <c r="A279" s="17">
        <f>A278+Simulador!$B$14</f>
        <v>554</v>
      </c>
      <c r="B279" s="18">
        <f>IF(OR((($A279-Simulador!$E$5)/Simulador!$G$5)&lt;=0,(($A279-Simulador!$E$5)/Simulador!$G$5)&gt;=1),0,IF((($A279-Simulador!$E$5)/Simulador!$G$5)&lt;Simulador!$B$11,Simulador!$B$9*(1-COS(PI()*(($A279-Simulador!$E$5)/Simulador!$G$5)/Simulador!$B$11))/2,IF((($A279-Simulador!$E$5)/Simulador!$G$5)&gt;1-Simulador!$B$11,Simulador!$B$9*(1-COS(PI()*(1-(($A279-Simulador!$E$5)/Simulador!$G$5))/Simulador!$B$11))/2,Simulador!$B$9)))</f>
        <v>0</v>
      </c>
      <c r="C279" s="18">
        <f>IF(OR((($A279-Simulador!$E$6)/Simulador!$G$6)&lt;=0,(($A279-Simulador!$E$6)/Simulador!$G$6)&gt;=1),0,IF((($A279-Simulador!$E$6)/Simulador!$G$6)&lt;Simulador!$B$11,Simulador!$B$9*(1-COS(PI()*(($A279-Simulador!$E$6)/Simulador!$G$6)/Simulador!$B$11))/2,IF((($A279-Simulador!$E$6)/Simulador!$G$6)&gt;1-Simulador!$B$11,Simulador!$B$9*(1-COS(PI()*(1-(($A279-Simulador!$E$6)/Simulador!$G$6))/Simulador!$B$11))/2,Simulador!$B$9)))</f>
        <v>0</v>
      </c>
      <c r="D279" s="18">
        <f>IF(OR((($A279-Simulador!$E$7)/Simulador!$G$7)&lt;=0,(($A279-Simulador!$E$7)/Simulador!$G$7)&gt;=1),0,IF((($A279-Simulador!$E$7)/Simulador!$G$7)&lt;Simulador!$B$11,Simulador!$B$9*(1-COS(PI()*(($A279-Simulador!$E$7)/Simulador!$G$7)/Simulador!$B$11))/2,IF((($A279-Simulador!$E$7)/Simulador!$G$7)&gt;1-Simulador!$B$11,Simulador!$B$9*(1-COS(PI()*(1-(($A279-Simulador!$E$7)/Simulador!$G$7))/Simulador!$B$11))/2,Simulador!$B$9)))</f>
        <v>0</v>
      </c>
      <c r="E279" s="18">
        <f>IF(OR((($A279-Simulador!$E$8)/Simulador!$G$8)&lt;=0,(($A279-Simulador!$E$8)/Simulador!$G$8)&gt;=1),0,IF((($A279-Simulador!$E$8)/Simulador!$G$8)&lt;Simulador!$B$11,Simulador!$B$10*(1-COS(PI()*(($A279-Simulador!$E$8)/Simulador!$G$8)/Simulador!$B$11))/2,IF((($A279-Simulador!$E$8)/Simulador!$G$8)&gt;1-Simulador!$B$11,Simulador!$B$10*(1-COS(PI()*(1-(($A279-Simulador!$E$8)/Simulador!$G$8))/Simulador!$B$11))/2,Simulador!$B$10)))</f>
        <v>0.81167777390647289</v>
      </c>
      <c r="F279" s="18">
        <f>IF(OR((($A279-Simulador!$E$9)/Simulador!$G$9)&lt;=0,(($A279-Simulador!$E$9)/Simulador!$G$9)&gt;=1),0,IF((($A279-Simulador!$E$9)/Simulador!$G$9)&lt;Simulador!$B$11,Simulador!$B$10*(1-COS(PI()*(($A279-Simulador!$E$9)/Simulador!$G$9)/Simulador!$B$11))/2,IF((($A279-Simulador!$E$9)/Simulador!$G$9)&gt;1-Simulador!$B$11,Simulador!$B$10*(1-COS(PI()*(1-(($A279-Simulador!$E$9)/Simulador!$G$9))/Simulador!$B$11))/2,Simulador!$B$10)))</f>
        <v>2.2360581844897562</v>
      </c>
      <c r="G279" s="18">
        <f>IF(OR((($A279-Simulador!$E$10)/Simulador!$G$10)&lt;=0,(($A279-Simulador!$E$10)/Simulador!$G$10)&gt;=1),0,IF((($A279-Simulador!$E$10)/Simulador!$G$10)&lt;Simulador!$B$11,Simulador!$B$10*(1-COS(PI()*(($A279-Simulador!$E$10)/Simulador!$G$10)/Simulador!$B$11))/2,IF((($A279-Simulador!$E$10)/Simulador!$G$10)&gt;1-Simulador!$B$11,Simulador!$B$10*(1-COS(PI()*(1-(($A279-Simulador!$E$10)/Simulador!$G$10))/Simulador!$B$11))/2,Simulador!$B$10)))</f>
        <v>4.05932447101031</v>
      </c>
    </row>
    <row r="280" spans="1:7" x14ac:dyDescent="0.25">
      <c r="A280" s="17">
        <f>A279+Simulador!$B$14</f>
        <v>556</v>
      </c>
      <c r="B280" s="18">
        <f>IF(OR((($A280-Simulador!$E$5)/Simulador!$G$5)&lt;=0,(($A280-Simulador!$E$5)/Simulador!$G$5)&gt;=1),0,IF((($A280-Simulador!$E$5)/Simulador!$G$5)&lt;Simulador!$B$11,Simulador!$B$9*(1-COS(PI()*(($A280-Simulador!$E$5)/Simulador!$G$5)/Simulador!$B$11))/2,IF((($A280-Simulador!$E$5)/Simulador!$G$5)&gt;1-Simulador!$B$11,Simulador!$B$9*(1-COS(PI()*(1-(($A280-Simulador!$E$5)/Simulador!$G$5))/Simulador!$B$11))/2,Simulador!$B$9)))</f>
        <v>0</v>
      </c>
      <c r="C280" s="18">
        <f>IF(OR((($A280-Simulador!$E$6)/Simulador!$G$6)&lt;=0,(($A280-Simulador!$E$6)/Simulador!$G$6)&gt;=1),0,IF((($A280-Simulador!$E$6)/Simulador!$G$6)&lt;Simulador!$B$11,Simulador!$B$9*(1-COS(PI()*(($A280-Simulador!$E$6)/Simulador!$G$6)/Simulador!$B$11))/2,IF((($A280-Simulador!$E$6)/Simulador!$G$6)&gt;1-Simulador!$B$11,Simulador!$B$9*(1-COS(PI()*(1-(($A280-Simulador!$E$6)/Simulador!$G$6))/Simulador!$B$11))/2,Simulador!$B$9)))</f>
        <v>0</v>
      </c>
      <c r="D280" s="18">
        <f>IF(OR((($A280-Simulador!$E$7)/Simulador!$G$7)&lt;=0,(($A280-Simulador!$E$7)/Simulador!$G$7)&gt;=1),0,IF((($A280-Simulador!$E$7)/Simulador!$G$7)&lt;Simulador!$B$11,Simulador!$B$9*(1-COS(PI()*(($A280-Simulador!$E$7)/Simulador!$G$7)/Simulador!$B$11))/2,IF((($A280-Simulador!$E$7)/Simulador!$G$7)&gt;1-Simulador!$B$11,Simulador!$B$9*(1-COS(PI()*(1-(($A280-Simulador!$E$7)/Simulador!$G$7))/Simulador!$B$11))/2,Simulador!$B$9)))</f>
        <v>0</v>
      </c>
      <c r="E280" s="18">
        <f>IF(OR((($A280-Simulador!$E$8)/Simulador!$G$8)&lt;=0,(($A280-Simulador!$E$8)/Simulador!$G$8)&gt;=1),0,IF((($A280-Simulador!$E$8)/Simulador!$G$8)&lt;Simulador!$B$11,Simulador!$B$10*(1-COS(PI()*(($A280-Simulador!$E$8)/Simulador!$G$8)/Simulador!$B$11))/2,IF((($A280-Simulador!$E$8)/Simulador!$G$8)&gt;1-Simulador!$B$11,Simulador!$B$10*(1-COS(PI()*(1-(($A280-Simulador!$E$8)/Simulador!$G$8))/Simulador!$B$11))/2,Simulador!$B$10)))</f>
        <v>0.66843592572033306</v>
      </c>
      <c r="F280" s="18">
        <f>IF(OR((($A280-Simulador!$E$9)/Simulador!$G$9)&lt;=0,(($A280-Simulador!$E$9)/Simulador!$G$9)&gt;=1),0,IF((($A280-Simulador!$E$9)/Simulador!$G$9)&lt;Simulador!$B$11,Simulador!$B$10*(1-COS(PI()*(($A280-Simulador!$E$9)/Simulador!$G$9)/Simulador!$B$11))/2,IF((($A280-Simulador!$E$9)/Simulador!$G$9)&gt;1-Simulador!$B$11,Simulador!$B$10*(1-COS(PI()*(1-(($A280-Simulador!$E$9)/Simulador!$G$9))/Simulador!$B$11))/2,Simulador!$B$10)))</f>
        <v>2.0158439783053552</v>
      </c>
      <c r="G280" s="18">
        <f>IF(OR((($A280-Simulador!$E$10)/Simulador!$G$10)&lt;=0,(($A280-Simulador!$E$10)/Simulador!$G$10)&gt;=1),0,IF((($A280-Simulador!$E$10)/Simulador!$G$10)&lt;Simulador!$B$11,Simulador!$B$10*(1-COS(PI()*(($A280-Simulador!$E$10)/Simulador!$G$10)/Simulador!$B$11))/2,IF((($A280-Simulador!$E$10)/Simulador!$G$10)&gt;1-Simulador!$B$11,Simulador!$B$10*(1-COS(PI()*(1-(($A280-Simulador!$E$10)/Simulador!$G$10))/Simulador!$B$11))/2,Simulador!$B$10)))</f>
        <v>3.805754031112472</v>
      </c>
    </row>
    <row r="281" spans="1:7" x14ac:dyDescent="0.25">
      <c r="A281" s="17">
        <f>A280+Simulador!$B$14</f>
        <v>558</v>
      </c>
      <c r="B281" s="18">
        <f>IF(OR((($A281-Simulador!$E$5)/Simulador!$G$5)&lt;=0,(($A281-Simulador!$E$5)/Simulador!$G$5)&gt;=1),0,IF((($A281-Simulador!$E$5)/Simulador!$G$5)&lt;Simulador!$B$11,Simulador!$B$9*(1-COS(PI()*(($A281-Simulador!$E$5)/Simulador!$G$5)/Simulador!$B$11))/2,IF((($A281-Simulador!$E$5)/Simulador!$G$5)&gt;1-Simulador!$B$11,Simulador!$B$9*(1-COS(PI()*(1-(($A281-Simulador!$E$5)/Simulador!$G$5))/Simulador!$B$11))/2,Simulador!$B$9)))</f>
        <v>0</v>
      </c>
      <c r="C281" s="18">
        <f>IF(OR((($A281-Simulador!$E$6)/Simulador!$G$6)&lt;=0,(($A281-Simulador!$E$6)/Simulador!$G$6)&gt;=1),0,IF((($A281-Simulador!$E$6)/Simulador!$G$6)&lt;Simulador!$B$11,Simulador!$B$9*(1-COS(PI()*(($A281-Simulador!$E$6)/Simulador!$G$6)/Simulador!$B$11))/2,IF((($A281-Simulador!$E$6)/Simulador!$G$6)&gt;1-Simulador!$B$11,Simulador!$B$9*(1-COS(PI()*(1-(($A281-Simulador!$E$6)/Simulador!$G$6))/Simulador!$B$11))/2,Simulador!$B$9)))</f>
        <v>0</v>
      </c>
      <c r="D281" s="18">
        <f>IF(OR((($A281-Simulador!$E$7)/Simulador!$G$7)&lt;=0,(($A281-Simulador!$E$7)/Simulador!$G$7)&gt;=1),0,IF((($A281-Simulador!$E$7)/Simulador!$G$7)&lt;Simulador!$B$11,Simulador!$B$9*(1-COS(PI()*(($A281-Simulador!$E$7)/Simulador!$G$7)/Simulador!$B$11))/2,IF((($A281-Simulador!$E$7)/Simulador!$G$7)&gt;1-Simulador!$B$11,Simulador!$B$9*(1-COS(PI()*(1-(($A281-Simulador!$E$7)/Simulador!$G$7))/Simulador!$B$11))/2,Simulador!$B$9)))</f>
        <v>0</v>
      </c>
      <c r="E281" s="18">
        <f>IF(OR((($A281-Simulador!$E$8)/Simulador!$G$8)&lt;=0,(($A281-Simulador!$E$8)/Simulador!$G$8)&gt;=1),0,IF((($A281-Simulador!$E$8)/Simulador!$G$8)&lt;Simulador!$B$11,Simulador!$B$10*(1-COS(PI()*(($A281-Simulador!$E$8)/Simulador!$G$8)/Simulador!$B$11))/2,IF((($A281-Simulador!$E$8)/Simulador!$G$8)&gt;1-Simulador!$B$11,Simulador!$B$10*(1-COS(PI()*(1-(($A281-Simulador!$E$8)/Simulador!$G$8))/Simulador!$B$11))/2,Simulador!$B$10)))</f>
        <v>0.53801514737719758</v>
      </c>
      <c r="F281" s="18">
        <f>IF(OR((($A281-Simulador!$E$9)/Simulador!$G$9)&lt;=0,(($A281-Simulador!$E$9)/Simulador!$G$9)&gt;=1),0,IF((($A281-Simulador!$E$9)/Simulador!$G$9)&lt;Simulador!$B$11,Simulador!$B$10*(1-COS(PI()*(($A281-Simulador!$E$9)/Simulador!$G$9)/Simulador!$B$11))/2,IF((($A281-Simulador!$E$9)/Simulador!$G$9)&gt;1-Simulador!$B$11,Simulador!$B$10*(1-COS(PI()*(1-(($A281-Simulador!$E$9)/Simulador!$G$9))/Simulador!$B$11))/2,Simulador!$B$10)))</f>
        <v>1.8036274708358877</v>
      </c>
      <c r="G281" s="18">
        <f>IF(OR((($A281-Simulador!$E$10)/Simulador!$G$10)&lt;=0,(($A281-Simulador!$E$10)/Simulador!$G$10)&gt;=1),0,IF((($A281-Simulador!$E$10)/Simulador!$G$10)&lt;Simulador!$B$11,Simulador!$B$10*(1-COS(PI()*(($A281-Simulador!$E$10)/Simulador!$G$10)/Simulador!$B$11))/2,IF((($A281-Simulador!$E$10)/Simulador!$G$10)&gt;1-Simulador!$B$11,Simulador!$B$10*(1-COS(PI()*(1-(($A281-Simulador!$E$10)/Simulador!$G$10))/Simulador!$B$11))/2,Simulador!$B$10)))</f>
        <v>3.5537738764856623</v>
      </c>
    </row>
    <row r="282" spans="1:7" x14ac:dyDescent="0.25">
      <c r="A282" s="17">
        <f>A281+Simulador!$B$14</f>
        <v>560</v>
      </c>
      <c r="B282" s="18">
        <f>IF(OR((($A282-Simulador!$E$5)/Simulador!$G$5)&lt;=0,(($A282-Simulador!$E$5)/Simulador!$G$5)&gt;=1),0,IF((($A282-Simulador!$E$5)/Simulador!$G$5)&lt;Simulador!$B$11,Simulador!$B$9*(1-COS(PI()*(($A282-Simulador!$E$5)/Simulador!$G$5)/Simulador!$B$11))/2,IF((($A282-Simulador!$E$5)/Simulador!$G$5)&gt;1-Simulador!$B$11,Simulador!$B$9*(1-COS(PI()*(1-(($A282-Simulador!$E$5)/Simulador!$G$5))/Simulador!$B$11))/2,Simulador!$B$9)))</f>
        <v>0</v>
      </c>
      <c r="C282" s="18">
        <f>IF(OR((($A282-Simulador!$E$6)/Simulador!$G$6)&lt;=0,(($A282-Simulador!$E$6)/Simulador!$G$6)&gt;=1),0,IF((($A282-Simulador!$E$6)/Simulador!$G$6)&lt;Simulador!$B$11,Simulador!$B$9*(1-COS(PI()*(($A282-Simulador!$E$6)/Simulador!$G$6)/Simulador!$B$11))/2,IF((($A282-Simulador!$E$6)/Simulador!$G$6)&gt;1-Simulador!$B$11,Simulador!$B$9*(1-COS(PI()*(1-(($A282-Simulador!$E$6)/Simulador!$G$6))/Simulador!$B$11))/2,Simulador!$B$9)))</f>
        <v>0</v>
      </c>
      <c r="D282" s="18">
        <f>IF(OR((($A282-Simulador!$E$7)/Simulador!$G$7)&lt;=0,(($A282-Simulador!$E$7)/Simulador!$G$7)&gt;=1),0,IF((($A282-Simulador!$E$7)/Simulador!$G$7)&lt;Simulador!$B$11,Simulador!$B$9*(1-COS(PI()*(($A282-Simulador!$E$7)/Simulador!$G$7)/Simulador!$B$11))/2,IF((($A282-Simulador!$E$7)/Simulador!$G$7)&gt;1-Simulador!$B$11,Simulador!$B$9*(1-COS(PI()*(1-(($A282-Simulador!$E$7)/Simulador!$G$7))/Simulador!$B$11))/2,Simulador!$B$9)))</f>
        <v>0</v>
      </c>
      <c r="E282" s="18">
        <f>IF(OR((($A282-Simulador!$E$8)/Simulador!$G$8)&lt;=0,(($A282-Simulador!$E$8)/Simulador!$G$8)&gt;=1),0,IF((($A282-Simulador!$E$8)/Simulador!$G$8)&lt;Simulador!$B$11,Simulador!$B$10*(1-COS(PI()*(($A282-Simulador!$E$8)/Simulador!$G$8)/Simulador!$B$11))/2,IF((($A282-Simulador!$E$8)/Simulador!$G$8)&gt;1-Simulador!$B$11,Simulador!$B$10*(1-COS(PI()*(1-(($A282-Simulador!$E$8)/Simulador!$G$8))/Simulador!$B$11))/2,Simulador!$B$10)))</f>
        <v>0.42088231141471955</v>
      </c>
      <c r="F282" s="18">
        <f>IF(OR((($A282-Simulador!$E$9)/Simulador!$G$9)&lt;=0,(($A282-Simulador!$E$9)/Simulador!$G$9)&gt;=1),0,IF((($A282-Simulador!$E$9)/Simulador!$G$9)&lt;Simulador!$B$11,Simulador!$B$10*(1-COS(PI()*(($A282-Simulador!$E$9)/Simulador!$G$9)/Simulador!$B$11))/2,IF((($A282-Simulador!$E$9)/Simulador!$G$9)&gt;1-Simulador!$B$11,Simulador!$B$10*(1-COS(PI()*(1-(($A282-Simulador!$E$9)/Simulador!$G$9))/Simulador!$B$11))/2,Simulador!$B$10)))</f>
        <v>1.6001683421003823</v>
      </c>
      <c r="G282" s="18">
        <f>IF(OR((($A282-Simulador!$E$10)/Simulador!$G$10)&lt;=0,(($A282-Simulador!$E$10)/Simulador!$G$10)&gt;=1),0,IF((($A282-Simulador!$E$10)/Simulador!$G$10)&lt;Simulador!$B$11,Simulador!$B$10*(1-COS(PI()*(($A282-Simulador!$E$10)/Simulador!$G$10)/Simulador!$B$11))/2,IF((($A282-Simulador!$E$10)/Simulador!$G$10)&gt;1-Simulador!$B$11,Simulador!$B$10*(1-COS(PI()*(1-(($A282-Simulador!$E$10)/Simulador!$G$10))/Simulador!$B$11))/2,Simulador!$B$10)))</f>
        <v>3.3042860306856654</v>
      </c>
    </row>
    <row r="283" spans="1:7" x14ac:dyDescent="0.25">
      <c r="A283" s="17">
        <f>A282+Simulador!$B$14</f>
        <v>562</v>
      </c>
      <c r="B283" s="18">
        <f>IF(OR((($A283-Simulador!$E$5)/Simulador!$G$5)&lt;=0,(($A283-Simulador!$E$5)/Simulador!$G$5)&gt;=1),0,IF((($A283-Simulador!$E$5)/Simulador!$G$5)&lt;Simulador!$B$11,Simulador!$B$9*(1-COS(PI()*(($A283-Simulador!$E$5)/Simulador!$G$5)/Simulador!$B$11))/2,IF((($A283-Simulador!$E$5)/Simulador!$G$5)&gt;1-Simulador!$B$11,Simulador!$B$9*(1-COS(PI()*(1-(($A283-Simulador!$E$5)/Simulador!$G$5))/Simulador!$B$11))/2,Simulador!$B$9)))</f>
        <v>0</v>
      </c>
      <c r="C283" s="18">
        <f>IF(OR((($A283-Simulador!$E$6)/Simulador!$G$6)&lt;=0,(($A283-Simulador!$E$6)/Simulador!$G$6)&gt;=1),0,IF((($A283-Simulador!$E$6)/Simulador!$G$6)&lt;Simulador!$B$11,Simulador!$B$9*(1-COS(PI()*(($A283-Simulador!$E$6)/Simulador!$G$6)/Simulador!$B$11))/2,IF((($A283-Simulador!$E$6)/Simulador!$G$6)&gt;1-Simulador!$B$11,Simulador!$B$9*(1-COS(PI()*(1-(($A283-Simulador!$E$6)/Simulador!$G$6))/Simulador!$B$11))/2,Simulador!$B$9)))</f>
        <v>0</v>
      </c>
      <c r="D283" s="18">
        <f>IF(OR((($A283-Simulador!$E$7)/Simulador!$G$7)&lt;=0,(($A283-Simulador!$E$7)/Simulador!$G$7)&gt;=1),0,IF((($A283-Simulador!$E$7)/Simulador!$G$7)&lt;Simulador!$B$11,Simulador!$B$9*(1-COS(PI()*(($A283-Simulador!$E$7)/Simulador!$G$7)/Simulador!$B$11))/2,IF((($A283-Simulador!$E$7)/Simulador!$G$7)&gt;1-Simulador!$B$11,Simulador!$B$9*(1-COS(PI()*(1-(($A283-Simulador!$E$7)/Simulador!$G$7))/Simulador!$B$11))/2,Simulador!$B$9)))</f>
        <v>0</v>
      </c>
      <c r="E283" s="18">
        <f>IF(OR((($A283-Simulador!$E$8)/Simulador!$G$8)&lt;=0,(($A283-Simulador!$E$8)/Simulador!$G$8)&gt;=1),0,IF((($A283-Simulador!$E$8)/Simulador!$G$8)&lt;Simulador!$B$11,Simulador!$B$10*(1-COS(PI()*(($A283-Simulador!$E$8)/Simulador!$G$8)/Simulador!$B$11))/2,IF((($A283-Simulador!$E$8)/Simulador!$G$8)&gt;1-Simulador!$B$11,Simulador!$B$10*(1-COS(PI()*(1-(($A283-Simulador!$E$8)/Simulador!$G$8))/Simulador!$B$11))/2,Simulador!$B$10)))</f>
        <v>0.31745672298551453</v>
      </c>
      <c r="F283" s="18">
        <f>IF(OR((($A283-Simulador!$E$9)/Simulador!$G$9)&lt;=0,(($A283-Simulador!$E$9)/Simulador!$G$9)&gt;=1),0,IF((($A283-Simulador!$E$9)/Simulador!$G$9)&lt;Simulador!$B$11,Simulador!$B$10*(1-COS(PI()*(($A283-Simulador!$E$9)/Simulador!$G$9)/Simulador!$B$11))/2,IF((($A283-Simulador!$E$9)/Simulador!$G$9)&gt;1-Simulador!$B$11,Simulador!$B$10*(1-COS(PI()*(1-(($A283-Simulador!$E$9)/Simulador!$G$9))/Simulador!$B$11))/2,Simulador!$B$10)))</f>
        <v>1.4061949229748525</v>
      </c>
      <c r="G283" s="18">
        <f>IF(OR((($A283-Simulador!$E$10)/Simulador!$G$10)&lt;=0,(($A283-Simulador!$E$10)/Simulador!$G$10)&gt;=1),0,IF((($A283-Simulador!$E$10)/Simulador!$G$10)&lt;Simulador!$B$11,Simulador!$B$10*(1-COS(PI()*(($A283-Simulador!$E$10)/Simulador!$G$10)/Simulador!$B$11))/2,IF((($A283-Simulador!$E$10)/Simulador!$G$10)&gt;1-Simulador!$B$11,Simulador!$B$10*(1-COS(PI()*(1-(($A283-Simulador!$E$10)/Simulador!$G$10))/Simulador!$B$11))/2,Simulador!$B$10)))</f>
        <v>3.0581835954494894</v>
      </c>
    </row>
    <row r="284" spans="1:7" x14ac:dyDescent="0.25">
      <c r="A284" s="17">
        <f>A283+Simulador!$B$14</f>
        <v>564</v>
      </c>
      <c r="B284" s="18">
        <f>IF(OR((($A284-Simulador!$E$5)/Simulador!$G$5)&lt;=0,(($A284-Simulador!$E$5)/Simulador!$G$5)&gt;=1),0,IF((($A284-Simulador!$E$5)/Simulador!$G$5)&lt;Simulador!$B$11,Simulador!$B$9*(1-COS(PI()*(($A284-Simulador!$E$5)/Simulador!$G$5)/Simulador!$B$11))/2,IF((($A284-Simulador!$E$5)/Simulador!$G$5)&gt;1-Simulador!$B$11,Simulador!$B$9*(1-COS(PI()*(1-(($A284-Simulador!$E$5)/Simulador!$G$5))/Simulador!$B$11))/2,Simulador!$B$9)))</f>
        <v>0</v>
      </c>
      <c r="C284" s="18">
        <f>IF(OR((($A284-Simulador!$E$6)/Simulador!$G$6)&lt;=0,(($A284-Simulador!$E$6)/Simulador!$G$6)&gt;=1),0,IF((($A284-Simulador!$E$6)/Simulador!$G$6)&lt;Simulador!$B$11,Simulador!$B$9*(1-COS(PI()*(($A284-Simulador!$E$6)/Simulador!$G$6)/Simulador!$B$11))/2,IF((($A284-Simulador!$E$6)/Simulador!$G$6)&gt;1-Simulador!$B$11,Simulador!$B$9*(1-COS(PI()*(1-(($A284-Simulador!$E$6)/Simulador!$G$6))/Simulador!$B$11))/2,Simulador!$B$9)))</f>
        <v>0</v>
      </c>
      <c r="D284" s="18">
        <f>IF(OR((($A284-Simulador!$E$7)/Simulador!$G$7)&lt;=0,(($A284-Simulador!$E$7)/Simulador!$G$7)&gt;=1),0,IF((($A284-Simulador!$E$7)/Simulador!$G$7)&lt;Simulador!$B$11,Simulador!$B$9*(1-COS(PI()*(($A284-Simulador!$E$7)/Simulador!$G$7)/Simulador!$B$11))/2,IF((($A284-Simulador!$E$7)/Simulador!$G$7)&gt;1-Simulador!$B$11,Simulador!$B$9*(1-COS(PI()*(1-(($A284-Simulador!$E$7)/Simulador!$G$7))/Simulador!$B$11))/2,Simulador!$B$9)))</f>
        <v>0</v>
      </c>
      <c r="E284" s="18">
        <f>IF(OR((($A284-Simulador!$E$8)/Simulador!$G$8)&lt;=0,(($A284-Simulador!$E$8)/Simulador!$G$8)&gt;=1),0,IF((($A284-Simulador!$E$8)/Simulador!$G$8)&lt;Simulador!$B$11,Simulador!$B$10*(1-COS(PI()*(($A284-Simulador!$E$8)/Simulador!$G$8)/Simulador!$B$11))/2,IF((($A284-Simulador!$E$8)/Simulador!$G$8)&gt;1-Simulador!$B$11,Simulador!$B$10*(1-COS(PI()*(1-(($A284-Simulador!$E$8)/Simulador!$G$8))/Simulador!$B$11))/2,Simulador!$B$10)))</f>
        <v>0.22810861885355238</v>
      </c>
      <c r="F284" s="18">
        <f>IF(OR((($A284-Simulador!$E$9)/Simulador!$G$9)&lt;=0,(($A284-Simulador!$E$9)/Simulador!$G$9)&gt;=1),0,IF((($A284-Simulador!$E$9)/Simulador!$G$9)&lt;Simulador!$B$11,Simulador!$B$10*(1-COS(PI()*(($A284-Simulador!$E$9)/Simulador!$G$9)/Simulador!$B$11))/2,IF((($A284-Simulador!$E$9)/Simulador!$G$9)&gt;1-Simulador!$B$11,Simulador!$B$10*(1-COS(PI()*(1-(($A284-Simulador!$E$9)/Simulador!$G$9))/Simulador!$B$11))/2,Simulador!$B$10)))</f>
        <v>1.2224015879567844</v>
      </c>
      <c r="G284" s="18">
        <f>IF(OR((($A284-Simulador!$E$10)/Simulador!$G$10)&lt;=0,(($A284-Simulador!$E$10)/Simulador!$G$10)&gt;=1),0,IF((($A284-Simulador!$E$10)/Simulador!$G$10)&lt;Simulador!$B$11,Simulador!$B$10*(1-COS(PI()*(($A284-Simulador!$E$10)/Simulador!$G$10)/Simulador!$B$11))/2,IF((($A284-Simulador!$E$10)/Simulador!$G$10)&gt;1-Simulador!$B$11,Simulador!$B$10*(1-COS(PI()*(1-(($A284-Simulador!$E$10)/Simulador!$G$10))/Simulador!$B$11))/2,Simulador!$B$10)))</f>
        <v>2.8163475536229736</v>
      </c>
    </row>
    <row r="285" spans="1:7" x14ac:dyDescent="0.25">
      <c r="A285" s="17">
        <f>A284+Simulador!$B$14</f>
        <v>566</v>
      </c>
      <c r="B285" s="18">
        <f>IF(OR((($A285-Simulador!$E$5)/Simulador!$G$5)&lt;=0,(($A285-Simulador!$E$5)/Simulador!$G$5)&gt;=1),0,IF((($A285-Simulador!$E$5)/Simulador!$G$5)&lt;Simulador!$B$11,Simulador!$B$9*(1-COS(PI()*(($A285-Simulador!$E$5)/Simulador!$G$5)/Simulador!$B$11))/2,IF((($A285-Simulador!$E$5)/Simulador!$G$5)&gt;1-Simulador!$B$11,Simulador!$B$9*(1-COS(PI()*(1-(($A285-Simulador!$E$5)/Simulador!$G$5))/Simulador!$B$11))/2,Simulador!$B$9)))</f>
        <v>0</v>
      </c>
      <c r="C285" s="18">
        <f>IF(OR((($A285-Simulador!$E$6)/Simulador!$G$6)&lt;=0,(($A285-Simulador!$E$6)/Simulador!$G$6)&gt;=1),0,IF((($A285-Simulador!$E$6)/Simulador!$G$6)&lt;Simulador!$B$11,Simulador!$B$9*(1-COS(PI()*(($A285-Simulador!$E$6)/Simulador!$G$6)/Simulador!$B$11))/2,IF((($A285-Simulador!$E$6)/Simulador!$G$6)&gt;1-Simulador!$B$11,Simulador!$B$9*(1-COS(PI()*(1-(($A285-Simulador!$E$6)/Simulador!$G$6))/Simulador!$B$11))/2,Simulador!$B$9)))</f>
        <v>0</v>
      </c>
      <c r="D285" s="18">
        <f>IF(OR((($A285-Simulador!$E$7)/Simulador!$G$7)&lt;=0,(($A285-Simulador!$E$7)/Simulador!$G$7)&gt;=1),0,IF((($A285-Simulador!$E$7)/Simulador!$G$7)&lt;Simulador!$B$11,Simulador!$B$9*(1-COS(PI()*(($A285-Simulador!$E$7)/Simulador!$G$7)/Simulador!$B$11))/2,IF((($A285-Simulador!$E$7)/Simulador!$G$7)&gt;1-Simulador!$B$11,Simulador!$B$9*(1-COS(PI()*(1-(($A285-Simulador!$E$7)/Simulador!$G$7))/Simulador!$B$11))/2,Simulador!$B$9)))</f>
        <v>0</v>
      </c>
      <c r="E285" s="18">
        <f>IF(OR((($A285-Simulador!$E$8)/Simulador!$G$8)&lt;=0,(($A285-Simulador!$E$8)/Simulador!$G$8)&gt;=1),0,IF((($A285-Simulador!$E$8)/Simulador!$G$8)&lt;Simulador!$B$11,Simulador!$B$10*(1-COS(PI()*(($A285-Simulador!$E$8)/Simulador!$G$8)/Simulador!$B$11))/2,IF((($A285-Simulador!$E$8)/Simulador!$G$8)&gt;1-Simulador!$B$11,Simulador!$B$10*(1-COS(PI()*(1-(($A285-Simulador!$E$8)/Simulador!$G$8))/Simulador!$B$11))/2,Simulador!$B$10)))</f>
        <v>0.15315784204262373</v>
      </c>
      <c r="F285" s="18">
        <f>IF(OR((($A285-Simulador!$E$9)/Simulador!$G$9)&lt;=0,(($A285-Simulador!$E$9)/Simulador!$G$9)&gt;=1),0,IF((($A285-Simulador!$E$9)/Simulador!$G$9)&lt;Simulador!$B$11,Simulador!$B$10*(1-COS(PI()*(($A285-Simulador!$E$9)/Simulador!$G$9)/Simulador!$B$11))/2,IF((($A285-Simulador!$E$9)/Simulador!$G$9)&gt;1-Simulador!$B$11,Simulador!$B$10*(1-COS(PI()*(1-(($A285-Simulador!$E$9)/Simulador!$G$9))/Simulador!$B$11))/2,Simulador!$B$10)))</f>
        <v>1.0494462694846529</v>
      </c>
      <c r="G285" s="18">
        <f>IF(OR((($A285-Simulador!$E$10)/Simulador!$G$10)&lt;=0,(($A285-Simulador!$E$10)/Simulador!$G$10)&gt;=1),0,IF((($A285-Simulador!$E$10)/Simulador!$G$10)&lt;Simulador!$B$11,Simulador!$B$10*(1-COS(PI()*(($A285-Simulador!$E$10)/Simulador!$G$10)/Simulador!$B$11))/2,IF((($A285-Simulador!$E$10)/Simulador!$G$10)&gt;1-Simulador!$B$11,Simulador!$B$10*(1-COS(PI()*(1-(($A285-Simulador!$E$10)/Simulador!$G$10))/Simulador!$B$11))/2,Simulador!$B$10)))</f>
        <v>2.5796436154708253</v>
      </c>
    </row>
    <row r="286" spans="1:7" x14ac:dyDescent="0.25">
      <c r="A286" s="17">
        <f>A285+Simulador!$B$14</f>
        <v>568</v>
      </c>
      <c r="B286" s="18">
        <f>IF(OR((($A286-Simulador!$E$5)/Simulador!$G$5)&lt;=0,(($A286-Simulador!$E$5)/Simulador!$G$5)&gt;=1),0,IF((($A286-Simulador!$E$5)/Simulador!$G$5)&lt;Simulador!$B$11,Simulador!$B$9*(1-COS(PI()*(($A286-Simulador!$E$5)/Simulador!$G$5)/Simulador!$B$11))/2,IF((($A286-Simulador!$E$5)/Simulador!$G$5)&gt;1-Simulador!$B$11,Simulador!$B$9*(1-COS(PI()*(1-(($A286-Simulador!$E$5)/Simulador!$G$5))/Simulador!$B$11))/2,Simulador!$B$9)))</f>
        <v>0</v>
      </c>
      <c r="C286" s="18">
        <f>IF(OR((($A286-Simulador!$E$6)/Simulador!$G$6)&lt;=0,(($A286-Simulador!$E$6)/Simulador!$G$6)&gt;=1),0,IF((($A286-Simulador!$E$6)/Simulador!$G$6)&lt;Simulador!$B$11,Simulador!$B$9*(1-COS(PI()*(($A286-Simulador!$E$6)/Simulador!$G$6)/Simulador!$B$11))/2,IF((($A286-Simulador!$E$6)/Simulador!$G$6)&gt;1-Simulador!$B$11,Simulador!$B$9*(1-COS(PI()*(1-(($A286-Simulador!$E$6)/Simulador!$G$6))/Simulador!$B$11))/2,Simulador!$B$9)))</f>
        <v>0</v>
      </c>
      <c r="D286" s="18">
        <f>IF(OR((($A286-Simulador!$E$7)/Simulador!$G$7)&lt;=0,(($A286-Simulador!$E$7)/Simulador!$G$7)&gt;=1),0,IF((($A286-Simulador!$E$7)/Simulador!$G$7)&lt;Simulador!$B$11,Simulador!$B$9*(1-COS(PI()*(($A286-Simulador!$E$7)/Simulador!$G$7)/Simulador!$B$11))/2,IF((($A286-Simulador!$E$7)/Simulador!$G$7)&gt;1-Simulador!$B$11,Simulador!$B$9*(1-COS(PI()*(1-(($A286-Simulador!$E$7)/Simulador!$G$7))/Simulador!$B$11))/2,Simulador!$B$9)))</f>
        <v>0</v>
      </c>
      <c r="E286" s="18">
        <f>IF(OR((($A286-Simulador!$E$8)/Simulador!$G$8)&lt;=0,(($A286-Simulador!$E$8)/Simulador!$G$8)&gt;=1),0,IF((($A286-Simulador!$E$8)/Simulador!$G$8)&lt;Simulador!$B$11,Simulador!$B$10*(1-COS(PI()*(($A286-Simulador!$E$8)/Simulador!$G$8)/Simulador!$B$11))/2,IF((($A286-Simulador!$E$8)/Simulador!$G$8)&gt;1-Simulador!$B$11,Simulador!$B$10*(1-COS(PI()*(1-(($A286-Simulador!$E$8)/Simulador!$G$8))/Simulador!$B$11))/2,Simulador!$B$10)))</f>
        <v>9.2872696881326294E-2</v>
      </c>
      <c r="F286" s="18">
        <f>IF(OR((($A286-Simulador!$E$9)/Simulador!$G$9)&lt;=0,(($A286-Simulador!$E$9)/Simulador!$G$9)&gt;=1),0,IF((($A286-Simulador!$E$9)/Simulador!$G$9)&lt;Simulador!$B$11,Simulador!$B$10*(1-COS(PI()*(($A286-Simulador!$E$9)/Simulador!$G$9)/Simulador!$B$11))/2,IF((($A286-Simulador!$E$9)/Simulador!$G$9)&gt;1-Simulador!$B$11,Simulador!$B$10*(1-COS(PI()*(1-(($A286-Simulador!$E$9)/Simulador!$G$9))/Simulador!$B$11))/2,Simulador!$B$10)))</f>
        <v>0.88794810271054891</v>
      </c>
      <c r="G286" s="18">
        <f>IF(OR((($A286-Simulador!$E$10)/Simulador!$G$10)&lt;=0,(($A286-Simulador!$E$10)/Simulador!$G$10)&gt;=1),0,IF((($A286-Simulador!$E$10)/Simulador!$G$10)&lt;Simulador!$B$11,Simulador!$B$10*(1-COS(PI()*(($A286-Simulador!$E$10)/Simulador!$G$10)/Simulador!$B$11))/2,IF((($A286-Simulador!$E$10)/Simulador!$G$10)&gt;1-Simulador!$B$11,Simulador!$B$10*(1-COS(PI()*(1-(($A286-Simulador!$E$10)/Simulador!$G$10))/Simulador!$B$11))/2,Simulador!$B$10)))</f>
        <v>2.3489191196585613</v>
      </c>
    </row>
    <row r="287" spans="1:7" x14ac:dyDescent="0.25">
      <c r="A287" s="17">
        <f>A286+Simulador!$B$14</f>
        <v>570</v>
      </c>
      <c r="B287" s="18">
        <f>IF(OR((($A287-Simulador!$E$5)/Simulador!$G$5)&lt;=0,(($A287-Simulador!$E$5)/Simulador!$G$5)&gt;=1),0,IF((($A287-Simulador!$E$5)/Simulador!$G$5)&lt;Simulador!$B$11,Simulador!$B$9*(1-COS(PI()*(($A287-Simulador!$E$5)/Simulador!$G$5)/Simulador!$B$11))/2,IF((($A287-Simulador!$E$5)/Simulador!$G$5)&gt;1-Simulador!$B$11,Simulador!$B$9*(1-COS(PI()*(1-(($A287-Simulador!$E$5)/Simulador!$G$5))/Simulador!$B$11))/2,Simulador!$B$9)))</f>
        <v>0</v>
      </c>
      <c r="C287" s="18">
        <f>IF(OR((($A287-Simulador!$E$6)/Simulador!$G$6)&lt;=0,(($A287-Simulador!$E$6)/Simulador!$G$6)&gt;=1),0,IF((($A287-Simulador!$E$6)/Simulador!$G$6)&lt;Simulador!$B$11,Simulador!$B$9*(1-COS(PI()*(($A287-Simulador!$E$6)/Simulador!$G$6)/Simulador!$B$11))/2,IF((($A287-Simulador!$E$6)/Simulador!$G$6)&gt;1-Simulador!$B$11,Simulador!$B$9*(1-COS(PI()*(1-(($A287-Simulador!$E$6)/Simulador!$G$6))/Simulador!$B$11))/2,Simulador!$B$9)))</f>
        <v>0</v>
      </c>
      <c r="D287" s="18">
        <f>IF(OR((($A287-Simulador!$E$7)/Simulador!$G$7)&lt;=0,(($A287-Simulador!$E$7)/Simulador!$G$7)&gt;=1),0,IF((($A287-Simulador!$E$7)/Simulador!$G$7)&lt;Simulador!$B$11,Simulador!$B$9*(1-COS(PI()*(($A287-Simulador!$E$7)/Simulador!$G$7)/Simulador!$B$11))/2,IF((($A287-Simulador!$E$7)/Simulador!$G$7)&gt;1-Simulador!$B$11,Simulador!$B$9*(1-COS(PI()*(1-(($A287-Simulador!$E$7)/Simulador!$G$7))/Simulador!$B$11))/2,Simulador!$B$9)))</f>
        <v>0</v>
      </c>
      <c r="E287" s="18">
        <f>IF(OR((($A287-Simulador!$E$8)/Simulador!$G$8)&lt;=0,(($A287-Simulador!$E$8)/Simulador!$G$8)&gt;=1),0,IF((($A287-Simulador!$E$8)/Simulador!$G$8)&lt;Simulador!$B$11,Simulador!$B$10*(1-COS(PI()*(($A287-Simulador!$E$8)/Simulador!$G$8)/Simulador!$B$11))/2,IF((($A287-Simulador!$E$8)/Simulador!$G$8)&gt;1-Simulador!$B$11,Simulador!$B$10*(1-COS(PI()*(1-(($A287-Simulador!$E$8)/Simulador!$G$8))/Simulador!$B$11))/2,Simulador!$B$10)))</f>
        <v>4.7468988543203777E-2</v>
      </c>
      <c r="F287" s="18">
        <f>IF(OR((($A287-Simulador!$E$9)/Simulador!$G$9)&lt;=0,(($A287-Simulador!$E$9)/Simulador!$G$9)&gt;=1),0,IF((($A287-Simulador!$E$9)/Simulador!$G$9)&lt;Simulador!$B$11,Simulador!$B$10*(1-COS(PI()*(($A287-Simulador!$E$9)/Simulador!$G$9)/Simulador!$B$11))/2,IF((($A287-Simulador!$E$9)/Simulador!$G$9)&gt;1-Simulador!$B$11,Simulador!$B$10*(1-COS(PI()*(1-(($A287-Simulador!$E$9)/Simulador!$G$9))/Simulador!$B$11))/2,Simulador!$B$10)))</f>
        <v>0.73848520915702121</v>
      </c>
      <c r="G287" s="18">
        <f>IF(OR((($A287-Simulador!$E$10)/Simulador!$G$10)&lt;=0,(($A287-Simulador!$E$10)/Simulador!$G$10)&gt;=1),0,IF((($A287-Simulador!$E$10)/Simulador!$G$10)&lt;Simulador!$B$11,Simulador!$B$10*(1-COS(PI()*(($A287-Simulador!$E$10)/Simulador!$G$10)/Simulador!$B$11))/2,IF((($A287-Simulador!$E$10)/Simulador!$G$10)&gt;1-Simulador!$B$11,Simulador!$B$10*(1-COS(PI()*(1-(($A287-Simulador!$E$10)/Simulador!$G$10))/Simulador!$B$11))/2,Simulador!$B$10)))</f>
        <v>2.1250000000000004</v>
      </c>
    </row>
    <row r="288" spans="1:7" x14ac:dyDescent="0.25">
      <c r="A288" s="17">
        <f>A287+Simulador!$B$14</f>
        <v>572</v>
      </c>
      <c r="B288" s="18">
        <f>IF(OR((($A288-Simulador!$E$5)/Simulador!$G$5)&lt;=0,(($A288-Simulador!$E$5)/Simulador!$G$5)&gt;=1),0,IF((($A288-Simulador!$E$5)/Simulador!$G$5)&lt;Simulador!$B$11,Simulador!$B$9*(1-COS(PI()*(($A288-Simulador!$E$5)/Simulador!$G$5)/Simulador!$B$11))/2,IF((($A288-Simulador!$E$5)/Simulador!$G$5)&gt;1-Simulador!$B$11,Simulador!$B$9*(1-COS(PI()*(1-(($A288-Simulador!$E$5)/Simulador!$G$5))/Simulador!$B$11))/2,Simulador!$B$9)))</f>
        <v>0</v>
      </c>
      <c r="C288" s="18">
        <f>IF(OR((($A288-Simulador!$E$6)/Simulador!$G$6)&lt;=0,(($A288-Simulador!$E$6)/Simulador!$G$6)&gt;=1),0,IF((($A288-Simulador!$E$6)/Simulador!$G$6)&lt;Simulador!$B$11,Simulador!$B$9*(1-COS(PI()*(($A288-Simulador!$E$6)/Simulador!$G$6)/Simulador!$B$11))/2,IF((($A288-Simulador!$E$6)/Simulador!$G$6)&gt;1-Simulador!$B$11,Simulador!$B$9*(1-COS(PI()*(1-(($A288-Simulador!$E$6)/Simulador!$G$6))/Simulador!$B$11))/2,Simulador!$B$9)))</f>
        <v>0</v>
      </c>
      <c r="D288" s="18">
        <f>IF(OR((($A288-Simulador!$E$7)/Simulador!$G$7)&lt;=0,(($A288-Simulador!$E$7)/Simulador!$G$7)&gt;=1),0,IF((($A288-Simulador!$E$7)/Simulador!$G$7)&lt;Simulador!$B$11,Simulador!$B$9*(1-COS(PI()*(($A288-Simulador!$E$7)/Simulador!$G$7)/Simulador!$B$11))/2,IF((($A288-Simulador!$E$7)/Simulador!$G$7)&gt;1-Simulador!$B$11,Simulador!$B$9*(1-COS(PI()*(1-(($A288-Simulador!$E$7)/Simulador!$G$7))/Simulador!$B$11))/2,Simulador!$B$9)))</f>
        <v>0</v>
      </c>
      <c r="E288" s="18">
        <f>IF(OR((($A288-Simulador!$E$8)/Simulador!$G$8)&lt;=0,(($A288-Simulador!$E$8)/Simulador!$G$8)&gt;=1),0,IF((($A288-Simulador!$E$8)/Simulador!$G$8)&lt;Simulador!$B$11,Simulador!$B$10*(1-COS(PI()*(($A288-Simulador!$E$8)/Simulador!$G$8)/Simulador!$B$11))/2,IF((($A288-Simulador!$E$8)/Simulador!$G$8)&gt;1-Simulador!$B$11,Simulador!$B$10*(1-COS(PI()*(1-(($A288-Simulador!$E$8)/Simulador!$G$8))/Simulador!$B$11))/2,Simulador!$B$10)))</f>
        <v>1.710925052023396E-2</v>
      </c>
      <c r="F288" s="18">
        <f>IF(OR((($A288-Simulador!$E$9)/Simulador!$G$9)&lt;=0,(($A288-Simulador!$E$9)/Simulador!$G$9)&gt;=1),0,IF((($A288-Simulador!$E$9)/Simulador!$G$9)&lt;Simulador!$B$11,Simulador!$B$10*(1-COS(PI()*(($A288-Simulador!$E$9)/Simulador!$G$9)/Simulador!$B$11))/2,IF((($A288-Simulador!$E$9)/Simulador!$G$9)&gt;1-Simulador!$B$11,Simulador!$B$10*(1-COS(PI()*(1-(($A288-Simulador!$E$9)/Simulador!$G$9))/Simulador!$B$11))/2,Simulador!$B$10)))</f>
        <v>0.60159262719206819</v>
      </c>
      <c r="G288" s="18">
        <f>IF(OR((($A288-Simulador!$E$10)/Simulador!$G$10)&lt;=0,(($A288-Simulador!$E$10)/Simulador!$G$10)&gt;=1),0,IF((($A288-Simulador!$E$10)/Simulador!$G$10)&lt;Simulador!$B$11,Simulador!$B$10*(1-COS(PI()*(($A288-Simulador!$E$10)/Simulador!$G$10)/Simulador!$B$11))/2,IF((($A288-Simulador!$E$10)/Simulador!$G$10)&gt;1-Simulador!$B$11,Simulador!$B$10*(1-COS(PI()*(1-(($A288-Simulador!$E$10)/Simulador!$G$10))/Simulador!$B$11))/2,Simulador!$B$10)))</f>
        <v>1.9086878288285647</v>
      </c>
    </row>
    <row r="289" spans="1:7" x14ac:dyDescent="0.25">
      <c r="A289" s="17">
        <f>A288+Simulador!$B$14</f>
        <v>574</v>
      </c>
      <c r="B289" s="18">
        <f>IF(OR((($A289-Simulador!$E$5)/Simulador!$G$5)&lt;=0,(($A289-Simulador!$E$5)/Simulador!$G$5)&gt;=1),0,IF((($A289-Simulador!$E$5)/Simulador!$G$5)&lt;Simulador!$B$11,Simulador!$B$9*(1-COS(PI()*(($A289-Simulador!$E$5)/Simulador!$G$5)/Simulador!$B$11))/2,IF((($A289-Simulador!$E$5)/Simulador!$G$5)&gt;1-Simulador!$B$11,Simulador!$B$9*(1-COS(PI()*(1-(($A289-Simulador!$E$5)/Simulador!$G$5))/Simulador!$B$11))/2,Simulador!$B$9)))</f>
        <v>0</v>
      </c>
      <c r="C289" s="18">
        <f>IF(OR((($A289-Simulador!$E$6)/Simulador!$G$6)&lt;=0,(($A289-Simulador!$E$6)/Simulador!$G$6)&gt;=1),0,IF((($A289-Simulador!$E$6)/Simulador!$G$6)&lt;Simulador!$B$11,Simulador!$B$9*(1-COS(PI()*(($A289-Simulador!$E$6)/Simulador!$G$6)/Simulador!$B$11))/2,IF((($A289-Simulador!$E$6)/Simulador!$G$6)&gt;1-Simulador!$B$11,Simulador!$B$9*(1-COS(PI()*(1-(($A289-Simulador!$E$6)/Simulador!$G$6))/Simulador!$B$11))/2,Simulador!$B$9)))</f>
        <v>0</v>
      </c>
      <c r="D289" s="18">
        <f>IF(OR((($A289-Simulador!$E$7)/Simulador!$G$7)&lt;=0,(($A289-Simulador!$E$7)/Simulador!$G$7)&gt;=1),0,IF((($A289-Simulador!$E$7)/Simulador!$G$7)&lt;Simulador!$B$11,Simulador!$B$9*(1-COS(PI()*(($A289-Simulador!$E$7)/Simulador!$G$7)/Simulador!$B$11))/2,IF((($A289-Simulador!$E$7)/Simulador!$G$7)&gt;1-Simulador!$B$11,Simulador!$B$9*(1-COS(PI()*(1-(($A289-Simulador!$E$7)/Simulador!$G$7))/Simulador!$B$11))/2,Simulador!$B$9)))</f>
        <v>0</v>
      </c>
      <c r="E289" s="18">
        <f>IF(OR((($A289-Simulador!$E$8)/Simulador!$G$8)&lt;=0,(($A289-Simulador!$E$8)/Simulador!$G$8)&gt;=1),0,IF((($A289-Simulador!$E$8)/Simulador!$G$8)&lt;Simulador!$B$11,Simulador!$B$10*(1-COS(PI()*(($A289-Simulador!$E$8)/Simulador!$G$8)/Simulador!$B$11))/2,IF((($A289-Simulador!$E$8)/Simulador!$G$8)&gt;1-Simulador!$B$11,Simulador!$B$10*(1-COS(PI()*(1-(($A289-Simulador!$E$8)/Simulador!$G$8))/Simulador!$B$11))/2,Simulador!$B$10)))</f>
        <v>1.9021627951108788E-3</v>
      </c>
      <c r="F289" s="18">
        <f>IF(OR((($A289-Simulador!$E$9)/Simulador!$G$9)&lt;=0,(($A289-Simulador!$E$9)/Simulador!$G$9)&gt;=1),0,IF((($A289-Simulador!$E$9)/Simulador!$G$9)&lt;Simulador!$B$11,Simulador!$B$10*(1-COS(PI()*(($A289-Simulador!$E$9)/Simulador!$G$9)/Simulador!$B$11))/2,IF((($A289-Simulador!$E$9)/Simulador!$G$9)&gt;1-Simulador!$B$11,Simulador!$B$10*(1-COS(PI()*(1-(($A289-Simulador!$E$9)/Simulador!$G$9))/Simulador!$B$11))/2,Simulador!$B$10)))</f>
        <v>0.47776039673064419</v>
      </c>
      <c r="G289" s="18">
        <f>IF(OR((($A289-Simulador!$E$10)/Simulador!$G$10)&lt;=0,(($A289-Simulador!$E$10)/Simulador!$G$10)&gt;=1),0,IF((($A289-Simulador!$E$10)/Simulador!$G$10)&lt;Simulador!$B$11,Simulador!$B$10*(1-COS(PI()*(($A289-Simulador!$E$10)/Simulador!$G$10)/Simulador!$B$11))/2,IF((($A289-Simulador!$E$10)/Simulador!$G$10)&gt;1-Simulador!$B$11,Simulador!$B$10*(1-COS(PI()*(1-(($A289-Simulador!$E$10)/Simulador!$G$10))/Simulador!$B$11))/2,Simulador!$B$10)))</f>
        <v>1.7007569475763664</v>
      </c>
    </row>
    <row r="290" spans="1:7" x14ac:dyDescent="0.25">
      <c r="A290" s="17">
        <f>A289+Simulador!$B$14</f>
        <v>576</v>
      </c>
      <c r="B290" s="18">
        <f>IF(OR((($A290-Simulador!$E$5)/Simulador!$G$5)&lt;=0,(($A290-Simulador!$E$5)/Simulador!$G$5)&gt;=1),0,IF((($A290-Simulador!$E$5)/Simulador!$G$5)&lt;Simulador!$B$11,Simulador!$B$9*(1-COS(PI()*(($A290-Simulador!$E$5)/Simulador!$G$5)/Simulador!$B$11))/2,IF((($A290-Simulador!$E$5)/Simulador!$G$5)&gt;1-Simulador!$B$11,Simulador!$B$9*(1-COS(PI()*(1-(($A290-Simulador!$E$5)/Simulador!$G$5))/Simulador!$B$11))/2,Simulador!$B$9)))</f>
        <v>0</v>
      </c>
      <c r="C290" s="18">
        <f>IF(OR((($A290-Simulador!$E$6)/Simulador!$G$6)&lt;=0,(($A290-Simulador!$E$6)/Simulador!$G$6)&gt;=1),0,IF((($A290-Simulador!$E$6)/Simulador!$G$6)&lt;Simulador!$B$11,Simulador!$B$9*(1-COS(PI()*(($A290-Simulador!$E$6)/Simulador!$G$6)/Simulador!$B$11))/2,IF((($A290-Simulador!$E$6)/Simulador!$G$6)&gt;1-Simulador!$B$11,Simulador!$B$9*(1-COS(PI()*(1-(($A290-Simulador!$E$6)/Simulador!$G$6))/Simulador!$B$11))/2,Simulador!$B$9)))</f>
        <v>0</v>
      </c>
      <c r="D290" s="18">
        <f>IF(OR((($A290-Simulador!$E$7)/Simulador!$G$7)&lt;=0,(($A290-Simulador!$E$7)/Simulador!$G$7)&gt;=1),0,IF((($A290-Simulador!$E$7)/Simulador!$G$7)&lt;Simulador!$B$11,Simulador!$B$9*(1-COS(PI()*(($A290-Simulador!$E$7)/Simulador!$G$7)/Simulador!$B$11))/2,IF((($A290-Simulador!$E$7)/Simulador!$G$7)&gt;1-Simulador!$B$11,Simulador!$B$9*(1-COS(PI()*(1-(($A290-Simulador!$E$7)/Simulador!$G$7))/Simulador!$B$11))/2,Simulador!$B$9)))</f>
        <v>0</v>
      </c>
      <c r="E290" s="18">
        <f>IF(OR((($A290-Simulador!$E$8)/Simulador!$G$8)&lt;=0,(($A290-Simulador!$E$8)/Simulador!$G$8)&gt;=1),0,IF((($A290-Simulador!$E$8)/Simulador!$G$8)&lt;Simulador!$B$11,Simulador!$B$10*(1-COS(PI()*(($A290-Simulador!$E$8)/Simulador!$G$8)/Simulador!$B$11))/2,IF((($A290-Simulador!$E$8)/Simulador!$G$8)&gt;1-Simulador!$B$11,Simulador!$B$10*(1-COS(PI()*(1-(($A290-Simulador!$E$8)/Simulador!$G$8))/Simulador!$B$11))/2,Simulador!$B$10)))</f>
        <v>0</v>
      </c>
      <c r="F290" s="18">
        <f>IF(OR((($A290-Simulador!$E$9)/Simulador!$G$9)&lt;=0,(($A290-Simulador!$E$9)/Simulador!$G$9)&gt;=1),0,IF((($A290-Simulador!$E$9)/Simulador!$G$9)&lt;Simulador!$B$11,Simulador!$B$10*(1-COS(PI()*(($A290-Simulador!$E$9)/Simulador!$G$9)/Simulador!$B$11))/2,IF((($A290-Simulador!$E$9)/Simulador!$G$9)&gt;1-Simulador!$B$11,Simulador!$B$10*(1-COS(PI()*(1-(($A290-Simulador!$E$9)/Simulador!$G$9))/Simulador!$B$11))/2,Simulador!$B$10)))</f>
        <v>0.36743180501894679</v>
      </c>
      <c r="G290" s="18">
        <f>IF(OR((($A290-Simulador!$E$10)/Simulador!$G$10)&lt;=0,(($A290-Simulador!$E$10)/Simulador!$G$10)&gt;=1),0,IF((($A290-Simulador!$E$10)/Simulador!$G$10)&lt;Simulador!$B$11,Simulador!$B$10*(1-COS(PI()*(($A290-Simulador!$E$10)/Simulador!$G$10)/Simulador!$B$11))/2,IF((($A290-Simulador!$E$10)/Simulador!$G$10)&gt;1-Simulador!$B$11,Simulador!$B$10*(1-COS(PI()*(1-(($A290-Simulador!$E$10)/Simulador!$G$10))/Simulador!$B$11))/2,Simulador!$B$10)))</f>
        <v>1.5019516948328515</v>
      </c>
    </row>
    <row r="291" spans="1:7" x14ac:dyDescent="0.25">
      <c r="A291" s="17">
        <f>A290+Simulador!$B$14</f>
        <v>578</v>
      </c>
      <c r="B291" s="18">
        <f>IF(OR((($A291-Simulador!$E$5)/Simulador!$G$5)&lt;=0,(($A291-Simulador!$E$5)/Simulador!$G$5)&gt;=1),0,IF((($A291-Simulador!$E$5)/Simulador!$G$5)&lt;Simulador!$B$11,Simulador!$B$9*(1-COS(PI()*(($A291-Simulador!$E$5)/Simulador!$G$5)/Simulador!$B$11))/2,IF((($A291-Simulador!$E$5)/Simulador!$G$5)&gt;1-Simulador!$B$11,Simulador!$B$9*(1-COS(PI()*(1-(($A291-Simulador!$E$5)/Simulador!$G$5))/Simulador!$B$11))/2,Simulador!$B$9)))</f>
        <v>0</v>
      </c>
      <c r="C291" s="18">
        <f>IF(OR((($A291-Simulador!$E$6)/Simulador!$G$6)&lt;=0,(($A291-Simulador!$E$6)/Simulador!$G$6)&gt;=1),0,IF((($A291-Simulador!$E$6)/Simulador!$G$6)&lt;Simulador!$B$11,Simulador!$B$9*(1-COS(PI()*(($A291-Simulador!$E$6)/Simulador!$G$6)/Simulador!$B$11))/2,IF((($A291-Simulador!$E$6)/Simulador!$G$6)&gt;1-Simulador!$B$11,Simulador!$B$9*(1-COS(PI()*(1-(($A291-Simulador!$E$6)/Simulador!$G$6))/Simulador!$B$11))/2,Simulador!$B$9)))</f>
        <v>0</v>
      </c>
      <c r="D291" s="18">
        <f>IF(OR((($A291-Simulador!$E$7)/Simulador!$G$7)&lt;=0,(($A291-Simulador!$E$7)/Simulador!$G$7)&gt;=1),0,IF((($A291-Simulador!$E$7)/Simulador!$G$7)&lt;Simulador!$B$11,Simulador!$B$9*(1-COS(PI()*(($A291-Simulador!$E$7)/Simulador!$G$7)/Simulador!$B$11))/2,IF((($A291-Simulador!$E$7)/Simulador!$G$7)&gt;1-Simulador!$B$11,Simulador!$B$9*(1-COS(PI()*(1-(($A291-Simulador!$E$7)/Simulador!$G$7))/Simulador!$B$11))/2,Simulador!$B$9)))</f>
        <v>0</v>
      </c>
      <c r="E291" s="18">
        <f>IF(OR((($A291-Simulador!$E$8)/Simulador!$G$8)&lt;=0,(($A291-Simulador!$E$8)/Simulador!$G$8)&gt;=1),0,IF((($A291-Simulador!$E$8)/Simulador!$G$8)&lt;Simulador!$B$11,Simulador!$B$10*(1-COS(PI()*(($A291-Simulador!$E$8)/Simulador!$G$8)/Simulador!$B$11))/2,IF((($A291-Simulador!$E$8)/Simulador!$G$8)&gt;1-Simulador!$B$11,Simulador!$B$10*(1-COS(PI()*(1-(($A291-Simulador!$E$8)/Simulador!$G$8))/Simulador!$B$11))/2,Simulador!$B$10)))</f>
        <v>0</v>
      </c>
      <c r="F291" s="18">
        <f>IF(OR((($A291-Simulador!$E$9)/Simulador!$G$9)&lt;=0,(($A291-Simulador!$E$9)/Simulador!$G$9)&gt;=1),0,IF((($A291-Simulador!$E$9)/Simulador!$G$9)&lt;Simulador!$B$11,Simulador!$B$10*(1-COS(PI()*(($A291-Simulador!$E$9)/Simulador!$G$9)/Simulador!$B$11))/2,IF((($A291-Simulador!$E$9)/Simulador!$G$9)&gt;1-Simulador!$B$11,Simulador!$B$10*(1-COS(PI()*(1-(($A291-Simulador!$E$9)/Simulador!$G$9))/Simulador!$B$11))/2,Simulador!$B$10)))</f>
        <v>0.27100179978111738</v>
      </c>
      <c r="G291" s="18">
        <f>IF(OR((($A291-Simulador!$E$10)/Simulador!$G$10)&lt;=0,(($A291-Simulador!$E$10)/Simulador!$G$10)&gt;=1),0,IF((($A291-Simulador!$E$10)/Simulador!$G$10)&lt;Simulador!$B$11,Simulador!$B$10*(1-COS(PI()*(($A291-Simulador!$E$10)/Simulador!$G$10)/Simulador!$B$11))/2,IF((($A291-Simulador!$E$10)/Simulador!$G$10)&gt;1-Simulador!$B$11,Simulador!$B$10*(1-COS(PI()*(1-(($A291-Simulador!$E$10)/Simulador!$G$10))/Simulador!$B$11))/2,Simulador!$B$10)))</f>
        <v>1.3129837418058248</v>
      </c>
    </row>
    <row r="292" spans="1:7" x14ac:dyDescent="0.25">
      <c r="A292" s="17">
        <f>A291+Simulador!$B$14</f>
        <v>580</v>
      </c>
      <c r="B292" s="18">
        <f>IF(OR((($A292-Simulador!$E$5)/Simulador!$G$5)&lt;=0,(($A292-Simulador!$E$5)/Simulador!$G$5)&gt;=1),0,IF((($A292-Simulador!$E$5)/Simulador!$G$5)&lt;Simulador!$B$11,Simulador!$B$9*(1-COS(PI()*(($A292-Simulador!$E$5)/Simulador!$G$5)/Simulador!$B$11))/2,IF((($A292-Simulador!$E$5)/Simulador!$G$5)&gt;1-Simulador!$B$11,Simulador!$B$9*(1-COS(PI()*(1-(($A292-Simulador!$E$5)/Simulador!$G$5))/Simulador!$B$11))/2,Simulador!$B$9)))</f>
        <v>0</v>
      </c>
      <c r="C292" s="18">
        <f>IF(OR((($A292-Simulador!$E$6)/Simulador!$G$6)&lt;=0,(($A292-Simulador!$E$6)/Simulador!$G$6)&gt;=1),0,IF((($A292-Simulador!$E$6)/Simulador!$G$6)&lt;Simulador!$B$11,Simulador!$B$9*(1-COS(PI()*(($A292-Simulador!$E$6)/Simulador!$G$6)/Simulador!$B$11))/2,IF((($A292-Simulador!$E$6)/Simulador!$G$6)&gt;1-Simulador!$B$11,Simulador!$B$9*(1-COS(PI()*(1-(($A292-Simulador!$E$6)/Simulador!$G$6))/Simulador!$B$11))/2,Simulador!$B$9)))</f>
        <v>0</v>
      </c>
      <c r="D292" s="18">
        <f>IF(OR((($A292-Simulador!$E$7)/Simulador!$G$7)&lt;=0,(($A292-Simulador!$E$7)/Simulador!$G$7)&gt;=1),0,IF((($A292-Simulador!$E$7)/Simulador!$G$7)&lt;Simulador!$B$11,Simulador!$B$9*(1-COS(PI()*(($A292-Simulador!$E$7)/Simulador!$G$7)/Simulador!$B$11))/2,IF((($A292-Simulador!$E$7)/Simulador!$G$7)&gt;1-Simulador!$B$11,Simulador!$B$9*(1-COS(PI()*(1-(($A292-Simulador!$E$7)/Simulador!$G$7))/Simulador!$B$11))/2,Simulador!$B$9)))</f>
        <v>0</v>
      </c>
      <c r="E292" s="18">
        <f>IF(OR((($A292-Simulador!$E$8)/Simulador!$G$8)&lt;=0,(($A292-Simulador!$E$8)/Simulador!$G$8)&gt;=1),0,IF((($A292-Simulador!$E$8)/Simulador!$G$8)&lt;Simulador!$B$11,Simulador!$B$10*(1-COS(PI()*(($A292-Simulador!$E$8)/Simulador!$G$8)/Simulador!$B$11))/2,IF((($A292-Simulador!$E$8)/Simulador!$G$8)&gt;1-Simulador!$B$11,Simulador!$B$10*(1-COS(PI()*(1-(($A292-Simulador!$E$8)/Simulador!$G$8))/Simulador!$B$11))/2,Simulador!$B$10)))</f>
        <v>0</v>
      </c>
      <c r="F292" s="18">
        <f>IF(OR((($A292-Simulador!$E$9)/Simulador!$G$9)&lt;=0,(($A292-Simulador!$E$9)/Simulador!$G$9)&gt;=1),0,IF((($A292-Simulador!$E$9)/Simulador!$G$9)&lt;Simulador!$B$11,Simulador!$B$10*(1-COS(PI()*(($A292-Simulador!$E$9)/Simulador!$G$9)/Simulador!$B$11))/2,IF((($A292-Simulador!$E$9)/Simulador!$G$9)&gt;1-Simulador!$B$11,Simulador!$B$10*(1-COS(PI()*(1-(($A292-Simulador!$E$9)/Simulador!$G$9))/Simulador!$B$11))/2,Simulador!$B$10)))</f>
        <v>0.18881557540890212</v>
      </c>
      <c r="G292" s="18">
        <f>IF(OR((($A292-Simulador!$E$10)/Simulador!$G$10)&lt;=0,(($A292-Simulador!$E$10)/Simulador!$G$10)&gt;=1),0,IF((($A292-Simulador!$E$10)/Simulador!$G$10)&lt;Simulador!$B$11,Simulador!$B$10*(1-COS(PI()*(($A292-Simulador!$E$10)/Simulador!$G$10)/Simulador!$B$11))/2,IF((($A292-Simulador!$E$10)/Simulador!$G$10)&gt;1-Simulador!$B$11,Simulador!$B$10*(1-COS(PI()*(1-(($A292-Simulador!$E$10)/Simulador!$G$10))/Simulador!$B$11))/2,Simulador!$B$10)))</f>
        <v>1.1345295447232375</v>
      </c>
    </row>
    <row r="293" spans="1:7" x14ac:dyDescent="0.25">
      <c r="A293" s="17">
        <f>A292+Simulador!$B$14</f>
        <v>582</v>
      </c>
      <c r="B293" s="18">
        <f>IF(OR((($A293-Simulador!$E$5)/Simulador!$G$5)&lt;=0,(($A293-Simulador!$E$5)/Simulador!$G$5)&gt;=1),0,IF((($A293-Simulador!$E$5)/Simulador!$G$5)&lt;Simulador!$B$11,Simulador!$B$9*(1-COS(PI()*(($A293-Simulador!$E$5)/Simulador!$G$5)/Simulador!$B$11))/2,IF((($A293-Simulador!$E$5)/Simulador!$G$5)&gt;1-Simulador!$B$11,Simulador!$B$9*(1-COS(PI()*(1-(($A293-Simulador!$E$5)/Simulador!$G$5))/Simulador!$B$11))/2,Simulador!$B$9)))</f>
        <v>0</v>
      </c>
      <c r="C293" s="18">
        <f>IF(OR((($A293-Simulador!$E$6)/Simulador!$G$6)&lt;=0,(($A293-Simulador!$E$6)/Simulador!$G$6)&gt;=1),0,IF((($A293-Simulador!$E$6)/Simulador!$G$6)&lt;Simulador!$B$11,Simulador!$B$9*(1-COS(PI()*(($A293-Simulador!$E$6)/Simulador!$G$6)/Simulador!$B$11))/2,IF((($A293-Simulador!$E$6)/Simulador!$G$6)&gt;1-Simulador!$B$11,Simulador!$B$9*(1-COS(PI()*(1-(($A293-Simulador!$E$6)/Simulador!$G$6))/Simulador!$B$11))/2,Simulador!$B$9)))</f>
        <v>0</v>
      </c>
      <c r="D293" s="18">
        <f>IF(OR((($A293-Simulador!$E$7)/Simulador!$G$7)&lt;=0,(($A293-Simulador!$E$7)/Simulador!$G$7)&gt;=1),0,IF((($A293-Simulador!$E$7)/Simulador!$G$7)&lt;Simulador!$B$11,Simulador!$B$9*(1-COS(PI()*(($A293-Simulador!$E$7)/Simulador!$G$7)/Simulador!$B$11))/2,IF((($A293-Simulador!$E$7)/Simulador!$G$7)&gt;1-Simulador!$B$11,Simulador!$B$9*(1-COS(PI()*(1-(($A293-Simulador!$E$7)/Simulador!$G$7))/Simulador!$B$11))/2,Simulador!$B$9)))</f>
        <v>0</v>
      </c>
      <c r="E293" s="18">
        <f>IF(OR((($A293-Simulador!$E$8)/Simulador!$G$8)&lt;=0,(($A293-Simulador!$E$8)/Simulador!$G$8)&gt;=1),0,IF((($A293-Simulador!$E$8)/Simulador!$G$8)&lt;Simulador!$B$11,Simulador!$B$10*(1-COS(PI()*(($A293-Simulador!$E$8)/Simulador!$G$8)/Simulador!$B$11))/2,IF((($A293-Simulador!$E$8)/Simulador!$G$8)&gt;1-Simulador!$B$11,Simulador!$B$10*(1-COS(PI()*(1-(($A293-Simulador!$E$8)/Simulador!$G$8))/Simulador!$B$11))/2,Simulador!$B$10)))</f>
        <v>0</v>
      </c>
      <c r="F293" s="18">
        <f>IF(OR((($A293-Simulador!$E$9)/Simulador!$G$9)&lt;=0,(($A293-Simulador!$E$9)/Simulador!$G$9)&gt;=1),0,IF((($A293-Simulador!$E$9)/Simulador!$G$9)&lt;Simulador!$B$11,Simulador!$B$10*(1-COS(PI()*(($A293-Simulador!$E$9)/Simulador!$G$9)/Simulador!$B$11))/2,IF((($A293-Simulador!$E$9)/Simulador!$G$9)&gt;1-Simulador!$B$11,Simulador!$B$10*(1-COS(PI()*(1-(($A293-Simulador!$E$9)/Simulador!$G$9))/Simulador!$B$11))/2,Simulador!$B$10)))</f>
        <v>0.12116733725531356</v>
      </c>
      <c r="G293" s="18">
        <f>IF(OR((($A293-Simulador!$E$10)/Simulador!$G$10)&lt;=0,(($A293-Simulador!$E$10)/Simulador!$G$10)&gt;=1),0,IF((($A293-Simulador!$E$10)/Simulador!$G$10)&lt;Simulador!$B$11,Simulador!$B$10*(1-COS(PI()*(($A293-Simulador!$E$10)/Simulador!$G$10)/Simulador!$B$11))/2,IF((($A293-Simulador!$E$10)/Simulador!$G$10)&gt;1-Simulador!$B$11,Simulador!$B$10*(1-COS(PI()*(1-(($A293-Simulador!$E$10)/Simulador!$G$10))/Simulador!$B$11))/2,Simulador!$B$10)))</f>
        <v>0.9672279232954516</v>
      </c>
    </row>
    <row r="294" spans="1:7" x14ac:dyDescent="0.25">
      <c r="A294" s="17">
        <f>A293+Simulador!$B$14</f>
        <v>584</v>
      </c>
      <c r="B294" s="18">
        <f>IF(OR((($A294-Simulador!$E$5)/Simulador!$G$5)&lt;=0,(($A294-Simulador!$E$5)/Simulador!$G$5)&gt;=1),0,IF((($A294-Simulador!$E$5)/Simulador!$G$5)&lt;Simulador!$B$11,Simulador!$B$9*(1-COS(PI()*(($A294-Simulador!$E$5)/Simulador!$G$5)/Simulador!$B$11))/2,IF((($A294-Simulador!$E$5)/Simulador!$G$5)&gt;1-Simulador!$B$11,Simulador!$B$9*(1-COS(PI()*(1-(($A294-Simulador!$E$5)/Simulador!$G$5))/Simulador!$B$11))/2,Simulador!$B$9)))</f>
        <v>0</v>
      </c>
      <c r="C294" s="18">
        <f>IF(OR((($A294-Simulador!$E$6)/Simulador!$G$6)&lt;=0,(($A294-Simulador!$E$6)/Simulador!$G$6)&gt;=1),0,IF((($A294-Simulador!$E$6)/Simulador!$G$6)&lt;Simulador!$B$11,Simulador!$B$9*(1-COS(PI()*(($A294-Simulador!$E$6)/Simulador!$G$6)/Simulador!$B$11))/2,IF((($A294-Simulador!$E$6)/Simulador!$G$6)&gt;1-Simulador!$B$11,Simulador!$B$9*(1-COS(PI()*(1-(($A294-Simulador!$E$6)/Simulador!$G$6))/Simulador!$B$11))/2,Simulador!$B$9)))</f>
        <v>0</v>
      </c>
      <c r="D294" s="18">
        <f>IF(OR((($A294-Simulador!$E$7)/Simulador!$G$7)&lt;=0,(($A294-Simulador!$E$7)/Simulador!$G$7)&gt;=1),0,IF((($A294-Simulador!$E$7)/Simulador!$G$7)&lt;Simulador!$B$11,Simulador!$B$9*(1-COS(PI()*(($A294-Simulador!$E$7)/Simulador!$G$7)/Simulador!$B$11))/2,IF((($A294-Simulador!$E$7)/Simulador!$G$7)&gt;1-Simulador!$B$11,Simulador!$B$9*(1-COS(PI()*(1-(($A294-Simulador!$E$7)/Simulador!$G$7))/Simulador!$B$11))/2,Simulador!$B$9)))</f>
        <v>0</v>
      </c>
      <c r="E294" s="18">
        <f>IF(OR((($A294-Simulador!$E$8)/Simulador!$G$8)&lt;=0,(($A294-Simulador!$E$8)/Simulador!$G$8)&gt;=1),0,IF((($A294-Simulador!$E$8)/Simulador!$G$8)&lt;Simulador!$B$11,Simulador!$B$10*(1-COS(PI()*(($A294-Simulador!$E$8)/Simulador!$G$8)/Simulador!$B$11))/2,IF((($A294-Simulador!$E$8)/Simulador!$G$8)&gt;1-Simulador!$B$11,Simulador!$B$10*(1-COS(PI()*(1-(($A294-Simulador!$E$8)/Simulador!$G$8))/Simulador!$B$11))/2,Simulador!$B$10)))</f>
        <v>0</v>
      </c>
      <c r="F294" s="18">
        <f>IF(OR((($A294-Simulador!$E$9)/Simulador!$G$9)&lt;=0,(($A294-Simulador!$E$9)/Simulador!$G$9)&gt;=1),0,IF((($A294-Simulador!$E$9)/Simulador!$G$9)&lt;Simulador!$B$11,Simulador!$B$10*(1-COS(PI()*(($A294-Simulador!$E$9)/Simulador!$G$9)/Simulador!$B$11))/2,IF((($A294-Simulador!$E$9)/Simulador!$G$9)&gt;1-Simulador!$B$11,Simulador!$B$10*(1-COS(PI()*(1-(($A294-Simulador!$E$9)/Simulador!$G$9))/Simulador!$B$11))/2,Simulador!$B$10)))</f>
        <v>6.8299248455823913E-2</v>
      </c>
      <c r="G294" s="18">
        <f>IF(OR((($A294-Simulador!$E$10)/Simulador!$G$10)&lt;=0,(($A294-Simulador!$E$10)/Simulador!$G$10)&gt;=1),0,IF((($A294-Simulador!$E$10)/Simulador!$G$10)&lt;Simulador!$B$11,Simulador!$B$10*(1-COS(PI()*(($A294-Simulador!$E$10)/Simulador!$G$10)/Simulador!$B$11))/2,IF((($A294-Simulador!$E$10)/Simulador!$G$10)&gt;1-Simulador!$B$11,Simulador!$B$10*(1-COS(PI()*(1-(($A294-Simulador!$E$10)/Simulador!$G$10))/Simulador!$B$11))/2,Simulador!$B$10)))</f>
        <v>0.81167777390647289</v>
      </c>
    </row>
    <row r="295" spans="1:7" x14ac:dyDescent="0.25">
      <c r="A295" s="17">
        <f>A294+Simulador!$B$14</f>
        <v>586</v>
      </c>
      <c r="B295" s="18">
        <f>IF(OR((($A295-Simulador!$E$5)/Simulador!$G$5)&lt;=0,(($A295-Simulador!$E$5)/Simulador!$G$5)&gt;=1),0,IF((($A295-Simulador!$E$5)/Simulador!$G$5)&lt;Simulador!$B$11,Simulador!$B$9*(1-COS(PI()*(($A295-Simulador!$E$5)/Simulador!$G$5)/Simulador!$B$11))/2,IF((($A295-Simulador!$E$5)/Simulador!$G$5)&gt;1-Simulador!$B$11,Simulador!$B$9*(1-COS(PI()*(1-(($A295-Simulador!$E$5)/Simulador!$G$5))/Simulador!$B$11))/2,Simulador!$B$9)))</f>
        <v>0</v>
      </c>
      <c r="C295" s="18">
        <f>IF(OR((($A295-Simulador!$E$6)/Simulador!$G$6)&lt;=0,(($A295-Simulador!$E$6)/Simulador!$G$6)&gt;=1),0,IF((($A295-Simulador!$E$6)/Simulador!$G$6)&lt;Simulador!$B$11,Simulador!$B$9*(1-COS(PI()*(($A295-Simulador!$E$6)/Simulador!$G$6)/Simulador!$B$11))/2,IF((($A295-Simulador!$E$6)/Simulador!$G$6)&gt;1-Simulador!$B$11,Simulador!$B$9*(1-COS(PI()*(1-(($A295-Simulador!$E$6)/Simulador!$G$6))/Simulador!$B$11))/2,Simulador!$B$9)))</f>
        <v>0</v>
      </c>
      <c r="D295" s="18">
        <f>IF(OR((($A295-Simulador!$E$7)/Simulador!$G$7)&lt;=0,(($A295-Simulador!$E$7)/Simulador!$G$7)&gt;=1),0,IF((($A295-Simulador!$E$7)/Simulador!$G$7)&lt;Simulador!$B$11,Simulador!$B$9*(1-COS(PI()*(($A295-Simulador!$E$7)/Simulador!$G$7)/Simulador!$B$11))/2,IF((($A295-Simulador!$E$7)/Simulador!$G$7)&gt;1-Simulador!$B$11,Simulador!$B$9*(1-COS(PI()*(1-(($A295-Simulador!$E$7)/Simulador!$G$7))/Simulador!$B$11))/2,Simulador!$B$9)))</f>
        <v>0</v>
      </c>
      <c r="E295" s="18">
        <f>IF(OR((($A295-Simulador!$E$8)/Simulador!$G$8)&lt;=0,(($A295-Simulador!$E$8)/Simulador!$G$8)&gt;=1),0,IF((($A295-Simulador!$E$8)/Simulador!$G$8)&lt;Simulador!$B$11,Simulador!$B$10*(1-COS(PI()*(($A295-Simulador!$E$8)/Simulador!$G$8)/Simulador!$B$11))/2,IF((($A295-Simulador!$E$8)/Simulador!$G$8)&gt;1-Simulador!$B$11,Simulador!$B$10*(1-COS(PI()*(1-(($A295-Simulador!$E$8)/Simulador!$G$8))/Simulador!$B$11))/2,Simulador!$B$10)))</f>
        <v>0</v>
      </c>
      <c r="F295" s="18">
        <f>IF(OR((($A295-Simulador!$E$9)/Simulador!$G$9)&lt;=0,(($A295-Simulador!$E$9)/Simulador!$G$9)&gt;=1),0,IF((($A295-Simulador!$E$9)/Simulador!$G$9)&lt;Simulador!$B$11,Simulador!$B$10*(1-COS(PI()*(($A295-Simulador!$E$9)/Simulador!$G$9)/Simulador!$B$11))/2,IF((($A295-Simulador!$E$9)/Simulador!$G$9)&gt;1-Simulador!$B$11,Simulador!$B$10*(1-COS(PI()*(1-(($A295-Simulador!$E$9)/Simulador!$G$9))/Simulador!$B$11))/2,Simulador!$B$10)))</f>
        <v>3.0400563047191714E-2</v>
      </c>
      <c r="G295" s="18">
        <f>IF(OR((($A295-Simulador!$E$10)/Simulador!$G$10)&lt;=0,(($A295-Simulador!$E$10)/Simulador!$G$10)&gt;=1),0,IF((($A295-Simulador!$E$10)/Simulador!$G$10)&lt;Simulador!$B$11,Simulador!$B$10*(1-COS(PI()*(($A295-Simulador!$E$10)/Simulador!$G$10)/Simulador!$B$11))/2,IF((($A295-Simulador!$E$10)/Simulador!$G$10)&gt;1-Simulador!$B$11,Simulador!$B$10*(1-COS(PI()*(1-(($A295-Simulador!$E$10)/Simulador!$G$10))/Simulador!$B$11))/2,Simulador!$B$10)))</f>
        <v>0.66843592572033306</v>
      </c>
    </row>
    <row r="296" spans="1:7" x14ac:dyDescent="0.25">
      <c r="A296" s="17">
        <f>A295+Simulador!$B$14</f>
        <v>588</v>
      </c>
      <c r="B296" s="18">
        <f>IF(OR((($A296-Simulador!$E$5)/Simulador!$G$5)&lt;=0,(($A296-Simulador!$E$5)/Simulador!$G$5)&gt;=1),0,IF((($A296-Simulador!$E$5)/Simulador!$G$5)&lt;Simulador!$B$11,Simulador!$B$9*(1-COS(PI()*(($A296-Simulador!$E$5)/Simulador!$G$5)/Simulador!$B$11))/2,IF((($A296-Simulador!$E$5)/Simulador!$G$5)&gt;1-Simulador!$B$11,Simulador!$B$9*(1-COS(PI()*(1-(($A296-Simulador!$E$5)/Simulador!$G$5))/Simulador!$B$11))/2,Simulador!$B$9)))</f>
        <v>0</v>
      </c>
      <c r="C296" s="18">
        <f>IF(OR((($A296-Simulador!$E$6)/Simulador!$G$6)&lt;=0,(($A296-Simulador!$E$6)/Simulador!$G$6)&gt;=1),0,IF((($A296-Simulador!$E$6)/Simulador!$G$6)&lt;Simulador!$B$11,Simulador!$B$9*(1-COS(PI()*(($A296-Simulador!$E$6)/Simulador!$G$6)/Simulador!$B$11))/2,IF((($A296-Simulador!$E$6)/Simulador!$G$6)&gt;1-Simulador!$B$11,Simulador!$B$9*(1-COS(PI()*(1-(($A296-Simulador!$E$6)/Simulador!$G$6))/Simulador!$B$11))/2,Simulador!$B$9)))</f>
        <v>0</v>
      </c>
      <c r="D296" s="18">
        <f>IF(OR((($A296-Simulador!$E$7)/Simulador!$G$7)&lt;=0,(($A296-Simulador!$E$7)/Simulador!$G$7)&gt;=1),0,IF((($A296-Simulador!$E$7)/Simulador!$G$7)&lt;Simulador!$B$11,Simulador!$B$9*(1-COS(PI()*(($A296-Simulador!$E$7)/Simulador!$G$7)/Simulador!$B$11))/2,IF((($A296-Simulador!$E$7)/Simulador!$G$7)&gt;1-Simulador!$B$11,Simulador!$B$9*(1-COS(PI()*(1-(($A296-Simulador!$E$7)/Simulador!$G$7))/Simulador!$B$11))/2,Simulador!$B$9)))</f>
        <v>0</v>
      </c>
      <c r="E296" s="18">
        <f>IF(OR((($A296-Simulador!$E$8)/Simulador!$G$8)&lt;=0,(($A296-Simulador!$E$8)/Simulador!$G$8)&gt;=1),0,IF((($A296-Simulador!$E$8)/Simulador!$G$8)&lt;Simulador!$B$11,Simulador!$B$10*(1-COS(PI()*(($A296-Simulador!$E$8)/Simulador!$G$8)/Simulador!$B$11))/2,IF((($A296-Simulador!$E$8)/Simulador!$G$8)&gt;1-Simulador!$B$11,Simulador!$B$10*(1-COS(PI()*(1-(($A296-Simulador!$E$8)/Simulador!$G$8))/Simulador!$B$11))/2,Simulador!$B$10)))</f>
        <v>0</v>
      </c>
      <c r="F296" s="18">
        <f>IF(OR((($A296-Simulador!$E$9)/Simulador!$G$9)&lt;=0,(($A296-Simulador!$E$9)/Simulador!$G$9)&gt;=1),0,IF((($A296-Simulador!$E$9)/Simulador!$G$9)&lt;Simulador!$B$11,Simulador!$B$10*(1-COS(PI()*(($A296-Simulador!$E$9)/Simulador!$G$9)/Simulador!$B$11))/2,IF((($A296-Simulador!$E$9)/Simulador!$G$9)&gt;1-Simulador!$B$11,Simulador!$B$10*(1-COS(PI()*(1-(($A296-Simulador!$E$9)/Simulador!$G$9))/Simulador!$B$11))/2,Simulador!$B$10)))</f>
        <v>7.6069484871255921E-3</v>
      </c>
      <c r="G296" s="18">
        <f>IF(OR((($A296-Simulador!$E$10)/Simulador!$G$10)&lt;=0,(($A296-Simulador!$E$10)/Simulador!$G$10)&gt;=1),0,IF((($A296-Simulador!$E$10)/Simulador!$G$10)&lt;Simulador!$B$11,Simulador!$B$10*(1-COS(PI()*(($A296-Simulador!$E$10)/Simulador!$G$10)/Simulador!$B$11))/2,IF((($A296-Simulador!$E$10)/Simulador!$G$10)&gt;1-Simulador!$B$11,Simulador!$B$10*(1-COS(PI()*(1-(($A296-Simulador!$E$10)/Simulador!$G$10))/Simulador!$B$11))/2,Simulador!$B$10)))</f>
        <v>0.53801514737719758</v>
      </c>
    </row>
    <row r="297" spans="1:7" x14ac:dyDescent="0.25">
      <c r="A297" s="17">
        <f>A296+Simulador!$B$14</f>
        <v>590</v>
      </c>
      <c r="B297" s="18">
        <f>IF(OR((($A297-Simulador!$E$5)/Simulador!$G$5)&lt;=0,(($A297-Simulador!$E$5)/Simulador!$G$5)&gt;=1),0,IF((($A297-Simulador!$E$5)/Simulador!$G$5)&lt;Simulador!$B$11,Simulador!$B$9*(1-COS(PI()*(($A297-Simulador!$E$5)/Simulador!$G$5)/Simulador!$B$11))/2,IF((($A297-Simulador!$E$5)/Simulador!$G$5)&gt;1-Simulador!$B$11,Simulador!$B$9*(1-COS(PI()*(1-(($A297-Simulador!$E$5)/Simulador!$G$5))/Simulador!$B$11))/2,Simulador!$B$9)))</f>
        <v>0</v>
      </c>
      <c r="C297" s="18">
        <f>IF(OR((($A297-Simulador!$E$6)/Simulador!$G$6)&lt;=0,(($A297-Simulador!$E$6)/Simulador!$G$6)&gt;=1),0,IF((($A297-Simulador!$E$6)/Simulador!$G$6)&lt;Simulador!$B$11,Simulador!$B$9*(1-COS(PI()*(($A297-Simulador!$E$6)/Simulador!$G$6)/Simulador!$B$11))/2,IF((($A297-Simulador!$E$6)/Simulador!$G$6)&gt;1-Simulador!$B$11,Simulador!$B$9*(1-COS(PI()*(1-(($A297-Simulador!$E$6)/Simulador!$G$6))/Simulador!$B$11))/2,Simulador!$B$9)))</f>
        <v>0</v>
      </c>
      <c r="D297" s="18">
        <f>IF(OR((($A297-Simulador!$E$7)/Simulador!$G$7)&lt;=0,(($A297-Simulador!$E$7)/Simulador!$G$7)&gt;=1),0,IF((($A297-Simulador!$E$7)/Simulador!$G$7)&lt;Simulador!$B$11,Simulador!$B$9*(1-COS(PI()*(($A297-Simulador!$E$7)/Simulador!$G$7)/Simulador!$B$11))/2,IF((($A297-Simulador!$E$7)/Simulador!$G$7)&gt;1-Simulador!$B$11,Simulador!$B$9*(1-COS(PI()*(1-(($A297-Simulador!$E$7)/Simulador!$G$7))/Simulador!$B$11))/2,Simulador!$B$9)))</f>
        <v>0</v>
      </c>
      <c r="E297" s="18">
        <f>IF(OR((($A297-Simulador!$E$8)/Simulador!$G$8)&lt;=0,(($A297-Simulador!$E$8)/Simulador!$G$8)&gt;=1),0,IF((($A297-Simulador!$E$8)/Simulador!$G$8)&lt;Simulador!$B$11,Simulador!$B$10*(1-COS(PI()*(($A297-Simulador!$E$8)/Simulador!$G$8)/Simulador!$B$11))/2,IF((($A297-Simulador!$E$8)/Simulador!$G$8)&gt;1-Simulador!$B$11,Simulador!$B$10*(1-COS(PI()*(1-(($A297-Simulador!$E$8)/Simulador!$G$8))/Simulador!$B$11))/2,Simulador!$B$10)))</f>
        <v>0</v>
      </c>
      <c r="F297" s="18">
        <f>IF(OR((($A297-Simulador!$E$9)/Simulador!$G$9)&lt;=0,(($A297-Simulador!$E$9)/Simulador!$G$9)&gt;=1),0,IF((($A297-Simulador!$E$9)/Simulador!$G$9)&lt;Simulador!$B$11,Simulador!$B$10*(1-COS(PI()*(($A297-Simulador!$E$9)/Simulador!$G$9)/Simulador!$B$11))/2,IF((($A297-Simulador!$E$9)/Simulador!$G$9)&gt;1-Simulador!$B$11,Simulador!$B$10*(1-COS(PI()*(1-(($A297-Simulador!$E$9)/Simulador!$G$9))/Simulador!$B$11))/2,Simulador!$B$10)))</f>
        <v>0</v>
      </c>
      <c r="G297" s="18">
        <f>IF(OR((($A297-Simulador!$E$10)/Simulador!$G$10)&lt;=0,(($A297-Simulador!$E$10)/Simulador!$G$10)&gt;=1),0,IF((($A297-Simulador!$E$10)/Simulador!$G$10)&lt;Simulador!$B$11,Simulador!$B$10*(1-COS(PI()*(($A297-Simulador!$E$10)/Simulador!$G$10)/Simulador!$B$11))/2,IF((($A297-Simulador!$E$10)/Simulador!$G$10)&gt;1-Simulador!$B$11,Simulador!$B$10*(1-COS(PI()*(1-(($A297-Simulador!$E$10)/Simulador!$G$10))/Simulador!$B$11))/2,Simulador!$B$10)))</f>
        <v>0.42088231141471955</v>
      </c>
    </row>
    <row r="298" spans="1:7" x14ac:dyDescent="0.25">
      <c r="A298" s="17">
        <f>A297+Simulador!$B$14</f>
        <v>592</v>
      </c>
      <c r="B298" s="18">
        <f>IF(OR((($A298-Simulador!$E$5)/Simulador!$G$5)&lt;=0,(($A298-Simulador!$E$5)/Simulador!$G$5)&gt;=1),0,IF((($A298-Simulador!$E$5)/Simulador!$G$5)&lt;Simulador!$B$11,Simulador!$B$9*(1-COS(PI()*(($A298-Simulador!$E$5)/Simulador!$G$5)/Simulador!$B$11))/2,IF((($A298-Simulador!$E$5)/Simulador!$G$5)&gt;1-Simulador!$B$11,Simulador!$B$9*(1-COS(PI()*(1-(($A298-Simulador!$E$5)/Simulador!$G$5))/Simulador!$B$11))/2,Simulador!$B$9)))</f>
        <v>0</v>
      </c>
      <c r="C298" s="18">
        <f>IF(OR((($A298-Simulador!$E$6)/Simulador!$G$6)&lt;=0,(($A298-Simulador!$E$6)/Simulador!$G$6)&gt;=1),0,IF((($A298-Simulador!$E$6)/Simulador!$G$6)&lt;Simulador!$B$11,Simulador!$B$9*(1-COS(PI()*(($A298-Simulador!$E$6)/Simulador!$G$6)/Simulador!$B$11))/2,IF((($A298-Simulador!$E$6)/Simulador!$G$6)&gt;1-Simulador!$B$11,Simulador!$B$9*(1-COS(PI()*(1-(($A298-Simulador!$E$6)/Simulador!$G$6))/Simulador!$B$11))/2,Simulador!$B$9)))</f>
        <v>0</v>
      </c>
      <c r="D298" s="18">
        <f>IF(OR((($A298-Simulador!$E$7)/Simulador!$G$7)&lt;=0,(($A298-Simulador!$E$7)/Simulador!$G$7)&gt;=1),0,IF((($A298-Simulador!$E$7)/Simulador!$G$7)&lt;Simulador!$B$11,Simulador!$B$9*(1-COS(PI()*(($A298-Simulador!$E$7)/Simulador!$G$7)/Simulador!$B$11))/2,IF((($A298-Simulador!$E$7)/Simulador!$G$7)&gt;1-Simulador!$B$11,Simulador!$B$9*(1-COS(PI()*(1-(($A298-Simulador!$E$7)/Simulador!$G$7))/Simulador!$B$11))/2,Simulador!$B$9)))</f>
        <v>0</v>
      </c>
      <c r="E298" s="18">
        <f>IF(OR((($A298-Simulador!$E$8)/Simulador!$G$8)&lt;=0,(($A298-Simulador!$E$8)/Simulador!$G$8)&gt;=1),0,IF((($A298-Simulador!$E$8)/Simulador!$G$8)&lt;Simulador!$B$11,Simulador!$B$10*(1-COS(PI()*(($A298-Simulador!$E$8)/Simulador!$G$8)/Simulador!$B$11))/2,IF((($A298-Simulador!$E$8)/Simulador!$G$8)&gt;1-Simulador!$B$11,Simulador!$B$10*(1-COS(PI()*(1-(($A298-Simulador!$E$8)/Simulador!$G$8))/Simulador!$B$11))/2,Simulador!$B$10)))</f>
        <v>0</v>
      </c>
      <c r="F298" s="18">
        <f>IF(OR((($A298-Simulador!$E$9)/Simulador!$G$9)&lt;=0,(($A298-Simulador!$E$9)/Simulador!$G$9)&gt;=1),0,IF((($A298-Simulador!$E$9)/Simulador!$G$9)&lt;Simulador!$B$11,Simulador!$B$10*(1-COS(PI()*(($A298-Simulador!$E$9)/Simulador!$G$9)/Simulador!$B$11))/2,IF((($A298-Simulador!$E$9)/Simulador!$G$9)&gt;1-Simulador!$B$11,Simulador!$B$10*(1-COS(PI()*(1-(($A298-Simulador!$E$9)/Simulador!$G$9))/Simulador!$B$11))/2,Simulador!$B$10)))</f>
        <v>0</v>
      </c>
      <c r="G298" s="18">
        <f>IF(OR((($A298-Simulador!$E$10)/Simulador!$G$10)&lt;=0,(($A298-Simulador!$E$10)/Simulador!$G$10)&gt;=1),0,IF((($A298-Simulador!$E$10)/Simulador!$G$10)&lt;Simulador!$B$11,Simulador!$B$10*(1-COS(PI()*(($A298-Simulador!$E$10)/Simulador!$G$10)/Simulador!$B$11))/2,IF((($A298-Simulador!$E$10)/Simulador!$G$10)&gt;1-Simulador!$B$11,Simulador!$B$10*(1-COS(PI()*(1-(($A298-Simulador!$E$10)/Simulador!$G$10))/Simulador!$B$11))/2,Simulador!$B$10)))</f>
        <v>0.31745672298551453</v>
      </c>
    </row>
    <row r="299" spans="1:7" x14ac:dyDescent="0.25">
      <c r="A299" s="17">
        <f>A298+Simulador!$B$14</f>
        <v>594</v>
      </c>
      <c r="B299" s="18">
        <f>IF(OR((($A299-Simulador!$E$5)/Simulador!$G$5)&lt;=0,(($A299-Simulador!$E$5)/Simulador!$G$5)&gt;=1),0,IF((($A299-Simulador!$E$5)/Simulador!$G$5)&lt;Simulador!$B$11,Simulador!$B$9*(1-COS(PI()*(($A299-Simulador!$E$5)/Simulador!$G$5)/Simulador!$B$11))/2,IF((($A299-Simulador!$E$5)/Simulador!$G$5)&gt;1-Simulador!$B$11,Simulador!$B$9*(1-COS(PI()*(1-(($A299-Simulador!$E$5)/Simulador!$G$5))/Simulador!$B$11))/2,Simulador!$B$9)))</f>
        <v>0</v>
      </c>
      <c r="C299" s="18">
        <f>IF(OR((($A299-Simulador!$E$6)/Simulador!$G$6)&lt;=0,(($A299-Simulador!$E$6)/Simulador!$G$6)&gt;=1),0,IF((($A299-Simulador!$E$6)/Simulador!$G$6)&lt;Simulador!$B$11,Simulador!$B$9*(1-COS(PI()*(($A299-Simulador!$E$6)/Simulador!$G$6)/Simulador!$B$11))/2,IF((($A299-Simulador!$E$6)/Simulador!$G$6)&gt;1-Simulador!$B$11,Simulador!$B$9*(1-COS(PI()*(1-(($A299-Simulador!$E$6)/Simulador!$G$6))/Simulador!$B$11))/2,Simulador!$B$9)))</f>
        <v>0</v>
      </c>
      <c r="D299" s="18">
        <f>IF(OR((($A299-Simulador!$E$7)/Simulador!$G$7)&lt;=0,(($A299-Simulador!$E$7)/Simulador!$G$7)&gt;=1),0,IF((($A299-Simulador!$E$7)/Simulador!$G$7)&lt;Simulador!$B$11,Simulador!$B$9*(1-COS(PI()*(($A299-Simulador!$E$7)/Simulador!$G$7)/Simulador!$B$11))/2,IF((($A299-Simulador!$E$7)/Simulador!$G$7)&gt;1-Simulador!$B$11,Simulador!$B$9*(1-COS(PI()*(1-(($A299-Simulador!$E$7)/Simulador!$G$7))/Simulador!$B$11))/2,Simulador!$B$9)))</f>
        <v>0</v>
      </c>
      <c r="E299" s="18">
        <f>IF(OR((($A299-Simulador!$E$8)/Simulador!$G$8)&lt;=0,(($A299-Simulador!$E$8)/Simulador!$G$8)&gt;=1),0,IF((($A299-Simulador!$E$8)/Simulador!$G$8)&lt;Simulador!$B$11,Simulador!$B$10*(1-COS(PI()*(($A299-Simulador!$E$8)/Simulador!$G$8)/Simulador!$B$11))/2,IF((($A299-Simulador!$E$8)/Simulador!$G$8)&gt;1-Simulador!$B$11,Simulador!$B$10*(1-COS(PI()*(1-(($A299-Simulador!$E$8)/Simulador!$G$8))/Simulador!$B$11))/2,Simulador!$B$10)))</f>
        <v>0</v>
      </c>
      <c r="F299" s="18">
        <f>IF(OR((($A299-Simulador!$E$9)/Simulador!$G$9)&lt;=0,(($A299-Simulador!$E$9)/Simulador!$G$9)&gt;=1),0,IF((($A299-Simulador!$E$9)/Simulador!$G$9)&lt;Simulador!$B$11,Simulador!$B$10*(1-COS(PI()*(($A299-Simulador!$E$9)/Simulador!$G$9)/Simulador!$B$11))/2,IF((($A299-Simulador!$E$9)/Simulador!$G$9)&gt;1-Simulador!$B$11,Simulador!$B$10*(1-COS(PI()*(1-(($A299-Simulador!$E$9)/Simulador!$G$9))/Simulador!$B$11))/2,Simulador!$B$10)))</f>
        <v>0</v>
      </c>
      <c r="G299" s="18">
        <f>IF(OR((($A299-Simulador!$E$10)/Simulador!$G$10)&lt;=0,(($A299-Simulador!$E$10)/Simulador!$G$10)&gt;=1),0,IF((($A299-Simulador!$E$10)/Simulador!$G$10)&lt;Simulador!$B$11,Simulador!$B$10*(1-COS(PI()*(($A299-Simulador!$E$10)/Simulador!$G$10)/Simulador!$B$11))/2,IF((($A299-Simulador!$E$10)/Simulador!$G$10)&gt;1-Simulador!$B$11,Simulador!$B$10*(1-COS(PI()*(1-(($A299-Simulador!$E$10)/Simulador!$G$10))/Simulador!$B$11))/2,Simulador!$B$10)))</f>
        <v>0.22810861885355238</v>
      </c>
    </row>
    <row r="300" spans="1:7" x14ac:dyDescent="0.25">
      <c r="A300" s="17">
        <f>A299+Simulador!$B$14</f>
        <v>596</v>
      </c>
      <c r="B300" s="18">
        <f>IF(OR((($A300-Simulador!$E$5)/Simulador!$G$5)&lt;=0,(($A300-Simulador!$E$5)/Simulador!$G$5)&gt;=1),0,IF((($A300-Simulador!$E$5)/Simulador!$G$5)&lt;Simulador!$B$11,Simulador!$B$9*(1-COS(PI()*(($A300-Simulador!$E$5)/Simulador!$G$5)/Simulador!$B$11))/2,IF((($A300-Simulador!$E$5)/Simulador!$G$5)&gt;1-Simulador!$B$11,Simulador!$B$9*(1-COS(PI()*(1-(($A300-Simulador!$E$5)/Simulador!$G$5))/Simulador!$B$11))/2,Simulador!$B$9)))</f>
        <v>0</v>
      </c>
      <c r="C300" s="18">
        <f>IF(OR((($A300-Simulador!$E$6)/Simulador!$G$6)&lt;=0,(($A300-Simulador!$E$6)/Simulador!$G$6)&gt;=1),0,IF((($A300-Simulador!$E$6)/Simulador!$G$6)&lt;Simulador!$B$11,Simulador!$B$9*(1-COS(PI()*(($A300-Simulador!$E$6)/Simulador!$G$6)/Simulador!$B$11))/2,IF((($A300-Simulador!$E$6)/Simulador!$G$6)&gt;1-Simulador!$B$11,Simulador!$B$9*(1-COS(PI()*(1-(($A300-Simulador!$E$6)/Simulador!$G$6))/Simulador!$B$11))/2,Simulador!$B$9)))</f>
        <v>0</v>
      </c>
      <c r="D300" s="18">
        <f>IF(OR((($A300-Simulador!$E$7)/Simulador!$G$7)&lt;=0,(($A300-Simulador!$E$7)/Simulador!$G$7)&gt;=1),0,IF((($A300-Simulador!$E$7)/Simulador!$G$7)&lt;Simulador!$B$11,Simulador!$B$9*(1-COS(PI()*(($A300-Simulador!$E$7)/Simulador!$G$7)/Simulador!$B$11))/2,IF((($A300-Simulador!$E$7)/Simulador!$G$7)&gt;1-Simulador!$B$11,Simulador!$B$9*(1-COS(PI()*(1-(($A300-Simulador!$E$7)/Simulador!$G$7))/Simulador!$B$11))/2,Simulador!$B$9)))</f>
        <v>0</v>
      </c>
      <c r="E300" s="18">
        <f>IF(OR((($A300-Simulador!$E$8)/Simulador!$G$8)&lt;=0,(($A300-Simulador!$E$8)/Simulador!$G$8)&gt;=1),0,IF((($A300-Simulador!$E$8)/Simulador!$G$8)&lt;Simulador!$B$11,Simulador!$B$10*(1-COS(PI()*(($A300-Simulador!$E$8)/Simulador!$G$8)/Simulador!$B$11))/2,IF((($A300-Simulador!$E$8)/Simulador!$G$8)&gt;1-Simulador!$B$11,Simulador!$B$10*(1-COS(PI()*(1-(($A300-Simulador!$E$8)/Simulador!$G$8))/Simulador!$B$11))/2,Simulador!$B$10)))</f>
        <v>0</v>
      </c>
      <c r="F300" s="18">
        <f>IF(OR((($A300-Simulador!$E$9)/Simulador!$G$9)&lt;=0,(($A300-Simulador!$E$9)/Simulador!$G$9)&gt;=1),0,IF((($A300-Simulador!$E$9)/Simulador!$G$9)&lt;Simulador!$B$11,Simulador!$B$10*(1-COS(PI()*(($A300-Simulador!$E$9)/Simulador!$G$9)/Simulador!$B$11))/2,IF((($A300-Simulador!$E$9)/Simulador!$G$9)&gt;1-Simulador!$B$11,Simulador!$B$10*(1-COS(PI()*(1-(($A300-Simulador!$E$9)/Simulador!$G$9))/Simulador!$B$11))/2,Simulador!$B$10)))</f>
        <v>0</v>
      </c>
      <c r="G300" s="18">
        <f>IF(OR((($A300-Simulador!$E$10)/Simulador!$G$10)&lt;=0,(($A300-Simulador!$E$10)/Simulador!$G$10)&gt;=1),0,IF((($A300-Simulador!$E$10)/Simulador!$G$10)&lt;Simulador!$B$11,Simulador!$B$10*(1-COS(PI()*(($A300-Simulador!$E$10)/Simulador!$G$10)/Simulador!$B$11))/2,IF((($A300-Simulador!$E$10)/Simulador!$G$10)&gt;1-Simulador!$B$11,Simulador!$B$10*(1-COS(PI()*(1-(($A300-Simulador!$E$10)/Simulador!$G$10))/Simulador!$B$11))/2,Simulador!$B$10)))</f>
        <v>0.15315784204262373</v>
      </c>
    </row>
    <row r="301" spans="1:7" x14ac:dyDescent="0.25">
      <c r="A301" s="17">
        <f>A300+Simulador!$B$14</f>
        <v>598</v>
      </c>
      <c r="B301" s="18">
        <f>IF(OR((($A301-Simulador!$E$5)/Simulador!$G$5)&lt;=0,(($A301-Simulador!$E$5)/Simulador!$G$5)&gt;=1),0,IF((($A301-Simulador!$E$5)/Simulador!$G$5)&lt;Simulador!$B$11,Simulador!$B$9*(1-COS(PI()*(($A301-Simulador!$E$5)/Simulador!$G$5)/Simulador!$B$11))/2,IF((($A301-Simulador!$E$5)/Simulador!$G$5)&gt;1-Simulador!$B$11,Simulador!$B$9*(1-COS(PI()*(1-(($A301-Simulador!$E$5)/Simulador!$G$5))/Simulador!$B$11))/2,Simulador!$B$9)))</f>
        <v>0</v>
      </c>
      <c r="C301" s="18">
        <f>IF(OR((($A301-Simulador!$E$6)/Simulador!$G$6)&lt;=0,(($A301-Simulador!$E$6)/Simulador!$G$6)&gt;=1),0,IF((($A301-Simulador!$E$6)/Simulador!$G$6)&lt;Simulador!$B$11,Simulador!$B$9*(1-COS(PI()*(($A301-Simulador!$E$6)/Simulador!$G$6)/Simulador!$B$11))/2,IF((($A301-Simulador!$E$6)/Simulador!$G$6)&gt;1-Simulador!$B$11,Simulador!$B$9*(1-COS(PI()*(1-(($A301-Simulador!$E$6)/Simulador!$G$6))/Simulador!$B$11))/2,Simulador!$B$9)))</f>
        <v>0</v>
      </c>
      <c r="D301" s="18">
        <f>IF(OR((($A301-Simulador!$E$7)/Simulador!$G$7)&lt;=0,(($A301-Simulador!$E$7)/Simulador!$G$7)&gt;=1),0,IF((($A301-Simulador!$E$7)/Simulador!$G$7)&lt;Simulador!$B$11,Simulador!$B$9*(1-COS(PI()*(($A301-Simulador!$E$7)/Simulador!$G$7)/Simulador!$B$11))/2,IF((($A301-Simulador!$E$7)/Simulador!$G$7)&gt;1-Simulador!$B$11,Simulador!$B$9*(1-COS(PI()*(1-(($A301-Simulador!$E$7)/Simulador!$G$7))/Simulador!$B$11))/2,Simulador!$B$9)))</f>
        <v>0</v>
      </c>
      <c r="E301" s="18">
        <f>IF(OR((($A301-Simulador!$E$8)/Simulador!$G$8)&lt;=0,(($A301-Simulador!$E$8)/Simulador!$G$8)&gt;=1),0,IF((($A301-Simulador!$E$8)/Simulador!$G$8)&lt;Simulador!$B$11,Simulador!$B$10*(1-COS(PI()*(($A301-Simulador!$E$8)/Simulador!$G$8)/Simulador!$B$11))/2,IF((($A301-Simulador!$E$8)/Simulador!$G$8)&gt;1-Simulador!$B$11,Simulador!$B$10*(1-COS(PI()*(1-(($A301-Simulador!$E$8)/Simulador!$G$8))/Simulador!$B$11))/2,Simulador!$B$10)))</f>
        <v>0</v>
      </c>
      <c r="F301" s="18">
        <f>IF(OR((($A301-Simulador!$E$9)/Simulador!$G$9)&lt;=0,(($A301-Simulador!$E$9)/Simulador!$G$9)&gt;=1),0,IF((($A301-Simulador!$E$9)/Simulador!$G$9)&lt;Simulador!$B$11,Simulador!$B$10*(1-COS(PI()*(($A301-Simulador!$E$9)/Simulador!$G$9)/Simulador!$B$11))/2,IF((($A301-Simulador!$E$9)/Simulador!$G$9)&gt;1-Simulador!$B$11,Simulador!$B$10*(1-COS(PI()*(1-(($A301-Simulador!$E$9)/Simulador!$G$9))/Simulador!$B$11))/2,Simulador!$B$10)))</f>
        <v>0</v>
      </c>
      <c r="G301" s="18">
        <f>IF(OR((($A301-Simulador!$E$10)/Simulador!$G$10)&lt;=0,(($A301-Simulador!$E$10)/Simulador!$G$10)&gt;=1),0,IF((($A301-Simulador!$E$10)/Simulador!$G$10)&lt;Simulador!$B$11,Simulador!$B$10*(1-COS(PI()*(($A301-Simulador!$E$10)/Simulador!$G$10)/Simulador!$B$11))/2,IF((($A301-Simulador!$E$10)/Simulador!$G$10)&gt;1-Simulador!$B$11,Simulador!$B$10*(1-COS(PI()*(1-(($A301-Simulador!$E$10)/Simulador!$G$10))/Simulador!$B$11))/2,Simulador!$B$10)))</f>
        <v>9.2872696881326294E-2</v>
      </c>
    </row>
    <row r="302" spans="1:7" x14ac:dyDescent="0.25">
      <c r="A302" s="17">
        <f>A301+Simulador!$B$14</f>
        <v>600</v>
      </c>
      <c r="B302" s="18">
        <f>IF(OR((($A302-Simulador!$E$5)/Simulador!$G$5)&lt;=0,(($A302-Simulador!$E$5)/Simulador!$G$5)&gt;=1),0,IF((($A302-Simulador!$E$5)/Simulador!$G$5)&lt;Simulador!$B$11,Simulador!$B$9*(1-COS(PI()*(($A302-Simulador!$E$5)/Simulador!$G$5)/Simulador!$B$11))/2,IF((($A302-Simulador!$E$5)/Simulador!$G$5)&gt;1-Simulador!$B$11,Simulador!$B$9*(1-COS(PI()*(1-(($A302-Simulador!$E$5)/Simulador!$G$5))/Simulador!$B$11))/2,Simulador!$B$9)))</f>
        <v>0</v>
      </c>
      <c r="C302" s="18">
        <f>IF(OR((($A302-Simulador!$E$6)/Simulador!$G$6)&lt;=0,(($A302-Simulador!$E$6)/Simulador!$G$6)&gt;=1),0,IF((($A302-Simulador!$E$6)/Simulador!$G$6)&lt;Simulador!$B$11,Simulador!$B$9*(1-COS(PI()*(($A302-Simulador!$E$6)/Simulador!$G$6)/Simulador!$B$11))/2,IF((($A302-Simulador!$E$6)/Simulador!$G$6)&gt;1-Simulador!$B$11,Simulador!$B$9*(1-COS(PI()*(1-(($A302-Simulador!$E$6)/Simulador!$G$6))/Simulador!$B$11))/2,Simulador!$B$9)))</f>
        <v>0</v>
      </c>
      <c r="D302" s="18">
        <f>IF(OR((($A302-Simulador!$E$7)/Simulador!$G$7)&lt;=0,(($A302-Simulador!$E$7)/Simulador!$G$7)&gt;=1),0,IF((($A302-Simulador!$E$7)/Simulador!$G$7)&lt;Simulador!$B$11,Simulador!$B$9*(1-COS(PI()*(($A302-Simulador!$E$7)/Simulador!$G$7)/Simulador!$B$11))/2,IF((($A302-Simulador!$E$7)/Simulador!$G$7)&gt;1-Simulador!$B$11,Simulador!$B$9*(1-COS(PI()*(1-(($A302-Simulador!$E$7)/Simulador!$G$7))/Simulador!$B$11))/2,Simulador!$B$9)))</f>
        <v>0</v>
      </c>
      <c r="E302" s="18">
        <f>IF(OR((($A302-Simulador!$E$8)/Simulador!$G$8)&lt;=0,(($A302-Simulador!$E$8)/Simulador!$G$8)&gt;=1),0,IF((($A302-Simulador!$E$8)/Simulador!$G$8)&lt;Simulador!$B$11,Simulador!$B$10*(1-COS(PI()*(($A302-Simulador!$E$8)/Simulador!$G$8)/Simulador!$B$11))/2,IF((($A302-Simulador!$E$8)/Simulador!$G$8)&gt;1-Simulador!$B$11,Simulador!$B$10*(1-COS(PI()*(1-(($A302-Simulador!$E$8)/Simulador!$G$8))/Simulador!$B$11))/2,Simulador!$B$10)))</f>
        <v>0</v>
      </c>
      <c r="F302" s="18">
        <f>IF(OR((($A302-Simulador!$E$9)/Simulador!$G$9)&lt;=0,(($A302-Simulador!$E$9)/Simulador!$G$9)&gt;=1),0,IF((($A302-Simulador!$E$9)/Simulador!$G$9)&lt;Simulador!$B$11,Simulador!$B$10*(1-COS(PI()*(($A302-Simulador!$E$9)/Simulador!$G$9)/Simulador!$B$11))/2,IF((($A302-Simulador!$E$9)/Simulador!$G$9)&gt;1-Simulador!$B$11,Simulador!$B$10*(1-COS(PI()*(1-(($A302-Simulador!$E$9)/Simulador!$G$9))/Simulador!$B$11))/2,Simulador!$B$10)))</f>
        <v>0</v>
      </c>
      <c r="G302" s="18">
        <f>IF(OR((($A302-Simulador!$E$10)/Simulador!$G$10)&lt;=0,(($A302-Simulador!$E$10)/Simulador!$G$10)&gt;=1),0,IF((($A302-Simulador!$E$10)/Simulador!$G$10)&lt;Simulador!$B$11,Simulador!$B$10*(1-COS(PI()*(($A302-Simulador!$E$10)/Simulador!$G$10)/Simulador!$B$11))/2,IF((($A302-Simulador!$E$10)/Simulador!$G$10)&gt;1-Simulador!$B$11,Simulador!$B$10*(1-COS(PI()*(1-(($A302-Simulador!$E$10)/Simulador!$G$10))/Simulador!$B$11))/2,Simulador!$B$10)))</f>
        <v>4.7468988543203777E-2</v>
      </c>
    </row>
    <row r="303" spans="1:7" x14ac:dyDescent="0.25">
      <c r="A303" s="17">
        <f>A302+Simulador!$B$14</f>
        <v>602</v>
      </c>
      <c r="B303" s="18">
        <f>IF(OR((($A303-Simulador!$E$5)/Simulador!$G$5)&lt;=0,(($A303-Simulador!$E$5)/Simulador!$G$5)&gt;=1),0,IF((($A303-Simulador!$E$5)/Simulador!$G$5)&lt;Simulador!$B$11,Simulador!$B$9*(1-COS(PI()*(($A303-Simulador!$E$5)/Simulador!$G$5)/Simulador!$B$11))/2,IF((($A303-Simulador!$E$5)/Simulador!$G$5)&gt;1-Simulador!$B$11,Simulador!$B$9*(1-COS(PI()*(1-(($A303-Simulador!$E$5)/Simulador!$G$5))/Simulador!$B$11))/2,Simulador!$B$9)))</f>
        <v>0</v>
      </c>
      <c r="C303" s="18">
        <f>IF(OR((($A303-Simulador!$E$6)/Simulador!$G$6)&lt;=0,(($A303-Simulador!$E$6)/Simulador!$G$6)&gt;=1),0,IF((($A303-Simulador!$E$6)/Simulador!$G$6)&lt;Simulador!$B$11,Simulador!$B$9*(1-COS(PI()*(($A303-Simulador!$E$6)/Simulador!$G$6)/Simulador!$B$11))/2,IF((($A303-Simulador!$E$6)/Simulador!$G$6)&gt;1-Simulador!$B$11,Simulador!$B$9*(1-COS(PI()*(1-(($A303-Simulador!$E$6)/Simulador!$G$6))/Simulador!$B$11))/2,Simulador!$B$9)))</f>
        <v>0</v>
      </c>
      <c r="D303" s="18">
        <f>IF(OR((($A303-Simulador!$E$7)/Simulador!$G$7)&lt;=0,(($A303-Simulador!$E$7)/Simulador!$G$7)&gt;=1),0,IF((($A303-Simulador!$E$7)/Simulador!$G$7)&lt;Simulador!$B$11,Simulador!$B$9*(1-COS(PI()*(($A303-Simulador!$E$7)/Simulador!$G$7)/Simulador!$B$11))/2,IF((($A303-Simulador!$E$7)/Simulador!$G$7)&gt;1-Simulador!$B$11,Simulador!$B$9*(1-COS(PI()*(1-(($A303-Simulador!$E$7)/Simulador!$G$7))/Simulador!$B$11))/2,Simulador!$B$9)))</f>
        <v>0</v>
      </c>
      <c r="E303" s="18">
        <f>IF(OR((($A303-Simulador!$E$8)/Simulador!$G$8)&lt;=0,(($A303-Simulador!$E$8)/Simulador!$G$8)&gt;=1),0,IF((($A303-Simulador!$E$8)/Simulador!$G$8)&lt;Simulador!$B$11,Simulador!$B$10*(1-COS(PI()*(($A303-Simulador!$E$8)/Simulador!$G$8)/Simulador!$B$11))/2,IF((($A303-Simulador!$E$8)/Simulador!$G$8)&gt;1-Simulador!$B$11,Simulador!$B$10*(1-COS(PI()*(1-(($A303-Simulador!$E$8)/Simulador!$G$8))/Simulador!$B$11))/2,Simulador!$B$10)))</f>
        <v>0</v>
      </c>
      <c r="F303" s="18">
        <f>IF(OR((($A303-Simulador!$E$9)/Simulador!$G$9)&lt;=0,(($A303-Simulador!$E$9)/Simulador!$G$9)&gt;=1),0,IF((($A303-Simulador!$E$9)/Simulador!$G$9)&lt;Simulador!$B$11,Simulador!$B$10*(1-COS(PI()*(($A303-Simulador!$E$9)/Simulador!$G$9)/Simulador!$B$11))/2,IF((($A303-Simulador!$E$9)/Simulador!$G$9)&gt;1-Simulador!$B$11,Simulador!$B$10*(1-COS(PI()*(1-(($A303-Simulador!$E$9)/Simulador!$G$9))/Simulador!$B$11))/2,Simulador!$B$10)))</f>
        <v>0</v>
      </c>
      <c r="G303" s="18">
        <f>IF(OR((($A303-Simulador!$E$10)/Simulador!$G$10)&lt;=0,(($A303-Simulador!$E$10)/Simulador!$G$10)&gt;=1),0,IF((($A303-Simulador!$E$10)/Simulador!$G$10)&lt;Simulador!$B$11,Simulador!$B$10*(1-COS(PI()*(($A303-Simulador!$E$10)/Simulador!$G$10)/Simulador!$B$11))/2,IF((($A303-Simulador!$E$10)/Simulador!$G$10)&gt;1-Simulador!$B$11,Simulador!$B$10*(1-COS(PI()*(1-(($A303-Simulador!$E$10)/Simulador!$G$10))/Simulador!$B$11))/2,Simulador!$B$10)))</f>
        <v>1.710925052023396E-2</v>
      </c>
    </row>
    <row r="304" spans="1:7" x14ac:dyDescent="0.25">
      <c r="A304" s="17">
        <f>A303+Simulador!$B$14</f>
        <v>604</v>
      </c>
      <c r="B304" s="18">
        <f>IF(OR((($A304-Simulador!$E$5)/Simulador!$G$5)&lt;=0,(($A304-Simulador!$E$5)/Simulador!$G$5)&gt;=1),0,IF((($A304-Simulador!$E$5)/Simulador!$G$5)&lt;Simulador!$B$11,Simulador!$B$9*(1-COS(PI()*(($A304-Simulador!$E$5)/Simulador!$G$5)/Simulador!$B$11))/2,IF((($A304-Simulador!$E$5)/Simulador!$G$5)&gt;1-Simulador!$B$11,Simulador!$B$9*(1-COS(PI()*(1-(($A304-Simulador!$E$5)/Simulador!$G$5))/Simulador!$B$11))/2,Simulador!$B$9)))</f>
        <v>0</v>
      </c>
      <c r="C304" s="18">
        <f>IF(OR((($A304-Simulador!$E$6)/Simulador!$G$6)&lt;=0,(($A304-Simulador!$E$6)/Simulador!$G$6)&gt;=1),0,IF((($A304-Simulador!$E$6)/Simulador!$G$6)&lt;Simulador!$B$11,Simulador!$B$9*(1-COS(PI()*(($A304-Simulador!$E$6)/Simulador!$G$6)/Simulador!$B$11))/2,IF((($A304-Simulador!$E$6)/Simulador!$G$6)&gt;1-Simulador!$B$11,Simulador!$B$9*(1-COS(PI()*(1-(($A304-Simulador!$E$6)/Simulador!$G$6))/Simulador!$B$11))/2,Simulador!$B$9)))</f>
        <v>0</v>
      </c>
      <c r="D304" s="18">
        <f>IF(OR((($A304-Simulador!$E$7)/Simulador!$G$7)&lt;=0,(($A304-Simulador!$E$7)/Simulador!$G$7)&gt;=1),0,IF((($A304-Simulador!$E$7)/Simulador!$G$7)&lt;Simulador!$B$11,Simulador!$B$9*(1-COS(PI()*(($A304-Simulador!$E$7)/Simulador!$G$7)/Simulador!$B$11))/2,IF((($A304-Simulador!$E$7)/Simulador!$G$7)&gt;1-Simulador!$B$11,Simulador!$B$9*(1-COS(PI()*(1-(($A304-Simulador!$E$7)/Simulador!$G$7))/Simulador!$B$11))/2,Simulador!$B$9)))</f>
        <v>0</v>
      </c>
      <c r="E304" s="18">
        <f>IF(OR((($A304-Simulador!$E$8)/Simulador!$G$8)&lt;=0,(($A304-Simulador!$E$8)/Simulador!$G$8)&gt;=1),0,IF((($A304-Simulador!$E$8)/Simulador!$G$8)&lt;Simulador!$B$11,Simulador!$B$10*(1-COS(PI()*(($A304-Simulador!$E$8)/Simulador!$G$8)/Simulador!$B$11))/2,IF((($A304-Simulador!$E$8)/Simulador!$G$8)&gt;1-Simulador!$B$11,Simulador!$B$10*(1-COS(PI()*(1-(($A304-Simulador!$E$8)/Simulador!$G$8))/Simulador!$B$11))/2,Simulador!$B$10)))</f>
        <v>0</v>
      </c>
      <c r="F304" s="18">
        <f>IF(OR((($A304-Simulador!$E$9)/Simulador!$G$9)&lt;=0,(($A304-Simulador!$E$9)/Simulador!$G$9)&gt;=1),0,IF((($A304-Simulador!$E$9)/Simulador!$G$9)&lt;Simulador!$B$11,Simulador!$B$10*(1-COS(PI()*(($A304-Simulador!$E$9)/Simulador!$G$9)/Simulador!$B$11))/2,IF((($A304-Simulador!$E$9)/Simulador!$G$9)&gt;1-Simulador!$B$11,Simulador!$B$10*(1-COS(PI()*(1-(($A304-Simulador!$E$9)/Simulador!$G$9))/Simulador!$B$11))/2,Simulador!$B$10)))</f>
        <v>0</v>
      </c>
      <c r="G304" s="18">
        <f>IF(OR((($A304-Simulador!$E$10)/Simulador!$G$10)&lt;=0,(($A304-Simulador!$E$10)/Simulador!$G$10)&gt;=1),0,IF((($A304-Simulador!$E$10)/Simulador!$G$10)&lt;Simulador!$B$11,Simulador!$B$10*(1-COS(PI()*(($A304-Simulador!$E$10)/Simulador!$G$10)/Simulador!$B$11))/2,IF((($A304-Simulador!$E$10)/Simulador!$G$10)&gt;1-Simulador!$B$11,Simulador!$B$10*(1-COS(PI()*(1-(($A304-Simulador!$E$10)/Simulador!$G$10))/Simulador!$B$11))/2,Simulador!$B$10)))</f>
        <v>1.9021627951108788E-3</v>
      </c>
    </row>
    <row r="305" spans="1:7" x14ac:dyDescent="0.25">
      <c r="A305" s="17">
        <f>A304+Simulador!$B$14</f>
        <v>606</v>
      </c>
      <c r="B305" s="18">
        <f>IF(OR((($A305-Simulador!$E$5)/Simulador!$G$5)&lt;=0,(($A305-Simulador!$E$5)/Simulador!$G$5)&gt;=1),0,IF((($A305-Simulador!$E$5)/Simulador!$G$5)&lt;Simulador!$B$11,Simulador!$B$9*(1-COS(PI()*(($A305-Simulador!$E$5)/Simulador!$G$5)/Simulador!$B$11))/2,IF((($A305-Simulador!$E$5)/Simulador!$G$5)&gt;1-Simulador!$B$11,Simulador!$B$9*(1-COS(PI()*(1-(($A305-Simulador!$E$5)/Simulador!$G$5))/Simulador!$B$11))/2,Simulador!$B$9)))</f>
        <v>0</v>
      </c>
      <c r="C305" s="18">
        <f>IF(OR((($A305-Simulador!$E$6)/Simulador!$G$6)&lt;=0,(($A305-Simulador!$E$6)/Simulador!$G$6)&gt;=1),0,IF((($A305-Simulador!$E$6)/Simulador!$G$6)&lt;Simulador!$B$11,Simulador!$B$9*(1-COS(PI()*(($A305-Simulador!$E$6)/Simulador!$G$6)/Simulador!$B$11))/2,IF((($A305-Simulador!$E$6)/Simulador!$G$6)&gt;1-Simulador!$B$11,Simulador!$B$9*(1-COS(PI()*(1-(($A305-Simulador!$E$6)/Simulador!$G$6))/Simulador!$B$11))/2,Simulador!$B$9)))</f>
        <v>0</v>
      </c>
      <c r="D305" s="18">
        <f>IF(OR((($A305-Simulador!$E$7)/Simulador!$G$7)&lt;=0,(($A305-Simulador!$E$7)/Simulador!$G$7)&gt;=1),0,IF((($A305-Simulador!$E$7)/Simulador!$G$7)&lt;Simulador!$B$11,Simulador!$B$9*(1-COS(PI()*(($A305-Simulador!$E$7)/Simulador!$G$7)/Simulador!$B$11))/2,IF((($A305-Simulador!$E$7)/Simulador!$G$7)&gt;1-Simulador!$B$11,Simulador!$B$9*(1-COS(PI()*(1-(($A305-Simulador!$E$7)/Simulador!$G$7))/Simulador!$B$11))/2,Simulador!$B$9)))</f>
        <v>0</v>
      </c>
      <c r="E305" s="18">
        <f>IF(OR((($A305-Simulador!$E$8)/Simulador!$G$8)&lt;=0,(($A305-Simulador!$E$8)/Simulador!$G$8)&gt;=1),0,IF((($A305-Simulador!$E$8)/Simulador!$G$8)&lt;Simulador!$B$11,Simulador!$B$10*(1-COS(PI()*(($A305-Simulador!$E$8)/Simulador!$G$8)/Simulador!$B$11))/2,IF((($A305-Simulador!$E$8)/Simulador!$G$8)&gt;1-Simulador!$B$11,Simulador!$B$10*(1-COS(PI()*(1-(($A305-Simulador!$E$8)/Simulador!$G$8))/Simulador!$B$11))/2,Simulador!$B$10)))</f>
        <v>0</v>
      </c>
      <c r="F305" s="18">
        <f>IF(OR((($A305-Simulador!$E$9)/Simulador!$G$9)&lt;=0,(($A305-Simulador!$E$9)/Simulador!$G$9)&gt;=1),0,IF((($A305-Simulador!$E$9)/Simulador!$G$9)&lt;Simulador!$B$11,Simulador!$B$10*(1-COS(PI()*(($A305-Simulador!$E$9)/Simulador!$G$9)/Simulador!$B$11))/2,IF((($A305-Simulador!$E$9)/Simulador!$G$9)&gt;1-Simulador!$B$11,Simulador!$B$10*(1-COS(PI()*(1-(($A305-Simulador!$E$9)/Simulador!$G$9))/Simulador!$B$11))/2,Simulador!$B$10)))</f>
        <v>0</v>
      </c>
      <c r="G305" s="18">
        <f>IF(OR((($A305-Simulador!$E$10)/Simulador!$G$10)&lt;=0,(($A305-Simulador!$E$10)/Simulador!$G$10)&gt;=1),0,IF((($A305-Simulador!$E$10)/Simulador!$G$10)&lt;Simulador!$B$11,Simulador!$B$10*(1-COS(PI()*(($A305-Simulador!$E$10)/Simulador!$G$10)/Simulador!$B$11))/2,IF((($A305-Simulador!$E$10)/Simulador!$G$10)&gt;1-Simulador!$B$11,Simulador!$B$10*(1-COS(PI()*(1-(($A305-Simulador!$E$10)/Simulador!$G$10))/Simulador!$B$11))/2,Simulador!$B$10)))</f>
        <v>0</v>
      </c>
    </row>
    <row r="306" spans="1:7" x14ac:dyDescent="0.25">
      <c r="A306" s="17">
        <f>A305+Simulador!$B$14</f>
        <v>608</v>
      </c>
      <c r="B306" s="18">
        <f>IF(OR((($A306-Simulador!$E$5)/Simulador!$G$5)&lt;=0,(($A306-Simulador!$E$5)/Simulador!$G$5)&gt;=1),0,IF((($A306-Simulador!$E$5)/Simulador!$G$5)&lt;Simulador!$B$11,Simulador!$B$9*(1-COS(PI()*(($A306-Simulador!$E$5)/Simulador!$G$5)/Simulador!$B$11))/2,IF((($A306-Simulador!$E$5)/Simulador!$G$5)&gt;1-Simulador!$B$11,Simulador!$B$9*(1-COS(PI()*(1-(($A306-Simulador!$E$5)/Simulador!$G$5))/Simulador!$B$11))/2,Simulador!$B$9)))</f>
        <v>0</v>
      </c>
      <c r="C306" s="18">
        <f>IF(OR((($A306-Simulador!$E$6)/Simulador!$G$6)&lt;=0,(($A306-Simulador!$E$6)/Simulador!$G$6)&gt;=1),0,IF((($A306-Simulador!$E$6)/Simulador!$G$6)&lt;Simulador!$B$11,Simulador!$B$9*(1-COS(PI()*(($A306-Simulador!$E$6)/Simulador!$G$6)/Simulador!$B$11))/2,IF((($A306-Simulador!$E$6)/Simulador!$G$6)&gt;1-Simulador!$B$11,Simulador!$B$9*(1-COS(PI()*(1-(($A306-Simulador!$E$6)/Simulador!$G$6))/Simulador!$B$11))/2,Simulador!$B$9)))</f>
        <v>0</v>
      </c>
      <c r="D306" s="18">
        <f>IF(OR((($A306-Simulador!$E$7)/Simulador!$G$7)&lt;=0,(($A306-Simulador!$E$7)/Simulador!$G$7)&gt;=1),0,IF((($A306-Simulador!$E$7)/Simulador!$G$7)&lt;Simulador!$B$11,Simulador!$B$9*(1-COS(PI()*(($A306-Simulador!$E$7)/Simulador!$G$7)/Simulador!$B$11))/2,IF((($A306-Simulador!$E$7)/Simulador!$G$7)&gt;1-Simulador!$B$11,Simulador!$B$9*(1-COS(PI()*(1-(($A306-Simulador!$E$7)/Simulador!$G$7))/Simulador!$B$11))/2,Simulador!$B$9)))</f>
        <v>0</v>
      </c>
      <c r="E306" s="18">
        <f>IF(OR((($A306-Simulador!$E$8)/Simulador!$G$8)&lt;=0,(($A306-Simulador!$E$8)/Simulador!$G$8)&gt;=1),0,IF((($A306-Simulador!$E$8)/Simulador!$G$8)&lt;Simulador!$B$11,Simulador!$B$10*(1-COS(PI()*(($A306-Simulador!$E$8)/Simulador!$G$8)/Simulador!$B$11))/2,IF((($A306-Simulador!$E$8)/Simulador!$G$8)&gt;1-Simulador!$B$11,Simulador!$B$10*(1-COS(PI()*(1-(($A306-Simulador!$E$8)/Simulador!$G$8))/Simulador!$B$11))/2,Simulador!$B$10)))</f>
        <v>0</v>
      </c>
      <c r="F306" s="18">
        <f>IF(OR((($A306-Simulador!$E$9)/Simulador!$G$9)&lt;=0,(($A306-Simulador!$E$9)/Simulador!$G$9)&gt;=1),0,IF((($A306-Simulador!$E$9)/Simulador!$G$9)&lt;Simulador!$B$11,Simulador!$B$10*(1-COS(PI()*(($A306-Simulador!$E$9)/Simulador!$G$9)/Simulador!$B$11))/2,IF((($A306-Simulador!$E$9)/Simulador!$G$9)&gt;1-Simulador!$B$11,Simulador!$B$10*(1-COS(PI()*(1-(($A306-Simulador!$E$9)/Simulador!$G$9))/Simulador!$B$11))/2,Simulador!$B$10)))</f>
        <v>0</v>
      </c>
      <c r="G306" s="18">
        <f>IF(OR((($A306-Simulador!$E$10)/Simulador!$G$10)&lt;=0,(($A306-Simulador!$E$10)/Simulador!$G$10)&gt;=1),0,IF((($A306-Simulador!$E$10)/Simulador!$G$10)&lt;Simulador!$B$11,Simulador!$B$10*(1-COS(PI()*(($A306-Simulador!$E$10)/Simulador!$G$10)/Simulador!$B$11))/2,IF((($A306-Simulador!$E$10)/Simulador!$G$10)&gt;1-Simulador!$B$11,Simulador!$B$10*(1-COS(PI()*(1-(($A306-Simulador!$E$10)/Simulador!$G$10))/Simulador!$B$11))/2,Simulador!$B$10)))</f>
        <v>0</v>
      </c>
    </row>
    <row r="307" spans="1:7" x14ac:dyDescent="0.25">
      <c r="A307" s="17">
        <f>A306+Simulador!$B$14</f>
        <v>610</v>
      </c>
      <c r="B307" s="18">
        <f>IF(OR((($A307-Simulador!$E$5)/Simulador!$G$5)&lt;=0,(($A307-Simulador!$E$5)/Simulador!$G$5)&gt;=1),0,IF((($A307-Simulador!$E$5)/Simulador!$G$5)&lt;Simulador!$B$11,Simulador!$B$9*(1-COS(PI()*(($A307-Simulador!$E$5)/Simulador!$G$5)/Simulador!$B$11))/2,IF((($A307-Simulador!$E$5)/Simulador!$G$5)&gt;1-Simulador!$B$11,Simulador!$B$9*(1-COS(PI()*(1-(($A307-Simulador!$E$5)/Simulador!$G$5))/Simulador!$B$11))/2,Simulador!$B$9)))</f>
        <v>0</v>
      </c>
      <c r="C307" s="18">
        <f>IF(OR((($A307-Simulador!$E$6)/Simulador!$G$6)&lt;=0,(($A307-Simulador!$E$6)/Simulador!$G$6)&gt;=1),0,IF((($A307-Simulador!$E$6)/Simulador!$G$6)&lt;Simulador!$B$11,Simulador!$B$9*(1-COS(PI()*(($A307-Simulador!$E$6)/Simulador!$G$6)/Simulador!$B$11))/2,IF((($A307-Simulador!$E$6)/Simulador!$G$6)&gt;1-Simulador!$B$11,Simulador!$B$9*(1-COS(PI()*(1-(($A307-Simulador!$E$6)/Simulador!$G$6))/Simulador!$B$11))/2,Simulador!$B$9)))</f>
        <v>0</v>
      </c>
      <c r="D307" s="18">
        <f>IF(OR((($A307-Simulador!$E$7)/Simulador!$G$7)&lt;=0,(($A307-Simulador!$E$7)/Simulador!$G$7)&gt;=1),0,IF((($A307-Simulador!$E$7)/Simulador!$G$7)&lt;Simulador!$B$11,Simulador!$B$9*(1-COS(PI()*(($A307-Simulador!$E$7)/Simulador!$G$7)/Simulador!$B$11))/2,IF((($A307-Simulador!$E$7)/Simulador!$G$7)&gt;1-Simulador!$B$11,Simulador!$B$9*(1-COS(PI()*(1-(($A307-Simulador!$E$7)/Simulador!$G$7))/Simulador!$B$11))/2,Simulador!$B$9)))</f>
        <v>0</v>
      </c>
      <c r="E307" s="18">
        <f>IF(OR((($A307-Simulador!$E$8)/Simulador!$G$8)&lt;=0,(($A307-Simulador!$E$8)/Simulador!$G$8)&gt;=1),0,IF((($A307-Simulador!$E$8)/Simulador!$G$8)&lt;Simulador!$B$11,Simulador!$B$10*(1-COS(PI()*(($A307-Simulador!$E$8)/Simulador!$G$8)/Simulador!$B$11))/2,IF((($A307-Simulador!$E$8)/Simulador!$G$8)&gt;1-Simulador!$B$11,Simulador!$B$10*(1-COS(PI()*(1-(($A307-Simulador!$E$8)/Simulador!$G$8))/Simulador!$B$11))/2,Simulador!$B$10)))</f>
        <v>0</v>
      </c>
      <c r="F307" s="18">
        <f>IF(OR((($A307-Simulador!$E$9)/Simulador!$G$9)&lt;=0,(($A307-Simulador!$E$9)/Simulador!$G$9)&gt;=1),0,IF((($A307-Simulador!$E$9)/Simulador!$G$9)&lt;Simulador!$B$11,Simulador!$B$10*(1-COS(PI()*(($A307-Simulador!$E$9)/Simulador!$G$9)/Simulador!$B$11))/2,IF((($A307-Simulador!$E$9)/Simulador!$G$9)&gt;1-Simulador!$B$11,Simulador!$B$10*(1-COS(PI()*(1-(($A307-Simulador!$E$9)/Simulador!$G$9))/Simulador!$B$11))/2,Simulador!$B$10)))</f>
        <v>0</v>
      </c>
      <c r="G307" s="18">
        <f>IF(OR((($A307-Simulador!$E$10)/Simulador!$G$10)&lt;=0,(($A307-Simulador!$E$10)/Simulador!$G$10)&gt;=1),0,IF((($A307-Simulador!$E$10)/Simulador!$G$10)&lt;Simulador!$B$11,Simulador!$B$10*(1-COS(PI()*(($A307-Simulador!$E$10)/Simulador!$G$10)/Simulador!$B$11))/2,IF((($A307-Simulador!$E$10)/Simulador!$G$10)&gt;1-Simulador!$B$11,Simulador!$B$10*(1-COS(PI()*(1-(($A307-Simulador!$E$10)/Simulador!$G$10))/Simulador!$B$11))/2,Simulador!$B$10)))</f>
        <v>0</v>
      </c>
    </row>
    <row r="308" spans="1:7" x14ac:dyDescent="0.25">
      <c r="A308" s="17">
        <f>A307+Simulador!$B$14</f>
        <v>612</v>
      </c>
      <c r="B308" s="18">
        <f>IF(OR((($A308-Simulador!$E$5)/Simulador!$G$5)&lt;=0,(($A308-Simulador!$E$5)/Simulador!$G$5)&gt;=1),0,IF((($A308-Simulador!$E$5)/Simulador!$G$5)&lt;Simulador!$B$11,Simulador!$B$9*(1-COS(PI()*(($A308-Simulador!$E$5)/Simulador!$G$5)/Simulador!$B$11))/2,IF((($A308-Simulador!$E$5)/Simulador!$G$5)&gt;1-Simulador!$B$11,Simulador!$B$9*(1-COS(PI()*(1-(($A308-Simulador!$E$5)/Simulador!$G$5))/Simulador!$B$11))/2,Simulador!$B$9)))</f>
        <v>0</v>
      </c>
      <c r="C308" s="18">
        <f>IF(OR((($A308-Simulador!$E$6)/Simulador!$G$6)&lt;=0,(($A308-Simulador!$E$6)/Simulador!$G$6)&gt;=1),0,IF((($A308-Simulador!$E$6)/Simulador!$G$6)&lt;Simulador!$B$11,Simulador!$B$9*(1-COS(PI()*(($A308-Simulador!$E$6)/Simulador!$G$6)/Simulador!$B$11))/2,IF((($A308-Simulador!$E$6)/Simulador!$G$6)&gt;1-Simulador!$B$11,Simulador!$B$9*(1-COS(PI()*(1-(($A308-Simulador!$E$6)/Simulador!$G$6))/Simulador!$B$11))/2,Simulador!$B$9)))</f>
        <v>0</v>
      </c>
      <c r="D308" s="18">
        <f>IF(OR((($A308-Simulador!$E$7)/Simulador!$G$7)&lt;=0,(($A308-Simulador!$E$7)/Simulador!$G$7)&gt;=1),0,IF((($A308-Simulador!$E$7)/Simulador!$G$7)&lt;Simulador!$B$11,Simulador!$B$9*(1-COS(PI()*(($A308-Simulador!$E$7)/Simulador!$G$7)/Simulador!$B$11))/2,IF((($A308-Simulador!$E$7)/Simulador!$G$7)&gt;1-Simulador!$B$11,Simulador!$B$9*(1-COS(PI()*(1-(($A308-Simulador!$E$7)/Simulador!$G$7))/Simulador!$B$11))/2,Simulador!$B$9)))</f>
        <v>0</v>
      </c>
      <c r="E308" s="18">
        <f>IF(OR((($A308-Simulador!$E$8)/Simulador!$G$8)&lt;=0,(($A308-Simulador!$E$8)/Simulador!$G$8)&gt;=1),0,IF((($A308-Simulador!$E$8)/Simulador!$G$8)&lt;Simulador!$B$11,Simulador!$B$10*(1-COS(PI()*(($A308-Simulador!$E$8)/Simulador!$G$8)/Simulador!$B$11))/2,IF((($A308-Simulador!$E$8)/Simulador!$G$8)&gt;1-Simulador!$B$11,Simulador!$B$10*(1-COS(PI()*(1-(($A308-Simulador!$E$8)/Simulador!$G$8))/Simulador!$B$11))/2,Simulador!$B$10)))</f>
        <v>0</v>
      </c>
      <c r="F308" s="18">
        <f>IF(OR((($A308-Simulador!$E$9)/Simulador!$G$9)&lt;=0,(($A308-Simulador!$E$9)/Simulador!$G$9)&gt;=1),0,IF((($A308-Simulador!$E$9)/Simulador!$G$9)&lt;Simulador!$B$11,Simulador!$B$10*(1-COS(PI()*(($A308-Simulador!$E$9)/Simulador!$G$9)/Simulador!$B$11))/2,IF((($A308-Simulador!$E$9)/Simulador!$G$9)&gt;1-Simulador!$B$11,Simulador!$B$10*(1-COS(PI()*(1-(($A308-Simulador!$E$9)/Simulador!$G$9))/Simulador!$B$11))/2,Simulador!$B$10)))</f>
        <v>0</v>
      </c>
      <c r="G308" s="18">
        <f>IF(OR((($A308-Simulador!$E$10)/Simulador!$G$10)&lt;=0,(($A308-Simulador!$E$10)/Simulador!$G$10)&gt;=1),0,IF((($A308-Simulador!$E$10)/Simulador!$G$10)&lt;Simulador!$B$11,Simulador!$B$10*(1-COS(PI()*(($A308-Simulador!$E$10)/Simulador!$G$10)/Simulador!$B$11))/2,IF((($A308-Simulador!$E$10)/Simulador!$G$10)&gt;1-Simulador!$B$11,Simulador!$B$10*(1-COS(PI()*(1-(($A308-Simulador!$E$10)/Simulador!$G$10))/Simulador!$B$11))/2,Simulador!$B$10)))</f>
        <v>0</v>
      </c>
    </row>
    <row r="309" spans="1:7" x14ac:dyDescent="0.25">
      <c r="A309" s="17">
        <f>A308+Simulador!$B$14</f>
        <v>614</v>
      </c>
      <c r="B309" s="18">
        <f>IF(OR((($A309-Simulador!$E$5)/Simulador!$G$5)&lt;=0,(($A309-Simulador!$E$5)/Simulador!$G$5)&gt;=1),0,IF((($A309-Simulador!$E$5)/Simulador!$G$5)&lt;Simulador!$B$11,Simulador!$B$9*(1-COS(PI()*(($A309-Simulador!$E$5)/Simulador!$G$5)/Simulador!$B$11))/2,IF((($A309-Simulador!$E$5)/Simulador!$G$5)&gt;1-Simulador!$B$11,Simulador!$B$9*(1-COS(PI()*(1-(($A309-Simulador!$E$5)/Simulador!$G$5))/Simulador!$B$11))/2,Simulador!$B$9)))</f>
        <v>0</v>
      </c>
      <c r="C309" s="18">
        <f>IF(OR((($A309-Simulador!$E$6)/Simulador!$G$6)&lt;=0,(($A309-Simulador!$E$6)/Simulador!$G$6)&gt;=1),0,IF((($A309-Simulador!$E$6)/Simulador!$G$6)&lt;Simulador!$B$11,Simulador!$B$9*(1-COS(PI()*(($A309-Simulador!$E$6)/Simulador!$G$6)/Simulador!$B$11))/2,IF((($A309-Simulador!$E$6)/Simulador!$G$6)&gt;1-Simulador!$B$11,Simulador!$B$9*(1-COS(PI()*(1-(($A309-Simulador!$E$6)/Simulador!$G$6))/Simulador!$B$11))/2,Simulador!$B$9)))</f>
        <v>0</v>
      </c>
      <c r="D309" s="18">
        <f>IF(OR((($A309-Simulador!$E$7)/Simulador!$G$7)&lt;=0,(($A309-Simulador!$E$7)/Simulador!$G$7)&gt;=1),0,IF((($A309-Simulador!$E$7)/Simulador!$G$7)&lt;Simulador!$B$11,Simulador!$B$9*(1-COS(PI()*(($A309-Simulador!$E$7)/Simulador!$G$7)/Simulador!$B$11))/2,IF((($A309-Simulador!$E$7)/Simulador!$G$7)&gt;1-Simulador!$B$11,Simulador!$B$9*(1-COS(PI()*(1-(($A309-Simulador!$E$7)/Simulador!$G$7))/Simulador!$B$11))/2,Simulador!$B$9)))</f>
        <v>0</v>
      </c>
      <c r="E309" s="18">
        <f>IF(OR((($A309-Simulador!$E$8)/Simulador!$G$8)&lt;=0,(($A309-Simulador!$E$8)/Simulador!$G$8)&gt;=1),0,IF((($A309-Simulador!$E$8)/Simulador!$G$8)&lt;Simulador!$B$11,Simulador!$B$10*(1-COS(PI()*(($A309-Simulador!$E$8)/Simulador!$G$8)/Simulador!$B$11))/2,IF((($A309-Simulador!$E$8)/Simulador!$G$8)&gt;1-Simulador!$B$11,Simulador!$B$10*(1-COS(PI()*(1-(($A309-Simulador!$E$8)/Simulador!$G$8))/Simulador!$B$11))/2,Simulador!$B$10)))</f>
        <v>0</v>
      </c>
      <c r="F309" s="18">
        <f>IF(OR((($A309-Simulador!$E$9)/Simulador!$G$9)&lt;=0,(($A309-Simulador!$E$9)/Simulador!$G$9)&gt;=1),0,IF((($A309-Simulador!$E$9)/Simulador!$G$9)&lt;Simulador!$B$11,Simulador!$B$10*(1-COS(PI()*(($A309-Simulador!$E$9)/Simulador!$G$9)/Simulador!$B$11))/2,IF((($A309-Simulador!$E$9)/Simulador!$G$9)&gt;1-Simulador!$B$11,Simulador!$B$10*(1-COS(PI()*(1-(($A309-Simulador!$E$9)/Simulador!$G$9))/Simulador!$B$11))/2,Simulador!$B$10)))</f>
        <v>0</v>
      </c>
      <c r="G309" s="18">
        <f>IF(OR((($A309-Simulador!$E$10)/Simulador!$G$10)&lt;=0,(($A309-Simulador!$E$10)/Simulador!$G$10)&gt;=1),0,IF((($A309-Simulador!$E$10)/Simulador!$G$10)&lt;Simulador!$B$11,Simulador!$B$10*(1-COS(PI()*(($A309-Simulador!$E$10)/Simulador!$G$10)/Simulador!$B$11))/2,IF((($A309-Simulador!$E$10)/Simulador!$G$10)&gt;1-Simulador!$B$11,Simulador!$B$10*(1-COS(PI()*(1-(($A309-Simulador!$E$10)/Simulador!$G$10))/Simulador!$B$11))/2,Simulador!$B$10)))</f>
        <v>0</v>
      </c>
    </row>
    <row r="310" spans="1:7" x14ac:dyDescent="0.25">
      <c r="A310" s="17">
        <f>A309+Simulador!$B$14</f>
        <v>616</v>
      </c>
      <c r="B310" s="18">
        <f>IF(OR((($A310-Simulador!$E$5)/Simulador!$G$5)&lt;=0,(($A310-Simulador!$E$5)/Simulador!$G$5)&gt;=1),0,IF((($A310-Simulador!$E$5)/Simulador!$G$5)&lt;Simulador!$B$11,Simulador!$B$9*(1-COS(PI()*(($A310-Simulador!$E$5)/Simulador!$G$5)/Simulador!$B$11))/2,IF((($A310-Simulador!$E$5)/Simulador!$G$5)&gt;1-Simulador!$B$11,Simulador!$B$9*(1-COS(PI()*(1-(($A310-Simulador!$E$5)/Simulador!$G$5))/Simulador!$B$11))/2,Simulador!$B$9)))</f>
        <v>0</v>
      </c>
      <c r="C310" s="18">
        <f>IF(OR((($A310-Simulador!$E$6)/Simulador!$G$6)&lt;=0,(($A310-Simulador!$E$6)/Simulador!$G$6)&gt;=1),0,IF((($A310-Simulador!$E$6)/Simulador!$G$6)&lt;Simulador!$B$11,Simulador!$B$9*(1-COS(PI()*(($A310-Simulador!$E$6)/Simulador!$G$6)/Simulador!$B$11))/2,IF((($A310-Simulador!$E$6)/Simulador!$G$6)&gt;1-Simulador!$B$11,Simulador!$B$9*(1-COS(PI()*(1-(($A310-Simulador!$E$6)/Simulador!$G$6))/Simulador!$B$11))/2,Simulador!$B$9)))</f>
        <v>0</v>
      </c>
      <c r="D310" s="18">
        <f>IF(OR((($A310-Simulador!$E$7)/Simulador!$G$7)&lt;=0,(($A310-Simulador!$E$7)/Simulador!$G$7)&gt;=1),0,IF((($A310-Simulador!$E$7)/Simulador!$G$7)&lt;Simulador!$B$11,Simulador!$B$9*(1-COS(PI()*(($A310-Simulador!$E$7)/Simulador!$G$7)/Simulador!$B$11))/2,IF((($A310-Simulador!$E$7)/Simulador!$G$7)&gt;1-Simulador!$B$11,Simulador!$B$9*(1-COS(PI()*(1-(($A310-Simulador!$E$7)/Simulador!$G$7))/Simulador!$B$11))/2,Simulador!$B$9)))</f>
        <v>0</v>
      </c>
      <c r="E310" s="18">
        <f>IF(OR((($A310-Simulador!$E$8)/Simulador!$G$8)&lt;=0,(($A310-Simulador!$E$8)/Simulador!$G$8)&gt;=1),0,IF((($A310-Simulador!$E$8)/Simulador!$G$8)&lt;Simulador!$B$11,Simulador!$B$10*(1-COS(PI()*(($A310-Simulador!$E$8)/Simulador!$G$8)/Simulador!$B$11))/2,IF((($A310-Simulador!$E$8)/Simulador!$G$8)&gt;1-Simulador!$B$11,Simulador!$B$10*(1-COS(PI()*(1-(($A310-Simulador!$E$8)/Simulador!$G$8))/Simulador!$B$11))/2,Simulador!$B$10)))</f>
        <v>0</v>
      </c>
      <c r="F310" s="18">
        <f>IF(OR((($A310-Simulador!$E$9)/Simulador!$G$9)&lt;=0,(($A310-Simulador!$E$9)/Simulador!$G$9)&gt;=1),0,IF((($A310-Simulador!$E$9)/Simulador!$G$9)&lt;Simulador!$B$11,Simulador!$B$10*(1-COS(PI()*(($A310-Simulador!$E$9)/Simulador!$G$9)/Simulador!$B$11))/2,IF((($A310-Simulador!$E$9)/Simulador!$G$9)&gt;1-Simulador!$B$11,Simulador!$B$10*(1-COS(PI()*(1-(($A310-Simulador!$E$9)/Simulador!$G$9))/Simulador!$B$11))/2,Simulador!$B$10)))</f>
        <v>0</v>
      </c>
      <c r="G310" s="18">
        <f>IF(OR((($A310-Simulador!$E$10)/Simulador!$G$10)&lt;=0,(($A310-Simulador!$E$10)/Simulador!$G$10)&gt;=1),0,IF((($A310-Simulador!$E$10)/Simulador!$G$10)&lt;Simulador!$B$11,Simulador!$B$10*(1-COS(PI()*(($A310-Simulador!$E$10)/Simulador!$G$10)/Simulador!$B$11))/2,IF((($A310-Simulador!$E$10)/Simulador!$G$10)&gt;1-Simulador!$B$11,Simulador!$B$10*(1-COS(PI()*(1-(($A310-Simulador!$E$10)/Simulador!$G$10))/Simulador!$B$11))/2,Simulador!$B$10)))</f>
        <v>0</v>
      </c>
    </row>
    <row r="311" spans="1:7" x14ac:dyDescent="0.25">
      <c r="A311" s="17">
        <f>A310+Simulador!$B$14</f>
        <v>618</v>
      </c>
      <c r="B311" s="18">
        <f>IF(OR((($A311-Simulador!$E$5)/Simulador!$G$5)&lt;=0,(($A311-Simulador!$E$5)/Simulador!$G$5)&gt;=1),0,IF((($A311-Simulador!$E$5)/Simulador!$G$5)&lt;Simulador!$B$11,Simulador!$B$9*(1-COS(PI()*(($A311-Simulador!$E$5)/Simulador!$G$5)/Simulador!$B$11))/2,IF((($A311-Simulador!$E$5)/Simulador!$G$5)&gt;1-Simulador!$B$11,Simulador!$B$9*(1-COS(PI()*(1-(($A311-Simulador!$E$5)/Simulador!$G$5))/Simulador!$B$11))/2,Simulador!$B$9)))</f>
        <v>0</v>
      </c>
      <c r="C311" s="18">
        <f>IF(OR((($A311-Simulador!$E$6)/Simulador!$G$6)&lt;=0,(($A311-Simulador!$E$6)/Simulador!$G$6)&gt;=1),0,IF((($A311-Simulador!$E$6)/Simulador!$G$6)&lt;Simulador!$B$11,Simulador!$B$9*(1-COS(PI()*(($A311-Simulador!$E$6)/Simulador!$G$6)/Simulador!$B$11))/2,IF((($A311-Simulador!$E$6)/Simulador!$G$6)&gt;1-Simulador!$B$11,Simulador!$B$9*(1-COS(PI()*(1-(($A311-Simulador!$E$6)/Simulador!$G$6))/Simulador!$B$11))/2,Simulador!$B$9)))</f>
        <v>0</v>
      </c>
      <c r="D311" s="18">
        <f>IF(OR((($A311-Simulador!$E$7)/Simulador!$G$7)&lt;=0,(($A311-Simulador!$E$7)/Simulador!$G$7)&gt;=1),0,IF((($A311-Simulador!$E$7)/Simulador!$G$7)&lt;Simulador!$B$11,Simulador!$B$9*(1-COS(PI()*(($A311-Simulador!$E$7)/Simulador!$G$7)/Simulador!$B$11))/2,IF((($A311-Simulador!$E$7)/Simulador!$G$7)&gt;1-Simulador!$B$11,Simulador!$B$9*(1-COS(PI()*(1-(($A311-Simulador!$E$7)/Simulador!$G$7))/Simulador!$B$11))/2,Simulador!$B$9)))</f>
        <v>0</v>
      </c>
      <c r="E311" s="18">
        <f>IF(OR((($A311-Simulador!$E$8)/Simulador!$G$8)&lt;=0,(($A311-Simulador!$E$8)/Simulador!$G$8)&gt;=1),0,IF((($A311-Simulador!$E$8)/Simulador!$G$8)&lt;Simulador!$B$11,Simulador!$B$10*(1-COS(PI()*(($A311-Simulador!$E$8)/Simulador!$G$8)/Simulador!$B$11))/2,IF((($A311-Simulador!$E$8)/Simulador!$G$8)&gt;1-Simulador!$B$11,Simulador!$B$10*(1-COS(PI()*(1-(($A311-Simulador!$E$8)/Simulador!$G$8))/Simulador!$B$11))/2,Simulador!$B$10)))</f>
        <v>0</v>
      </c>
      <c r="F311" s="18">
        <f>IF(OR((($A311-Simulador!$E$9)/Simulador!$G$9)&lt;=0,(($A311-Simulador!$E$9)/Simulador!$G$9)&gt;=1),0,IF((($A311-Simulador!$E$9)/Simulador!$G$9)&lt;Simulador!$B$11,Simulador!$B$10*(1-COS(PI()*(($A311-Simulador!$E$9)/Simulador!$G$9)/Simulador!$B$11))/2,IF((($A311-Simulador!$E$9)/Simulador!$G$9)&gt;1-Simulador!$B$11,Simulador!$B$10*(1-COS(PI()*(1-(($A311-Simulador!$E$9)/Simulador!$G$9))/Simulador!$B$11))/2,Simulador!$B$10)))</f>
        <v>0</v>
      </c>
      <c r="G311" s="18">
        <f>IF(OR((($A311-Simulador!$E$10)/Simulador!$G$10)&lt;=0,(($A311-Simulador!$E$10)/Simulador!$G$10)&gt;=1),0,IF((($A311-Simulador!$E$10)/Simulador!$G$10)&lt;Simulador!$B$11,Simulador!$B$10*(1-COS(PI()*(($A311-Simulador!$E$10)/Simulador!$G$10)/Simulador!$B$11))/2,IF((($A311-Simulador!$E$10)/Simulador!$G$10)&gt;1-Simulador!$B$11,Simulador!$B$10*(1-COS(PI()*(1-(($A311-Simulador!$E$10)/Simulador!$G$10))/Simulador!$B$11))/2,Simulador!$B$10)))</f>
        <v>0</v>
      </c>
    </row>
    <row r="312" spans="1:7" x14ac:dyDescent="0.25">
      <c r="A312" s="17">
        <f>A311+Simulador!$B$14</f>
        <v>620</v>
      </c>
      <c r="B312" s="18">
        <f>IF(OR((($A312-Simulador!$E$5)/Simulador!$G$5)&lt;=0,(($A312-Simulador!$E$5)/Simulador!$G$5)&gt;=1),0,IF((($A312-Simulador!$E$5)/Simulador!$G$5)&lt;Simulador!$B$11,Simulador!$B$9*(1-COS(PI()*(($A312-Simulador!$E$5)/Simulador!$G$5)/Simulador!$B$11))/2,IF((($A312-Simulador!$E$5)/Simulador!$G$5)&gt;1-Simulador!$B$11,Simulador!$B$9*(1-COS(PI()*(1-(($A312-Simulador!$E$5)/Simulador!$G$5))/Simulador!$B$11))/2,Simulador!$B$9)))</f>
        <v>0</v>
      </c>
      <c r="C312" s="18">
        <f>IF(OR((($A312-Simulador!$E$6)/Simulador!$G$6)&lt;=0,(($A312-Simulador!$E$6)/Simulador!$G$6)&gt;=1),0,IF((($A312-Simulador!$E$6)/Simulador!$G$6)&lt;Simulador!$B$11,Simulador!$B$9*(1-COS(PI()*(($A312-Simulador!$E$6)/Simulador!$G$6)/Simulador!$B$11))/2,IF((($A312-Simulador!$E$6)/Simulador!$G$6)&gt;1-Simulador!$B$11,Simulador!$B$9*(1-COS(PI()*(1-(($A312-Simulador!$E$6)/Simulador!$G$6))/Simulador!$B$11))/2,Simulador!$B$9)))</f>
        <v>0</v>
      </c>
      <c r="D312" s="18">
        <f>IF(OR((($A312-Simulador!$E$7)/Simulador!$G$7)&lt;=0,(($A312-Simulador!$E$7)/Simulador!$G$7)&gt;=1),0,IF((($A312-Simulador!$E$7)/Simulador!$G$7)&lt;Simulador!$B$11,Simulador!$B$9*(1-COS(PI()*(($A312-Simulador!$E$7)/Simulador!$G$7)/Simulador!$B$11))/2,IF((($A312-Simulador!$E$7)/Simulador!$G$7)&gt;1-Simulador!$B$11,Simulador!$B$9*(1-COS(PI()*(1-(($A312-Simulador!$E$7)/Simulador!$G$7))/Simulador!$B$11))/2,Simulador!$B$9)))</f>
        <v>0</v>
      </c>
      <c r="E312" s="18">
        <f>IF(OR((($A312-Simulador!$E$8)/Simulador!$G$8)&lt;=0,(($A312-Simulador!$E$8)/Simulador!$G$8)&gt;=1),0,IF((($A312-Simulador!$E$8)/Simulador!$G$8)&lt;Simulador!$B$11,Simulador!$B$10*(1-COS(PI()*(($A312-Simulador!$E$8)/Simulador!$G$8)/Simulador!$B$11))/2,IF((($A312-Simulador!$E$8)/Simulador!$G$8)&gt;1-Simulador!$B$11,Simulador!$B$10*(1-COS(PI()*(1-(($A312-Simulador!$E$8)/Simulador!$G$8))/Simulador!$B$11))/2,Simulador!$B$10)))</f>
        <v>0</v>
      </c>
      <c r="F312" s="18">
        <f>IF(OR((($A312-Simulador!$E$9)/Simulador!$G$9)&lt;=0,(($A312-Simulador!$E$9)/Simulador!$G$9)&gt;=1),0,IF((($A312-Simulador!$E$9)/Simulador!$G$9)&lt;Simulador!$B$11,Simulador!$B$10*(1-COS(PI()*(($A312-Simulador!$E$9)/Simulador!$G$9)/Simulador!$B$11))/2,IF((($A312-Simulador!$E$9)/Simulador!$G$9)&gt;1-Simulador!$B$11,Simulador!$B$10*(1-COS(PI()*(1-(($A312-Simulador!$E$9)/Simulador!$G$9))/Simulador!$B$11))/2,Simulador!$B$10)))</f>
        <v>0</v>
      </c>
      <c r="G312" s="18">
        <f>IF(OR((($A312-Simulador!$E$10)/Simulador!$G$10)&lt;=0,(($A312-Simulador!$E$10)/Simulador!$G$10)&gt;=1),0,IF((($A312-Simulador!$E$10)/Simulador!$G$10)&lt;Simulador!$B$11,Simulador!$B$10*(1-COS(PI()*(($A312-Simulador!$E$10)/Simulador!$G$10)/Simulador!$B$11))/2,IF((($A312-Simulador!$E$10)/Simulador!$G$10)&gt;1-Simulador!$B$11,Simulador!$B$10*(1-COS(PI()*(1-(($A312-Simulador!$E$10)/Simulador!$G$10))/Simulador!$B$11))/2,Simulador!$B$10)))</f>
        <v>0</v>
      </c>
    </row>
    <row r="313" spans="1:7" x14ac:dyDescent="0.25">
      <c r="A313" s="17">
        <f>A312+Simulador!$B$14</f>
        <v>622</v>
      </c>
      <c r="B313" s="18">
        <f>IF(OR((($A313-Simulador!$E$5)/Simulador!$G$5)&lt;=0,(($A313-Simulador!$E$5)/Simulador!$G$5)&gt;=1),0,IF((($A313-Simulador!$E$5)/Simulador!$G$5)&lt;Simulador!$B$11,Simulador!$B$9*(1-COS(PI()*(($A313-Simulador!$E$5)/Simulador!$G$5)/Simulador!$B$11))/2,IF((($A313-Simulador!$E$5)/Simulador!$G$5)&gt;1-Simulador!$B$11,Simulador!$B$9*(1-COS(PI()*(1-(($A313-Simulador!$E$5)/Simulador!$G$5))/Simulador!$B$11))/2,Simulador!$B$9)))</f>
        <v>0</v>
      </c>
      <c r="C313" s="18">
        <f>IF(OR((($A313-Simulador!$E$6)/Simulador!$G$6)&lt;=0,(($A313-Simulador!$E$6)/Simulador!$G$6)&gt;=1),0,IF((($A313-Simulador!$E$6)/Simulador!$G$6)&lt;Simulador!$B$11,Simulador!$B$9*(1-COS(PI()*(($A313-Simulador!$E$6)/Simulador!$G$6)/Simulador!$B$11))/2,IF((($A313-Simulador!$E$6)/Simulador!$G$6)&gt;1-Simulador!$B$11,Simulador!$B$9*(1-COS(PI()*(1-(($A313-Simulador!$E$6)/Simulador!$G$6))/Simulador!$B$11))/2,Simulador!$B$9)))</f>
        <v>0</v>
      </c>
      <c r="D313" s="18">
        <f>IF(OR((($A313-Simulador!$E$7)/Simulador!$G$7)&lt;=0,(($A313-Simulador!$E$7)/Simulador!$G$7)&gt;=1),0,IF((($A313-Simulador!$E$7)/Simulador!$G$7)&lt;Simulador!$B$11,Simulador!$B$9*(1-COS(PI()*(($A313-Simulador!$E$7)/Simulador!$G$7)/Simulador!$B$11))/2,IF((($A313-Simulador!$E$7)/Simulador!$G$7)&gt;1-Simulador!$B$11,Simulador!$B$9*(1-COS(PI()*(1-(($A313-Simulador!$E$7)/Simulador!$G$7))/Simulador!$B$11))/2,Simulador!$B$9)))</f>
        <v>0</v>
      </c>
      <c r="E313" s="18">
        <f>IF(OR((($A313-Simulador!$E$8)/Simulador!$G$8)&lt;=0,(($A313-Simulador!$E$8)/Simulador!$G$8)&gt;=1),0,IF((($A313-Simulador!$E$8)/Simulador!$G$8)&lt;Simulador!$B$11,Simulador!$B$10*(1-COS(PI()*(($A313-Simulador!$E$8)/Simulador!$G$8)/Simulador!$B$11))/2,IF((($A313-Simulador!$E$8)/Simulador!$G$8)&gt;1-Simulador!$B$11,Simulador!$B$10*(1-COS(PI()*(1-(($A313-Simulador!$E$8)/Simulador!$G$8))/Simulador!$B$11))/2,Simulador!$B$10)))</f>
        <v>0</v>
      </c>
      <c r="F313" s="18">
        <f>IF(OR((($A313-Simulador!$E$9)/Simulador!$G$9)&lt;=0,(($A313-Simulador!$E$9)/Simulador!$G$9)&gt;=1),0,IF((($A313-Simulador!$E$9)/Simulador!$G$9)&lt;Simulador!$B$11,Simulador!$B$10*(1-COS(PI()*(($A313-Simulador!$E$9)/Simulador!$G$9)/Simulador!$B$11))/2,IF((($A313-Simulador!$E$9)/Simulador!$G$9)&gt;1-Simulador!$B$11,Simulador!$B$10*(1-COS(PI()*(1-(($A313-Simulador!$E$9)/Simulador!$G$9))/Simulador!$B$11))/2,Simulador!$B$10)))</f>
        <v>0</v>
      </c>
      <c r="G313" s="18">
        <f>IF(OR((($A313-Simulador!$E$10)/Simulador!$G$10)&lt;=0,(($A313-Simulador!$E$10)/Simulador!$G$10)&gt;=1),0,IF((($A313-Simulador!$E$10)/Simulador!$G$10)&lt;Simulador!$B$11,Simulador!$B$10*(1-COS(PI()*(($A313-Simulador!$E$10)/Simulador!$G$10)/Simulador!$B$11))/2,IF((($A313-Simulador!$E$10)/Simulador!$G$10)&gt;1-Simulador!$B$11,Simulador!$B$10*(1-COS(PI()*(1-(($A313-Simulador!$E$10)/Simulador!$G$10))/Simulador!$B$11))/2,Simulador!$B$10)))</f>
        <v>0</v>
      </c>
    </row>
    <row r="314" spans="1:7" x14ac:dyDescent="0.25">
      <c r="A314" s="17">
        <f>A313+Simulador!$B$14</f>
        <v>624</v>
      </c>
      <c r="B314" s="18">
        <f>IF(OR((($A314-Simulador!$E$5)/Simulador!$G$5)&lt;=0,(($A314-Simulador!$E$5)/Simulador!$G$5)&gt;=1),0,IF((($A314-Simulador!$E$5)/Simulador!$G$5)&lt;Simulador!$B$11,Simulador!$B$9*(1-COS(PI()*(($A314-Simulador!$E$5)/Simulador!$G$5)/Simulador!$B$11))/2,IF((($A314-Simulador!$E$5)/Simulador!$G$5)&gt;1-Simulador!$B$11,Simulador!$B$9*(1-COS(PI()*(1-(($A314-Simulador!$E$5)/Simulador!$G$5))/Simulador!$B$11))/2,Simulador!$B$9)))</f>
        <v>0</v>
      </c>
      <c r="C314" s="18">
        <f>IF(OR((($A314-Simulador!$E$6)/Simulador!$G$6)&lt;=0,(($A314-Simulador!$E$6)/Simulador!$G$6)&gt;=1),0,IF((($A314-Simulador!$E$6)/Simulador!$G$6)&lt;Simulador!$B$11,Simulador!$B$9*(1-COS(PI()*(($A314-Simulador!$E$6)/Simulador!$G$6)/Simulador!$B$11))/2,IF((($A314-Simulador!$E$6)/Simulador!$G$6)&gt;1-Simulador!$B$11,Simulador!$B$9*(1-COS(PI()*(1-(($A314-Simulador!$E$6)/Simulador!$G$6))/Simulador!$B$11))/2,Simulador!$B$9)))</f>
        <v>0</v>
      </c>
      <c r="D314" s="18">
        <f>IF(OR((($A314-Simulador!$E$7)/Simulador!$G$7)&lt;=0,(($A314-Simulador!$E$7)/Simulador!$G$7)&gt;=1),0,IF((($A314-Simulador!$E$7)/Simulador!$G$7)&lt;Simulador!$B$11,Simulador!$B$9*(1-COS(PI()*(($A314-Simulador!$E$7)/Simulador!$G$7)/Simulador!$B$11))/2,IF((($A314-Simulador!$E$7)/Simulador!$G$7)&gt;1-Simulador!$B$11,Simulador!$B$9*(1-COS(PI()*(1-(($A314-Simulador!$E$7)/Simulador!$G$7))/Simulador!$B$11))/2,Simulador!$B$9)))</f>
        <v>0</v>
      </c>
      <c r="E314" s="18">
        <f>IF(OR((($A314-Simulador!$E$8)/Simulador!$G$8)&lt;=0,(($A314-Simulador!$E$8)/Simulador!$G$8)&gt;=1),0,IF((($A314-Simulador!$E$8)/Simulador!$G$8)&lt;Simulador!$B$11,Simulador!$B$10*(1-COS(PI()*(($A314-Simulador!$E$8)/Simulador!$G$8)/Simulador!$B$11))/2,IF((($A314-Simulador!$E$8)/Simulador!$G$8)&gt;1-Simulador!$B$11,Simulador!$B$10*(1-COS(PI()*(1-(($A314-Simulador!$E$8)/Simulador!$G$8))/Simulador!$B$11))/2,Simulador!$B$10)))</f>
        <v>0</v>
      </c>
      <c r="F314" s="18">
        <f>IF(OR((($A314-Simulador!$E$9)/Simulador!$G$9)&lt;=0,(($A314-Simulador!$E$9)/Simulador!$G$9)&gt;=1),0,IF((($A314-Simulador!$E$9)/Simulador!$G$9)&lt;Simulador!$B$11,Simulador!$B$10*(1-COS(PI()*(($A314-Simulador!$E$9)/Simulador!$G$9)/Simulador!$B$11))/2,IF((($A314-Simulador!$E$9)/Simulador!$G$9)&gt;1-Simulador!$B$11,Simulador!$B$10*(1-COS(PI()*(1-(($A314-Simulador!$E$9)/Simulador!$G$9))/Simulador!$B$11))/2,Simulador!$B$10)))</f>
        <v>0</v>
      </c>
      <c r="G314" s="18">
        <f>IF(OR((($A314-Simulador!$E$10)/Simulador!$G$10)&lt;=0,(($A314-Simulador!$E$10)/Simulador!$G$10)&gt;=1),0,IF((($A314-Simulador!$E$10)/Simulador!$G$10)&lt;Simulador!$B$11,Simulador!$B$10*(1-COS(PI()*(($A314-Simulador!$E$10)/Simulador!$G$10)/Simulador!$B$11))/2,IF((($A314-Simulador!$E$10)/Simulador!$G$10)&gt;1-Simulador!$B$11,Simulador!$B$10*(1-COS(PI()*(1-(($A314-Simulador!$E$10)/Simulador!$G$10))/Simulador!$B$11))/2,Simulador!$B$10)))</f>
        <v>0</v>
      </c>
    </row>
    <row r="315" spans="1:7" x14ac:dyDescent="0.25">
      <c r="A315" s="17">
        <f>A314+Simulador!$B$14</f>
        <v>626</v>
      </c>
      <c r="B315" s="18">
        <f>IF(OR((($A315-Simulador!$E$5)/Simulador!$G$5)&lt;=0,(($A315-Simulador!$E$5)/Simulador!$G$5)&gt;=1),0,IF((($A315-Simulador!$E$5)/Simulador!$G$5)&lt;Simulador!$B$11,Simulador!$B$9*(1-COS(PI()*(($A315-Simulador!$E$5)/Simulador!$G$5)/Simulador!$B$11))/2,IF((($A315-Simulador!$E$5)/Simulador!$G$5)&gt;1-Simulador!$B$11,Simulador!$B$9*(1-COS(PI()*(1-(($A315-Simulador!$E$5)/Simulador!$G$5))/Simulador!$B$11))/2,Simulador!$B$9)))</f>
        <v>0</v>
      </c>
      <c r="C315" s="18">
        <f>IF(OR((($A315-Simulador!$E$6)/Simulador!$G$6)&lt;=0,(($A315-Simulador!$E$6)/Simulador!$G$6)&gt;=1),0,IF((($A315-Simulador!$E$6)/Simulador!$G$6)&lt;Simulador!$B$11,Simulador!$B$9*(1-COS(PI()*(($A315-Simulador!$E$6)/Simulador!$G$6)/Simulador!$B$11))/2,IF((($A315-Simulador!$E$6)/Simulador!$G$6)&gt;1-Simulador!$B$11,Simulador!$B$9*(1-COS(PI()*(1-(($A315-Simulador!$E$6)/Simulador!$G$6))/Simulador!$B$11))/2,Simulador!$B$9)))</f>
        <v>0</v>
      </c>
      <c r="D315" s="18">
        <f>IF(OR((($A315-Simulador!$E$7)/Simulador!$G$7)&lt;=0,(($A315-Simulador!$E$7)/Simulador!$G$7)&gt;=1),0,IF((($A315-Simulador!$E$7)/Simulador!$G$7)&lt;Simulador!$B$11,Simulador!$B$9*(1-COS(PI()*(($A315-Simulador!$E$7)/Simulador!$G$7)/Simulador!$B$11))/2,IF((($A315-Simulador!$E$7)/Simulador!$G$7)&gt;1-Simulador!$B$11,Simulador!$B$9*(1-COS(PI()*(1-(($A315-Simulador!$E$7)/Simulador!$G$7))/Simulador!$B$11))/2,Simulador!$B$9)))</f>
        <v>0</v>
      </c>
      <c r="E315" s="18">
        <f>IF(OR((($A315-Simulador!$E$8)/Simulador!$G$8)&lt;=0,(($A315-Simulador!$E$8)/Simulador!$G$8)&gt;=1),0,IF((($A315-Simulador!$E$8)/Simulador!$G$8)&lt;Simulador!$B$11,Simulador!$B$10*(1-COS(PI()*(($A315-Simulador!$E$8)/Simulador!$G$8)/Simulador!$B$11))/2,IF((($A315-Simulador!$E$8)/Simulador!$G$8)&gt;1-Simulador!$B$11,Simulador!$B$10*(1-COS(PI()*(1-(($A315-Simulador!$E$8)/Simulador!$G$8))/Simulador!$B$11))/2,Simulador!$B$10)))</f>
        <v>0</v>
      </c>
      <c r="F315" s="18">
        <f>IF(OR((($A315-Simulador!$E$9)/Simulador!$G$9)&lt;=0,(($A315-Simulador!$E$9)/Simulador!$G$9)&gt;=1),0,IF((($A315-Simulador!$E$9)/Simulador!$G$9)&lt;Simulador!$B$11,Simulador!$B$10*(1-COS(PI()*(($A315-Simulador!$E$9)/Simulador!$G$9)/Simulador!$B$11))/2,IF((($A315-Simulador!$E$9)/Simulador!$G$9)&gt;1-Simulador!$B$11,Simulador!$B$10*(1-COS(PI()*(1-(($A315-Simulador!$E$9)/Simulador!$G$9))/Simulador!$B$11))/2,Simulador!$B$10)))</f>
        <v>0</v>
      </c>
      <c r="G315" s="18">
        <f>IF(OR((($A315-Simulador!$E$10)/Simulador!$G$10)&lt;=0,(($A315-Simulador!$E$10)/Simulador!$G$10)&gt;=1),0,IF((($A315-Simulador!$E$10)/Simulador!$G$10)&lt;Simulador!$B$11,Simulador!$B$10*(1-COS(PI()*(($A315-Simulador!$E$10)/Simulador!$G$10)/Simulador!$B$11))/2,IF((($A315-Simulador!$E$10)/Simulador!$G$10)&gt;1-Simulador!$B$11,Simulador!$B$10*(1-COS(PI()*(1-(($A315-Simulador!$E$10)/Simulador!$G$10))/Simulador!$B$11))/2,Simulador!$B$10)))</f>
        <v>0</v>
      </c>
    </row>
    <row r="316" spans="1:7" x14ac:dyDescent="0.25">
      <c r="A316" s="17">
        <f>A315+Simulador!$B$14</f>
        <v>628</v>
      </c>
      <c r="B316" s="18">
        <f>IF(OR((($A316-Simulador!$E$5)/Simulador!$G$5)&lt;=0,(($A316-Simulador!$E$5)/Simulador!$G$5)&gt;=1),0,IF((($A316-Simulador!$E$5)/Simulador!$G$5)&lt;Simulador!$B$11,Simulador!$B$9*(1-COS(PI()*(($A316-Simulador!$E$5)/Simulador!$G$5)/Simulador!$B$11))/2,IF((($A316-Simulador!$E$5)/Simulador!$G$5)&gt;1-Simulador!$B$11,Simulador!$B$9*(1-COS(PI()*(1-(($A316-Simulador!$E$5)/Simulador!$G$5))/Simulador!$B$11))/2,Simulador!$B$9)))</f>
        <v>0</v>
      </c>
      <c r="C316" s="18">
        <f>IF(OR((($A316-Simulador!$E$6)/Simulador!$G$6)&lt;=0,(($A316-Simulador!$E$6)/Simulador!$G$6)&gt;=1),0,IF((($A316-Simulador!$E$6)/Simulador!$G$6)&lt;Simulador!$B$11,Simulador!$B$9*(1-COS(PI()*(($A316-Simulador!$E$6)/Simulador!$G$6)/Simulador!$B$11))/2,IF((($A316-Simulador!$E$6)/Simulador!$G$6)&gt;1-Simulador!$B$11,Simulador!$B$9*(1-COS(PI()*(1-(($A316-Simulador!$E$6)/Simulador!$G$6))/Simulador!$B$11))/2,Simulador!$B$9)))</f>
        <v>0</v>
      </c>
      <c r="D316" s="18">
        <f>IF(OR((($A316-Simulador!$E$7)/Simulador!$G$7)&lt;=0,(($A316-Simulador!$E$7)/Simulador!$G$7)&gt;=1),0,IF((($A316-Simulador!$E$7)/Simulador!$G$7)&lt;Simulador!$B$11,Simulador!$B$9*(1-COS(PI()*(($A316-Simulador!$E$7)/Simulador!$G$7)/Simulador!$B$11))/2,IF((($A316-Simulador!$E$7)/Simulador!$G$7)&gt;1-Simulador!$B$11,Simulador!$B$9*(1-COS(PI()*(1-(($A316-Simulador!$E$7)/Simulador!$G$7))/Simulador!$B$11))/2,Simulador!$B$9)))</f>
        <v>0</v>
      </c>
      <c r="E316" s="18">
        <f>IF(OR((($A316-Simulador!$E$8)/Simulador!$G$8)&lt;=0,(($A316-Simulador!$E$8)/Simulador!$G$8)&gt;=1),0,IF((($A316-Simulador!$E$8)/Simulador!$G$8)&lt;Simulador!$B$11,Simulador!$B$10*(1-COS(PI()*(($A316-Simulador!$E$8)/Simulador!$G$8)/Simulador!$B$11))/2,IF((($A316-Simulador!$E$8)/Simulador!$G$8)&gt;1-Simulador!$B$11,Simulador!$B$10*(1-COS(PI()*(1-(($A316-Simulador!$E$8)/Simulador!$G$8))/Simulador!$B$11))/2,Simulador!$B$10)))</f>
        <v>0</v>
      </c>
      <c r="F316" s="18">
        <f>IF(OR((($A316-Simulador!$E$9)/Simulador!$G$9)&lt;=0,(($A316-Simulador!$E$9)/Simulador!$G$9)&gt;=1),0,IF((($A316-Simulador!$E$9)/Simulador!$G$9)&lt;Simulador!$B$11,Simulador!$B$10*(1-COS(PI()*(($A316-Simulador!$E$9)/Simulador!$G$9)/Simulador!$B$11))/2,IF((($A316-Simulador!$E$9)/Simulador!$G$9)&gt;1-Simulador!$B$11,Simulador!$B$10*(1-COS(PI()*(1-(($A316-Simulador!$E$9)/Simulador!$G$9))/Simulador!$B$11))/2,Simulador!$B$10)))</f>
        <v>0</v>
      </c>
      <c r="G316" s="18">
        <f>IF(OR((($A316-Simulador!$E$10)/Simulador!$G$10)&lt;=0,(($A316-Simulador!$E$10)/Simulador!$G$10)&gt;=1),0,IF((($A316-Simulador!$E$10)/Simulador!$G$10)&lt;Simulador!$B$11,Simulador!$B$10*(1-COS(PI()*(($A316-Simulador!$E$10)/Simulador!$G$10)/Simulador!$B$11))/2,IF((($A316-Simulador!$E$10)/Simulador!$G$10)&gt;1-Simulador!$B$11,Simulador!$B$10*(1-COS(PI()*(1-(($A316-Simulador!$E$10)/Simulador!$G$10))/Simulador!$B$11))/2,Simulador!$B$10)))</f>
        <v>0</v>
      </c>
    </row>
    <row r="317" spans="1:7" x14ac:dyDescent="0.25">
      <c r="A317" s="17">
        <f>A316+Simulador!$B$14</f>
        <v>630</v>
      </c>
      <c r="B317" s="18">
        <f>IF(OR((($A317-Simulador!$E$5)/Simulador!$G$5)&lt;=0,(($A317-Simulador!$E$5)/Simulador!$G$5)&gt;=1),0,IF((($A317-Simulador!$E$5)/Simulador!$G$5)&lt;Simulador!$B$11,Simulador!$B$9*(1-COS(PI()*(($A317-Simulador!$E$5)/Simulador!$G$5)/Simulador!$B$11))/2,IF((($A317-Simulador!$E$5)/Simulador!$G$5)&gt;1-Simulador!$B$11,Simulador!$B$9*(1-COS(PI()*(1-(($A317-Simulador!$E$5)/Simulador!$G$5))/Simulador!$B$11))/2,Simulador!$B$9)))</f>
        <v>0</v>
      </c>
      <c r="C317" s="18">
        <f>IF(OR((($A317-Simulador!$E$6)/Simulador!$G$6)&lt;=0,(($A317-Simulador!$E$6)/Simulador!$G$6)&gt;=1),0,IF((($A317-Simulador!$E$6)/Simulador!$G$6)&lt;Simulador!$B$11,Simulador!$B$9*(1-COS(PI()*(($A317-Simulador!$E$6)/Simulador!$G$6)/Simulador!$B$11))/2,IF((($A317-Simulador!$E$6)/Simulador!$G$6)&gt;1-Simulador!$B$11,Simulador!$B$9*(1-COS(PI()*(1-(($A317-Simulador!$E$6)/Simulador!$G$6))/Simulador!$B$11))/2,Simulador!$B$9)))</f>
        <v>0</v>
      </c>
      <c r="D317" s="18">
        <f>IF(OR((($A317-Simulador!$E$7)/Simulador!$G$7)&lt;=0,(($A317-Simulador!$E$7)/Simulador!$G$7)&gt;=1),0,IF((($A317-Simulador!$E$7)/Simulador!$G$7)&lt;Simulador!$B$11,Simulador!$B$9*(1-COS(PI()*(($A317-Simulador!$E$7)/Simulador!$G$7)/Simulador!$B$11))/2,IF((($A317-Simulador!$E$7)/Simulador!$G$7)&gt;1-Simulador!$B$11,Simulador!$B$9*(1-COS(PI()*(1-(($A317-Simulador!$E$7)/Simulador!$G$7))/Simulador!$B$11))/2,Simulador!$B$9)))</f>
        <v>0</v>
      </c>
      <c r="E317" s="18">
        <f>IF(OR((($A317-Simulador!$E$8)/Simulador!$G$8)&lt;=0,(($A317-Simulador!$E$8)/Simulador!$G$8)&gt;=1),0,IF((($A317-Simulador!$E$8)/Simulador!$G$8)&lt;Simulador!$B$11,Simulador!$B$10*(1-COS(PI()*(($A317-Simulador!$E$8)/Simulador!$G$8)/Simulador!$B$11))/2,IF((($A317-Simulador!$E$8)/Simulador!$G$8)&gt;1-Simulador!$B$11,Simulador!$B$10*(1-COS(PI()*(1-(($A317-Simulador!$E$8)/Simulador!$G$8))/Simulador!$B$11))/2,Simulador!$B$10)))</f>
        <v>0</v>
      </c>
      <c r="F317" s="18">
        <f>IF(OR((($A317-Simulador!$E$9)/Simulador!$G$9)&lt;=0,(($A317-Simulador!$E$9)/Simulador!$G$9)&gt;=1),0,IF((($A317-Simulador!$E$9)/Simulador!$G$9)&lt;Simulador!$B$11,Simulador!$B$10*(1-COS(PI()*(($A317-Simulador!$E$9)/Simulador!$G$9)/Simulador!$B$11))/2,IF((($A317-Simulador!$E$9)/Simulador!$G$9)&gt;1-Simulador!$B$11,Simulador!$B$10*(1-COS(PI()*(1-(($A317-Simulador!$E$9)/Simulador!$G$9))/Simulador!$B$11))/2,Simulador!$B$10)))</f>
        <v>0</v>
      </c>
      <c r="G317" s="18">
        <f>IF(OR((($A317-Simulador!$E$10)/Simulador!$G$10)&lt;=0,(($A317-Simulador!$E$10)/Simulador!$G$10)&gt;=1),0,IF((($A317-Simulador!$E$10)/Simulador!$G$10)&lt;Simulador!$B$11,Simulador!$B$10*(1-COS(PI()*(($A317-Simulador!$E$10)/Simulador!$G$10)/Simulador!$B$11))/2,IF((($A317-Simulador!$E$10)/Simulador!$G$10)&gt;1-Simulador!$B$11,Simulador!$B$10*(1-COS(PI()*(1-(($A317-Simulador!$E$10)/Simulador!$G$10))/Simulador!$B$11))/2,Simulador!$B$10)))</f>
        <v>0</v>
      </c>
    </row>
    <row r="318" spans="1:7" x14ac:dyDescent="0.25">
      <c r="A318" s="17">
        <f>A317+Simulador!$B$14</f>
        <v>632</v>
      </c>
      <c r="B318" s="18">
        <f>IF(OR((($A318-Simulador!$E$5)/Simulador!$G$5)&lt;=0,(($A318-Simulador!$E$5)/Simulador!$G$5)&gt;=1),0,IF((($A318-Simulador!$E$5)/Simulador!$G$5)&lt;Simulador!$B$11,Simulador!$B$9*(1-COS(PI()*(($A318-Simulador!$E$5)/Simulador!$G$5)/Simulador!$B$11))/2,IF((($A318-Simulador!$E$5)/Simulador!$G$5)&gt;1-Simulador!$B$11,Simulador!$B$9*(1-COS(PI()*(1-(($A318-Simulador!$E$5)/Simulador!$G$5))/Simulador!$B$11))/2,Simulador!$B$9)))</f>
        <v>0</v>
      </c>
      <c r="C318" s="18">
        <f>IF(OR((($A318-Simulador!$E$6)/Simulador!$G$6)&lt;=0,(($A318-Simulador!$E$6)/Simulador!$G$6)&gt;=1),0,IF((($A318-Simulador!$E$6)/Simulador!$G$6)&lt;Simulador!$B$11,Simulador!$B$9*(1-COS(PI()*(($A318-Simulador!$E$6)/Simulador!$G$6)/Simulador!$B$11))/2,IF((($A318-Simulador!$E$6)/Simulador!$G$6)&gt;1-Simulador!$B$11,Simulador!$B$9*(1-COS(PI()*(1-(($A318-Simulador!$E$6)/Simulador!$G$6))/Simulador!$B$11))/2,Simulador!$B$9)))</f>
        <v>0</v>
      </c>
      <c r="D318" s="18">
        <f>IF(OR((($A318-Simulador!$E$7)/Simulador!$G$7)&lt;=0,(($A318-Simulador!$E$7)/Simulador!$G$7)&gt;=1),0,IF((($A318-Simulador!$E$7)/Simulador!$G$7)&lt;Simulador!$B$11,Simulador!$B$9*(1-COS(PI()*(($A318-Simulador!$E$7)/Simulador!$G$7)/Simulador!$B$11))/2,IF((($A318-Simulador!$E$7)/Simulador!$G$7)&gt;1-Simulador!$B$11,Simulador!$B$9*(1-COS(PI()*(1-(($A318-Simulador!$E$7)/Simulador!$G$7))/Simulador!$B$11))/2,Simulador!$B$9)))</f>
        <v>0</v>
      </c>
      <c r="E318" s="18">
        <f>IF(OR((($A318-Simulador!$E$8)/Simulador!$G$8)&lt;=0,(($A318-Simulador!$E$8)/Simulador!$G$8)&gt;=1),0,IF((($A318-Simulador!$E$8)/Simulador!$G$8)&lt;Simulador!$B$11,Simulador!$B$10*(1-COS(PI()*(($A318-Simulador!$E$8)/Simulador!$G$8)/Simulador!$B$11))/2,IF((($A318-Simulador!$E$8)/Simulador!$G$8)&gt;1-Simulador!$B$11,Simulador!$B$10*(1-COS(PI()*(1-(($A318-Simulador!$E$8)/Simulador!$G$8))/Simulador!$B$11))/2,Simulador!$B$10)))</f>
        <v>0</v>
      </c>
      <c r="F318" s="18">
        <f>IF(OR((($A318-Simulador!$E$9)/Simulador!$G$9)&lt;=0,(($A318-Simulador!$E$9)/Simulador!$G$9)&gt;=1),0,IF((($A318-Simulador!$E$9)/Simulador!$G$9)&lt;Simulador!$B$11,Simulador!$B$10*(1-COS(PI()*(($A318-Simulador!$E$9)/Simulador!$G$9)/Simulador!$B$11))/2,IF((($A318-Simulador!$E$9)/Simulador!$G$9)&gt;1-Simulador!$B$11,Simulador!$B$10*(1-COS(PI()*(1-(($A318-Simulador!$E$9)/Simulador!$G$9))/Simulador!$B$11))/2,Simulador!$B$10)))</f>
        <v>0</v>
      </c>
      <c r="G318" s="18">
        <f>IF(OR((($A318-Simulador!$E$10)/Simulador!$G$10)&lt;=0,(($A318-Simulador!$E$10)/Simulador!$G$10)&gt;=1),0,IF((($A318-Simulador!$E$10)/Simulador!$G$10)&lt;Simulador!$B$11,Simulador!$B$10*(1-COS(PI()*(($A318-Simulador!$E$10)/Simulador!$G$10)/Simulador!$B$11))/2,IF((($A318-Simulador!$E$10)/Simulador!$G$10)&gt;1-Simulador!$B$11,Simulador!$B$10*(1-COS(PI()*(1-(($A318-Simulador!$E$10)/Simulador!$G$10))/Simulador!$B$11))/2,Simulador!$B$10)))</f>
        <v>0</v>
      </c>
    </row>
    <row r="319" spans="1:7" x14ac:dyDescent="0.25">
      <c r="A319" s="17">
        <f>A318+Simulador!$B$14</f>
        <v>634</v>
      </c>
      <c r="B319" s="18">
        <f>IF(OR((($A319-Simulador!$E$5)/Simulador!$G$5)&lt;=0,(($A319-Simulador!$E$5)/Simulador!$G$5)&gt;=1),0,IF((($A319-Simulador!$E$5)/Simulador!$G$5)&lt;Simulador!$B$11,Simulador!$B$9*(1-COS(PI()*(($A319-Simulador!$E$5)/Simulador!$G$5)/Simulador!$B$11))/2,IF((($A319-Simulador!$E$5)/Simulador!$G$5)&gt;1-Simulador!$B$11,Simulador!$B$9*(1-COS(PI()*(1-(($A319-Simulador!$E$5)/Simulador!$G$5))/Simulador!$B$11))/2,Simulador!$B$9)))</f>
        <v>0</v>
      </c>
      <c r="C319" s="18">
        <f>IF(OR((($A319-Simulador!$E$6)/Simulador!$G$6)&lt;=0,(($A319-Simulador!$E$6)/Simulador!$G$6)&gt;=1),0,IF((($A319-Simulador!$E$6)/Simulador!$G$6)&lt;Simulador!$B$11,Simulador!$B$9*(1-COS(PI()*(($A319-Simulador!$E$6)/Simulador!$G$6)/Simulador!$B$11))/2,IF((($A319-Simulador!$E$6)/Simulador!$G$6)&gt;1-Simulador!$B$11,Simulador!$B$9*(1-COS(PI()*(1-(($A319-Simulador!$E$6)/Simulador!$G$6))/Simulador!$B$11))/2,Simulador!$B$9)))</f>
        <v>0</v>
      </c>
      <c r="D319" s="18">
        <f>IF(OR((($A319-Simulador!$E$7)/Simulador!$G$7)&lt;=0,(($A319-Simulador!$E$7)/Simulador!$G$7)&gt;=1),0,IF((($A319-Simulador!$E$7)/Simulador!$G$7)&lt;Simulador!$B$11,Simulador!$B$9*(1-COS(PI()*(($A319-Simulador!$E$7)/Simulador!$G$7)/Simulador!$B$11))/2,IF((($A319-Simulador!$E$7)/Simulador!$G$7)&gt;1-Simulador!$B$11,Simulador!$B$9*(1-COS(PI()*(1-(($A319-Simulador!$E$7)/Simulador!$G$7))/Simulador!$B$11))/2,Simulador!$B$9)))</f>
        <v>0</v>
      </c>
      <c r="E319" s="18">
        <f>IF(OR((($A319-Simulador!$E$8)/Simulador!$G$8)&lt;=0,(($A319-Simulador!$E$8)/Simulador!$G$8)&gt;=1),0,IF((($A319-Simulador!$E$8)/Simulador!$G$8)&lt;Simulador!$B$11,Simulador!$B$10*(1-COS(PI()*(($A319-Simulador!$E$8)/Simulador!$G$8)/Simulador!$B$11))/2,IF((($A319-Simulador!$E$8)/Simulador!$G$8)&gt;1-Simulador!$B$11,Simulador!$B$10*(1-COS(PI()*(1-(($A319-Simulador!$E$8)/Simulador!$G$8))/Simulador!$B$11))/2,Simulador!$B$10)))</f>
        <v>0</v>
      </c>
      <c r="F319" s="18">
        <f>IF(OR((($A319-Simulador!$E$9)/Simulador!$G$9)&lt;=0,(($A319-Simulador!$E$9)/Simulador!$G$9)&gt;=1),0,IF((($A319-Simulador!$E$9)/Simulador!$G$9)&lt;Simulador!$B$11,Simulador!$B$10*(1-COS(PI()*(($A319-Simulador!$E$9)/Simulador!$G$9)/Simulador!$B$11))/2,IF((($A319-Simulador!$E$9)/Simulador!$G$9)&gt;1-Simulador!$B$11,Simulador!$B$10*(1-COS(PI()*(1-(($A319-Simulador!$E$9)/Simulador!$G$9))/Simulador!$B$11))/2,Simulador!$B$10)))</f>
        <v>0</v>
      </c>
      <c r="G319" s="18">
        <f>IF(OR((($A319-Simulador!$E$10)/Simulador!$G$10)&lt;=0,(($A319-Simulador!$E$10)/Simulador!$G$10)&gt;=1),0,IF((($A319-Simulador!$E$10)/Simulador!$G$10)&lt;Simulador!$B$11,Simulador!$B$10*(1-COS(PI()*(($A319-Simulador!$E$10)/Simulador!$G$10)/Simulador!$B$11))/2,IF((($A319-Simulador!$E$10)/Simulador!$G$10)&gt;1-Simulador!$B$11,Simulador!$B$10*(1-COS(PI()*(1-(($A319-Simulador!$E$10)/Simulador!$G$10))/Simulador!$B$11))/2,Simulador!$B$10)))</f>
        <v>0</v>
      </c>
    </row>
    <row r="320" spans="1:7" x14ac:dyDescent="0.25">
      <c r="A320" s="17">
        <f>A319+Simulador!$B$14</f>
        <v>636</v>
      </c>
      <c r="B320" s="18">
        <f>IF(OR((($A320-Simulador!$E$5)/Simulador!$G$5)&lt;=0,(($A320-Simulador!$E$5)/Simulador!$G$5)&gt;=1),0,IF((($A320-Simulador!$E$5)/Simulador!$G$5)&lt;Simulador!$B$11,Simulador!$B$9*(1-COS(PI()*(($A320-Simulador!$E$5)/Simulador!$G$5)/Simulador!$B$11))/2,IF((($A320-Simulador!$E$5)/Simulador!$G$5)&gt;1-Simulador!$B$11,Simulador!$B$9*(1-COS(PI()*(1-(($A320-Simulador!$E$5)/Simulador!$G$5))/Simulador!$B$11))/2,Simulador!$B$9)))</f>
        <v>0</v>
      </c>
      <c r="C320" s="18">
        <f>IF(OR((($A320-Simulador!$E$6)/Simulador!$G$6)&lt;=0,(($A320-Simulador!$E$6)/Simulador!$G$6)&gt;=1),0,IF((($A320-Simulador!$E$6)/Simulador!$G$6)&lt;Simulador!$B$11,Simulador!$B$9*(1-COS(PI()*(($A320-Simulador!$E$6)/Simulador!$G$6)/Simulador!$B$11))/2,IF((($A320-Simulador!$E$6)/Simulador!$G$6)&gt;1-Simulador!$B$11,Simulador!$B$9*(1-COS(PI()*(1-(($A320-Simulador!$E$6)/Simulador!$G$6))/Simulador!$B$11))/2,Simulador!$B$9)))</f>
        <v>0</v>
      </c>
      <c r="D320" s="18">
        <f>IF(OR((($A320-Simulador!$E$7)/Simulador!$G$7)&lt;=0,(($A320-Simulador!$E$7)/Simulador!$G$7)&gt;=1),0,IF((($A320-Simulador!$E$7)/Simulador!$G$7)&lt;Simulador!$B$11,Simulador!$B$9*(1-COS(PI()*(($A320-Simulador!$E$7)/Simulador!$G$7)/Simulador!$B$11))/2,IF((($A320-Simulador!$E$7)/Simulador!$G$7)&gt;1-Simulador!$B$11,Simulador!$B$9*(1-COS(PI()*(1-(($A320-Simulador!$E$7)/Simulador!$G$7))/Simulador!$B$11))/2,Simulador!$B$9)))</f>
        <v>0</v>
      </c>
      <c r="E320" s="18">
        <f>IF(OR((($A320-Simulador!$E$8)/Simulador!$G$8)&lt;=0,(($A320-Simulador!$E$8)/Simulador!$G$8)&gt;=1),0,IF((($A320-Simulador!$E$8)/Simulador!$G$8)&lt;Simulador!$B$11,Simulador!$B$10*(1-COS(PI()*(($A320-Simulador!$E$8)/Simulador!$G$8)/Simulador!$B$11))/2,IF((($A320-Simulador!$E$8)/Simulador!$G$8)&gt;1-Simulador!$B$11,Simulador!$B$10*(1-COS(PI()*(1-(($A320-Simulador!$E$8)/Simulador!$G$8))/Simulador!$B$11))/2,Simulador!$B$10)))</f>
        <v>0</v>
      </c>
      <c r="F320" s="18">
        <f>IF(OR((($A320-Simulador!$E$9)/Simulador!$G$9)&lt;=0,(($A320-Simulador!$E$9)/Simulador!$G$9)&gt;=1),0,IF((($A320-Simulador!$E$9)/Simulador!$G$9)&lt;Simulador!$B$11,Simulador!$B$10*(1-COS(PI()*(($A320-Simulador!$E$9)/Simulador!$G$9)/Simulador!$B$11))/2,IF((($A320-Simulador!$E$9)/Simulador!$G$9)&gt;1-Simulador!$B$11,Simulador!$B$10*(1-COS(PI()*(1-(($A320-Simulador!$E$9)/Simulador!$G$9))/Simulador!$B$11))/2,Simulador!$B$10)))</f>
        <v>0</v>
      </c>
      <c r="G320" s="18">
        <f>IF(OR((($A320-Simulador!$E$10)/Simulador!$G$10)&lt;=0,(($A320-Simulador!$E$10)/Simulador!$G$10)&gt;=1),0,IF((($A320-Simulador!$E$10)/Simulador!$G$10)&lt;Simulador!$B$11,Simulador!$B$10*(1-COS(PI()*(($A320-Simulador!$E$10)/Simulador!$G$10)/Simulador!$B$11))/2,IF((($A320-Simulador!$E$10)/Simulador!$G$10)&gt;1-Simulador!$B$11,Simulador!$B$10*(1-COS(PI()*(1-(($A320-Simulador!$E$10)/Simulador!$G$10))/Simulador!$B$11))/2,Simulador!$B$10)))</f>
        <v>0</v>
      </c>
    </row>
    <row r="321" spans="1:7" x14ac:dyDescent="0.25">
      <c r="A321" s="17">
        <f>A320+Simulador!$B$14</f>
        <v>638</v>
      </c>
      <c r="B321" s="18">
        <f>IF(OR((($A321-Simulador!$E$5)/Simulador!$G$5)&lt;=0,(($A321-Simulador!$E$5)/Simulador!$G$5)&gt;=1),0,IF((($A321-Simulador!$E$5)/Simulador!$G$5)&lt;Simulador!$B$11,Simulador!$B$9*(1-COS(PI()*(($A321-Simulador!$E$5)/Simulador!$G$5)/Simulador!$B$11))/2,IF((($A321-Simulador!$E$5)/Simulador!$G$5)&gt;1-Simulador!$B$11,Simulador!$B$9*(1-COS(PI()*(1-(($A321-Simulador!$E$5)/Simulador!$G$5))/Simulador!$B$11))/2,Simulador!$B$9)))</f>
        <v>0</v>
      </c>
      <c r="C321" s="18">
        <f>IF(OR((($A321-Simulador!$E$6)/Simulador!$G$6)&lt;=0,(($A321-Simulador!$E$6)/Simulador!$G$6)&gt;=1),0,IF((($A321-Simulador!$E$6)/Simulador!$G$6)&lt;Simulador!$B$11,Simulador!$B$9*(1-COS(PI()*(($A321-Simulador!$E$6)/Simulador!$G$6)/Simulador!$B$11))/2,IF((($A321-Simulador!$E$6)/Simulador!$G$6)&gt;1-Simulador!$B$11,Simulador!$B$9*(1-COS(PI()*(1-(($A321-Simulador!$E$6)/Simulador!$G$6))/Simulador!$B$11))/2,Simulador!$B$9)))</f>
        <v>0</v>
      </c>
      <c r="D321" s="18">
        <f>IF(OR((($A321-Simulador!$E$7)/Simulador!$G$7)&lt;=0,(($A321-Simulador!$E$7)/Simulador!$G$7)&gt;=1),0,IF((($A321-Simulador!$E$7)/Simulador!$G$7)&lt;Simulador!$B$11,Simulador!$B$9*(1-COS(PI()*(($A321-Simulador!$E$7)/Simulador!$G$7)/Simulador!$B$11))/2,IF((($A321-Simulador!$E$7)/Simulador!$G$7)&gt;1-Simulador!$B$11,Simulador!$B$9*(1-COS(PI()*(1-(($A321-Simulador!$E$7)/Simulador!$G$7))/Simulador!$B$11))/2,Simulador!$B$9)))</f>
        <v>0</v>
      </c>
      <c r="E321" s="18">
        <f>IF(OR((($A321-Simulador!$E$8)/Simulador!$G$8)&lt;=0,(($A321-Simulador!$E$8)/Simulador!$G$8)&gt;=1),0,IF((($A321-Simulador!$E$8)/Simulador!$G$8)&lt;Simulador!$B$11,Simulador!$B$10*(1-COS(PI()*(($A321-Simulador!$E$8)/Simulador!$G$8)/Simulador!$B$11))/2,IF((($A321-Simulador!$E$8)/Simulador!$G$8)&gt;1-Simulador!$B$11,Simulador!$B$10*(1-COS(PI()*(1-(($A321-Simulador!$E$8)/Simulador!$G$8))/Simulador!$B$11))/2,Simulador!$B$10)))</f>
        <v>0</v>
      </c>
      <c r="F321" s="18">
        <f>IF(OR((($A321-Simulador!$E$9)/Simulador!$G$9)&lt;=0,(($A321-Simulador!$E$9)/Simulador!$G$9)&gt;=1),0,IF((($A321-Simulador!$E$9)/Simulador!$G$9)&lt;Simulador!$B$11,Simulador!$B$10*(1-COS(PI()*(($A321-Simulador!$E$9)/Simulador!$G$9)/Simulador!$B$11))/2,IF((($A321-Simulador!$E$9)/Simulador!$G$9)&gt;1-Simulador!$B$11,Simulador!$B$10*(1-COS(PI()*(1-(($A321-Simulador!$E$9)/Simulador!$G$9))/Simulador!$B$11))/2,Simulador!$B$10)))</f>
        <v>0</v>
      </c>
      <c r="G321" s="18">
        <f>IF(OR((($A321-Simulador!$E$10)/Simulador!$G$10)&lt;=0,(($A321-Simulador!$E$10)/Simulador!$G$10)&gt;=1),0,IF((($A321-Simulador!$E$10)/Simulador!$G$10)&lt;Simulador!$B$11,Simulador!$B$10*(1-COS(PI()*(($A321-Simulador!$E$10)/Simulador!$G$10)/Simulador!$B$11))/2,IF((($A321-Simulador!$E$10)/Simulador!$G$10)&gt;1-Simulador!$B$11,Simulador!$B$10*(1-COS(PI()*(1-(($A321-Simulador!$E$10)/Simulador!$G$10))/Simulador!$B$11))/2,Simulador!$B$10)))</f>
        <v>0</v>
      </c>
    </row>
    <row r="322" spans="1:7" x14ac:dyDescent="0.25">
      <c r="A322" s="17">
        <f>A321+Simulador!$B$14</f>
        <v>640</v>
      </c>
      <c r="B322" s="18">
        <f>IF(OR((($A322-Simulador!$E$5)/Simulador!$G$5)&lt;=0,(($A322-Simulador!$E$5)/Simulador!$G$5)&gt;=1),0,IF((($A322-Simulador!$E$5)/Simulador!$G$5)&lt;Simulador!$B$11,Simulador!$B$9*(1-COS(PI()*(($A322-Simulador!$E$5)/Simulador!$G$5)/Simulador!$B$11))/2,IF((($A322-Simulador!$E$5)/Simulador!$G$5)&gt;1-Simulador!$B$11,Simulador!$B$9*(1-COS(PI()*(1-(($A322-Simulador!$E$5)/Simulador!$G$5))/Simulador!$B$11))/2,Simulador!$B$9)))</f>
        <v>0</v>
      </c>
      <c r="C322" s="18">
        <f>IF(OR((($A322-Simulador!$E$6)/Simulador!$G$6)&lt;=0,(($A322-Simulador!$E$6)/Simulador!$G$6)&gt;=1),0,IF((($A322-Simulador!$E$6)/Simulador!$G$6)&lt;Simulador!$B$11,Simulador!$B$9*(1-COS(PI()*(($A322-Simulador!$E$6)/Simulador!$G$6)/Simulador!$B$11))/2,IF((($A322-Simulador!$E$6)/Simulador!$G$6)&gt;1-Simulador!$B$11,Simulador!$B$9*(1-COS(PI()*(1-(($A322-Simulador!$E$6)/Simulador!$G$6))/Simulador!$B$11))/2,Simulador!$B$9)))</f>
        <v>0</v>
      </c>
      <c r="D322" s="18">
        <f>IF(OR((($A322-Simulador!$E$7)/Simulador!$G$7)&lt;=0,(($A322-Simulador!$E$7)/Simulador!$G$7)&gt;=1),0,IF((($A322-Simulador!$E$7)/Simulador!$G$7)&lt;Simulador!$B$11,Simulador!$B$9*(1-COS(PI()*(($A322-Simulador!$E$7)/Simulador!$G$7)/Simulador!$B$11))/2,IF((($A322-Simulador!$E$7)/Simulador!$G$7)&gt;1-Simulador!$B$11,Simulador!$B$9*(1-COS(PI()*(1-(($A322-Simulador!$E$7)/Simulador!$G$7))/Simulador!$B$11))/2,Simulador!$B$9)))</f>
        <v>0</v>
      </c>
      <c r="E322" s="18">
        <f>IF(OR((($A322-Simulador!$E$8)/Simulador!$G$8)&lt;=0,(($A322-Simulador!$E$8)/Simulador!$G$8)&gt;=1),0,IF((($A322-Simulador!$E$8)/Simulador!$G$8)&lt;Simulador!$B$11,Simulador!$B$10*(1-COS(PI()*(($A322-Simulador!$E$8)/Simulador!$G$8)/Simulador!$B$11))/2,IF((($A322-Simulador!$E$8)/Simulador!$G$8)&gt;1-Simulador!$B$11,Simulador!$B$10*(1-COS(PI()*(1-(($A322-Simulador!$E$8)/Simulador!$G$8))/Simulador!$B$11))/2,Simulador!$B$10)))</f>
        <v>0</v>
      </c>
      <c r="F322" s="18">
        <f>IF(OR((($A322-Simulador!$E$9)/Simulador!$G$9)&lt;=0,(($A322-Simulador!$E$9)/Simulador!$G$9)&gt;=1),0,IF((($A322-Simulador!$E$9)/Simulador!$G$9)&lt;Simulador!$B$11,Simulador!$B$10*(1-COS(PI()*(($A322-Simulador!$E$9)/Simulador!$G$9)/Simulador!$B$11))/2,IF((($A322-Simulador!$E$9)/Simulador!$G$9)&gt;1-Simulador!$B$11,Simulador!$B$10*(1-COS(PI()*(1-(($A322-Simulador!$E$9)/Simulador!$G$9))/Simulador!$B$11))/2,Simulador!$B$10)))</f>
        <v>0</v>
      </c>
      <c r="G322" s="18">
        <f>IF(OR((($A322-Simulador!$E$10)/Simulador!$G$10)&lt;=0,(($A322-Simulador!$E$10)/Simulador!$G$10)&gt;=1),0,IF((($A322-Simulador!$E$10)/Simulador!$G$10)&lt;Simulador!$B$11,Simulador!$B$10*(1-COS(PI()*(($A322-Simulador!$E$10)/Simulador!$G$10)/Simulador!$B$11))/2,IF((($A322-Simulador!$E$10)/Simulador!$G$10)&gt;1-Simulador!$B$11,Simulador!$B$10*(1-COS(PI()*(1-(($A322-Simulador!$E$10)/Simulador!$G$10))/Simulador!$B$11))/2,Simulador!$B$10)))</f>
        <v>0</v>
      </c>
    </row>
    <row r="323" spans="1:7" x14ac:dyDescent="0.25">
      <c r="A323" s="17">
        <f>A322+Simulador!$B$14</f>
        <v>642</v>
      </c>
      <c r="B323" s="18">
        <f>IF(OR((($A323-Simulador!$E$5)/Simulador!$G$5)&lt;=0,(($A323-Simulador!$E$5)/Simulador!$G$5)&gt;=1),0,IF((($A323-Simulador!$E$5)/Simulador!$G$5)&lt;Simulador!$B$11,Simulador!$B$9*(1-COS(PI()*(($A323-Simulador!$E$5)/Simulador!$G$5)/Simulador!$B$11))/2,IF((($A323-Simulador!$E$5)/Simulador!$G$5)&gt;1-Simulador!$B$11,Simulador!$B$9*(1-COS(PI()*(1-(($A323-Simulador!$E$5)/Simulador!$G$5))/Simulador!$B$11))/2,Simulador!$B$9)))</f>
        <v>0</v>
      </c>
      <c r="C323" s="18">
        <f>IF(OR((($A323-Simulador!$E$6)/Simulador!$G$6)&lt;=0,(($A323-Simulador!$E$6)/Simulador!$G$6)&gt;=1),0,IF((($A323-Simulador!$E$6)/Simulador!$G$6)&lt;Simulador!$B$11,Simulador!$B$9*(1-COS(PI()*(($A323-Simulador!$E$6)/Simulador!$G$6)/Simulador!$B$11))/2,IF((($A323-Simulador!$E$6)/Simulador!$G$6)&gt;1-Simulador!$B$11,Simulador!$B$9*(1-COS(PI()*(1-(($A323-Simulador!$E$6)/Simulador!$G$6))/Simulador!$B$11))/2,Simulador!$B$9)))</f>
        <v>0</v>
      </c>
      <c r="D323" s="18">
        <f>IF(OR((($A323-Simulador!$E$7)/Simulador!$G$7)&lt;=0,(($A323-Simulador!$E$7)/Simulador!$G$7)&gt;=1),0,IF((($A323-Simulador!$E$7)/Simulador!$G$7)&lt;Simulador!$B$11,Simulador!$B$9*(1-COS(PI()*(($A323-Simulador!$E$7)/Simulador!$G$7)/Simulador!$B$11))/2,IF((($A323-Simulador!$E$7)/Simulador!$G$7)&gt;1-Simulador!$B$11,Simulador!$B$9*(1-COS(PI()*(1-(($A323-Simulador!$E$7)/Simulador!$G$7))/Simulador!$B$11))/2,Simulador!$B$9)))</f>
        <v>0</v>
      </c>
      <c r="E323" s="18">
        <f>IF(OR((($A323-Simulador!$E$8)/Simulador!$G$8)&lt;=0,(($A323-Simulador!$E$8)/Simulador!$G$8)&gt;=1),0,IF((($A323-Simulador!$E$8)/Simulador!$G$8)&lt;Simulador!$B$11,Simulador!$B$10*(1-COS(PI()*(($A323-Simulador!$E$8)/Simulador!$G$8)/Simulador!$B$11))/2,IF((($A323-Simulador!$E$8)/Simulador!$G$8)&gt;1-Simulador!$B$11,Simulador!$B$10*(1-COS(PI()*(1-(($A323-Simulador!$E$8)/Simulador!$G$8))/Simulador!$B$11))/2,Simulador!$B$10)))</f>
        <v>0</v>
      </c>
      <c r="F323" s="18">
        <f>IF(OR((($A323-Simulador!$E$9)/Simulador!$G$9)&lt;=0,(($A323-Simulador!$E$9)/Simulador!$G$9)&gt;=1),0,IF((($A323-Simulador!$E$9)/Simulador!$G$9)&lt;Simulador!$B$11,Simulador!$B$10*(1-COS(PI()*(($A323-Simulador!$E$9)/Simulador!$G$9)/Simulador!$B$11))/2,IF((($A323-Simulador!$E$9)/Simulador!$G$9)&gt;1-Simulador!$B$11,Simulador!$B$10*(1-COS(PI()*(1-(($A323-Simulador!$E$9)/Simulador!$G$9))/Simulador!$B$11))/2,Simulador!$B$10)))</f>
        <v>0</v>
      </c>
      <c r="G323" s="18">
        <f>IF(OR((($A323-Simulador!$E$10)/Simulador!$G$10)&lt;=0,(($A323-Simulador!$E$10)/Simulador!$G$10)&gt;=1),0,IF((($A323-Simulador!$E$10)/Simulador!$G$10)&lt;Simulador!$B$11,Simulador!$B$10*(1-COS(PI()*(($A323-Simulador!$E$10)/Simulador!$G$10)/Simulador!$B$11))/2,IF((($A323-Simulador!$E$10)/Simulador!$G$10)&gt;1-Simulador!$B$11,Simulador!$B$10*(1-COS(PI()*(1-(($A323-Simulador!$E$10)/Simulador!$G$10))/Simulador!$B$11))/2,Simulador!$B$10)))</f>
        <v>0</v>
      </c>
    </row>
    <row r="324" spans="1:7" x14ac:dyDescent="0.25">
      <c r="A324" s="17">
        <f>A323+Simulador!$B$14</f>
        <v>644</v>
      </c>
      <c r="B324" s="18">
        <f>IF(OR((($A324-Simulador!$E$5)/Simulador!$G$5)&lt;=0,(($A324-Simulador!$E$5)/Simulador!$G$5)&gt;=1),0,IF((($A324-Simulador!$E$5)/Simulador!$G$5)&lt;Simulador!$B$11,Simulador!$B$9*(1-COS(PI()*(($A324-Simulador!$E$5)/Simulador!$G$5)/Simulador!$B$11))/2,IF((($A324-Simulador!$E$5)/Simulador!$G$5)&gt;1-Simulador!$B$11,Simulador!$B$9*(1-COS(PI()*(1-(($A324-Simulador!$E$5)/Simulador!$G$5))/Simulador!$B$11))/2,Simulador!$B$9)))</f>
        <v>0</v>
      </c>
      <c r="C324" s="18">
        <f>IF(OR((($A324-Simulador!$E$6)/Simulador!$G$6)&lt;=0,(($A324-Simulador!$E$6)/Simulador!$G$6)&gt;=1),0,IF((($A324-Simulador!$E$6)/Simulador!$G$6)&lt;Simulador!$B$11,Simulador!$B$9*(1-COS(PI()*(($A324-Simulador!$E$6)/Simulador!$G$6)/Simulador!$B$11))/2,IF((($A324-Simulador!$E$6)/Simulador!$G$6)&gt;1-Simulador!$B$11,Simulador!$B$9*(1-COS(PI()*(1-(($A324-Simulador!$E$6)/Simulador!$G$6))/Simulador!$B$11))/2,Simulador!$B$9)))</f>
        <v>0</v>
      </c>
      <c r="D324" s="18">
        <f>IF(OR((($A324-Simulador!$E$7)/Simulador!$G$7)&lt;=0,(($A324-Simulador!$E$7)/Simulador!$G$7)&gt;=1),0,IF((($A324-Simulador!$E$7)/Simulador!$G$7)&lt;Simulador!$B$11,Simulador!$B$9*(1-COS(PI()*(($A324-Simulador!$E$7)/Simulador!$G$7)/Simulador!$B$11))/2,IF((($A324-Simulador!$E$7)/Simulador!$G$7)&gt;1-Simulador!$B$11,Simulador!$B$9*(1-COS(PI()*(1-(($A324-Simulador!$E$7)/Simulador!$G$7))/Simulador!$B$11))/2,Simulador!$B$9)))</f>
        <v>0</v>
      </c>
      <c r="E324" s="18">
        <f>IF(OR((($A324-Simulador!$E$8)/Simulador!$G$8)&lt;=0,(($A324-Simulador!$E$8)/Simulador!$G$8)&gt;=1),0,IF((($A324-Simulador!$E$8)/Simulador!$G$8)&lt;Simulador!$B$11,Simulador!$B$10*(1-COS(PI()*(($A324-Simulador!$E$8)/Simulador!$G$8)/Simulador!$B$11))/2,IF((($A324-Simulador!$E$8)/Simulador!$G$8)&gt;1-Simulador!$B$11,Simulador!$B$10*(1-COS(PI()*(1-(($A324-Simulador!$E$8)/Simulador!$G$8))/Simulador!$B$11))/2,Simulador!$B$10)))</f>
        <v>0</v>
      </c>
      <c r="F324" s="18">
        <f>IF(OR((($A324-Simulador!$E$9)/Simulador!$G$9)&lt;=0,(($A324-Simulador!$E$9)/Simulador!$G$9)&gt;=1),0,IF((($A324-Simulador!$E$9)/Simulador!$G$9)&lt;Simulador!$B$11,Simulador!$B$10*(1-COS(PI()*(($A324-Simulador!$E$9)/Simulador!$G$9)/Simulador!$B$11))/2,IF((($A324-Simulador!$E$9)/Simulador!$G$9)&gt;1-Simulador!$B$11,Simulador!$B$10*(1-COS(PI()*(1-(($A324-Simulador!$E$9)/Simulador!$G$9))/Simulador!$B$11))/2,Simulador!$B$10)))</f>
        <v>0</v>
      </c>
      <c r="G324" s="18">
        <f>IF(OR((($A324-Simulador!$E$10)/Simulador!$G$10)&lt;=0,(($A324-Simulador!$E$10)/Simulador!$G$10)&gt;=1),0,IF((($A324-Simulador!$E$10)/Simulador!$G$10)&lt;Simulador!$B$11,Simulador!$B$10*(1-COS(PI()*(($A324-Simulador!$E$10)/Simulador!$G$10)/Simulador!$B$11))/2,IF((($A324-Simulador!$E$10)/Simulador!$G$10)&gt;1-Simulador!$B$11,Simulador!$B$10*(1-COS(PI()*(1-(($A324-Simulador!$E$10)/Simulador!$G$10))/Simulador!$B$11))/2,Simulador!$B$10)))</f>
        <v>0</v>
      </c>
    </row>
    <row r="325" spans="1:7" x14ac:dyDescent="0.25">
      <c r="A325" s="17">
        <f>A324+Simulador!$B$14</f>
        <v>646</v>
      </c>
      <c r="B325" s="18">
        <f>IF(OR((($A325-Simulador!$E$5)/Simulador!$G$5)&lt;=0,(($A325-Simulador!$E$5)/Simulador!$G$5)&gt;=1),0,IF((($A325-Simulador!$E$5)/Simulador!$G$5)&lt;Simulador!$B$11,Simulador!$B$9*(1-COS(PI()*(($A325-Simulador!$E$5)/Simulador!$G$5)/Simulador!$B$11))/2,IF((($A325-Simulador!$E$5)/Simulador!$G$5)&gt;1-Simulador!$B$11,Simulador!$B$9*(1-COS(PI()*(1-(($A325-Simulador!$E$5)/Simulador!$G$5))/Simulador!$B$11))/2,Simulador!$B$9)))</f>
        <v>0</v>
      </c>
      <c r="C325" s="18">
        <f>IF(OR((($A325-Simulador!$E$6)/Simulador!$G$6)&lt;=0,(($A325-Simulador!$E$6)/Simulador!$G$6)&gt;=1),0,IF((($A325-Simulador!$E$6)/Simulador!$G$6)&lt;Simulador!$B$11,Simulador!$B$9*(1-COS(PI()*(($A325-Simulador!$E$6)/Simulador!$G$6)/Simulador!$B$11))/2,IF((($A325-Simulador!$E$6)/Simulador!$G$6)&gt;1-Simulador!$B$11,Simulador!$B$9*(1-COS(PI()*(1-(($A325-Simulador!$E$6)/Simulador!$G$6))/Simulador!$B$11))/2,Simulador!$B$9)))</f>
        <v>0</v>
      </c>
      <c r="D325" s="18">
        <f>IF(OR((($A325-Simulador!$E$7)/Simulador!$G$7)&lt;=0,(($A325-Simulador!$E$7)/Simulador!$G$7)&gt;=1),0,IF((($A325-Simulador!$E$7)/Simulador!$G$7)&lt;Simulador!$B$11,Simulador!$B$9*(1-COS(PI()*(($A325-Simulador!$E$7)/Simulador!$G$7)/Simulador!$B$11))/2,IF((($A325-Simulador!$E$7)/Simulador!$G$7)&gt;1-Simulador!$B$11,Simulador!$B$9*(1-COS(PI()*(1-(($A325-Simulador!$E$7)/Simulador!$G$7))/Simulador!$B$11))/2,Simulador!$B$9)))</f>
        <v>0</v>
      </c>
      <c r="E325" s="18">
        <f>IF(OR((($A325-Simulador!$E$8)/Simulador!$G$8)&lt;=0,(($A325-Simulador!$E$8)/Simulador!$G$8)&gt;=1),0,IF((($A325-Simulador!$E$8)/Simulador!$G$8)&lt;Simulador!$B$11,Simulador!$B$10*(1-COS(PI()*(($A325-Simulador!$E$8)/Simulador!$G$8)/Simulador!$B$11))/2,IF((($A325-Simulador!$E$8)/Simulador!$G$8)&gt;1-Simulador!$B$11,Simulador!$B$10*(1-COS(PI()*(1-(($A325-Simulador!$E$8)/Simulador!$G$8))/Simulador!$B$11))/2,Simulador!$B$10)))</f>
        <v>0</v>
      </c>
      <c r="F325" s="18">
        <f>IF(OR((($A325-Simulador!$E$9)/Simulador!$G$9)&lt;=0,(($A325-Simulador!$E$9)/Simulador!$G$9)&gt;=1),0,IF((($A325-Simulador!$E$9)/Simulador!$G$9)&lt;Simulador!$B$11,Simulador!$B$10*(1-COS(PI()*(($A325-Simulador!$E$9)/Simulador!$G$9)/Simulador!$B$11))/2,IF((($A325-Simulador!$E$9)/Simulador!$G$9)&gt;1-Simulador!$B$11,Simulador!$B$10*(1-COS(PI()*(1-(($A325-Simulador!$E$9)/Simulador!$G$9))/Simulador!$B$11))/2,Simulador!$B$10)))</f>
        <v>0</v>
      </c>
      <c r="G325" s="18">
        <f>IF(OR((($A325-Simulador!$E$10)/Simulador!$G$10)&lt;=0,(($A325-Simulador!$E$10)/Simulador!$G$10)&gt;=1),0,IF((($A325-Simulador!$E$10)/Simulador!$G$10)&lt;Simulador!$B$11,Simulador!$B$10*(1-COS(PI()*(($A325-Simulador!$E$10)/Simulador!$G$10)/Simulador!$B$11))/2,IF((($A325-Simulador!$E$10)/Simulador!$G$10)&gt;1-Simulador!$B$11,Simulador!$B$10*(1-COS(PI()*(1-(($A325-Simulador!$E$10)/Simulador!$G$10))/Simulador!$B$11))/2,Simulador!$B$10)))</f>
        <v>0</v>
      </c>
    </row>
    <row r="326" spans="1:7" x14ac:dyDescent="0.25">
      <c r="A326" s="17">
        <f>A325+Simulador!$B$14</f>
        <v>648</v>
      </c>
      <c r="B326" s="18">
        <f>IF(OR((($A326-Simulador!$E$5)/Simulador!$G$5)&lt;=0,(($A326-Simulador!$E$5)/Simulador!$G$5)&gt;=1),0,IF((($A326-Simulador!$E$5)/Simulador!$G$5)&lt;Simulador!$B$11,Simulador!$B$9*(1-COS(PI()*(($A326-Simulador!$E$5)/Simulador!$G$5)/Simulador!$B$11))/2,IF((($A326-Simulador!$E$5)/Simulador!$G$5)&gt;1-Simulador!$B$11,Simulador!$B$9*(1-COS(PI()*(1-(($A326-Simulador!$E$5)/Simulador!$G$5))/Simulador!$B$11))/2,Simulador!$B$9)))</f>
        <v>0</v>
      </c>
      <c r="C326" s="18">
        <f>IF(OR((($A326-Simulador!$E$6)/Simulador!$G$6)&lt;=0,(($A326-Simulador!$E$6)/Simulador!$G$6)&gt;=1),0,IF((($A326-Simulador!$E$6)/Simulador!$G$6)&lt;Simulador!$B$11,Simulador!$B$9*(1-COS(PI()*(($A326-Simulador!$E$6)/Simulador!$G$6)/Simulador!$B$11))/2,IF((($A326-Simulador!$E$6)/Simulador!$G$6)&gt;1-Simulador!$B$11,Simulador!$B$9*(1-COS(PI()*(1-(($A326-Simulador!$E$6)/Simulador!$G$6))/Simulador!$B$11))/2,Simulador!$B$9)))</f>
        <v>0</v>
      </c>
      <c r="D326" s="18">
        <f>IF(OR((($A326-Simulador!$E$7)/Simulador!$G$7)&lt;=0,(($A326-Simulador!$E$7)/Simulador!$G$7)&gt;=1),0,IF((($A326-Simulador!$E$7)/Simulador!$G$7)&lt;Simulador!$B$11,Simulador!$B$9*(1-COS(PI()*(($A326-Simulador!$E$7)/Simulador!$G$7)/Simulador!$B$11))/2,IF((($A326-Simulador!$E$7)/Simulador!$G$7)&gt;1-Simulador!$B$11,Simulador!$B$9*(1-COS(PI()*(1-(($A326-Simulador!$E$7)/Simulador!$G$7))/Simulador!$B$11))/2,Simulador!$B$9)))</f>
        <v>0</v>
      </c>
      <c r="E326" s="18">
        <f>IF(OR((($A326-Simulador!$E$8)/Simulador!$G$8)&lt;=0,(($A326-Simulador!$E$8)/Simulador!$G$8)&gt;=1),0,IF((($A326-Simulador!$E$8)/Simulador!$G$8)&lt;Simulador!$B$11,Simulador!$B$10*(1-COS(PI()*(($A326-Simulador!$E$8)/Simulador!$G$8)/Simulador!$B$11))/2,IF((($A326-Simulador!$E$8)/Simulador!$G$8)&gt;1-Simulador!$B$11,Simulador!$B$10*(1-COS(PI()*(1-(($A326-Simulador!$E$8)/Simulador!$G$8))/Simulador!$B$11))/2,Simulador!$B$10)))</f>
        <v>0</v>
      </c>
      <c r="F326" s="18">
        <f>IF(OR((($A326-Simulador!$E$9)/Simulador!$G$9)&lt;=0,(($A326-Simulador!$E$9)/Simulador!$G$9)&gt;=1),0,IF((($A326-Simulador!$E$9)/Simulador!$G$9)&lt;Simulador!$B$11,Simulador!$B$10*(1-COS(PI()*(($A326-Simulador!$E$9)/Simulador!$G$9)/Simulador!$B$11))/2,IF((($A326-Simulador!$E$9)/Simulador!$G$9)&gt;1-Simulador!$B$11,Simulador!$B$10*(1-COS(PI()*(1-(($A326-Simulador!$E$9)/Simulador!$G$9))/Simulador!$B$11))/2,Simulador!$B$10)))</f>
        <v>0</v>
      </c>
      <c r="G326" s="18">
        <f>IF(OR((($A326-Simulador!$E$10)/Simulador!$G$10)&lt;=0,(($A326-Simulador!$E$10)/Simulador!$G$10)&gt;=1),0,IF((($A326-Simulador!$E$10)/Simulador!$G$10)&lt;Simulador!$B$11,Simulador!$B$10*(1-COS(PI()*(($A326-Simulador!$E$10)/Simulador!$G$10)/Simulador!$B$11))/2,IF((($A326-Simulador!$E$10)/Simulador!$G$10)&gt;1-Simulador!$B$11,Simulador!$B$10*(1-COS(PI()*(1-(($A326-Simulador!$E$10)/Simulador!$G$10))/Simulador!$B$11))/2,Simulador!$B$10)))</f>
        <v>0</v>
      </c>
    </row>
    <row r="327" spans="1:7" x14ac:dyDescent="0.25">
      <c r="A327" s="17">
        <f>A326+Simulador!$B$14</f>
        <v>650</v>
      </c>
      <c r="B327" s="18">
        <f>IF(OR((($A327-Simulador!$E$5)/Simulador!$G$5)&lt;=0,(($A327-Simulador!$E$5)/Simulador!$G$5)&gt;=1),0,IF((($A327-Simulador!$E$5)/Simulador!$G$5)&lt;Simulador!$B$11,Simulador!$B$9*(1-COS(PI()*(($A327-Simulador!$E$5)/Simulador!$G$5)/Simulador!$B$11))/2,IF((($A327-Simulador!$E$5)/Simulador!$G$5)&gt;1-Simulador!$B$11,Simulador!$B$9*(1-COS(PI()*(1-(($A327-Simulador!$E$5)/Simulador!$G$5))/Simulador!$B$11))/2,Simulador!$B$9)))</f>
        <v>0</v>
      </c>
      <c r="C327" s="18">
        <f>IF(OR((($A327-Simulador!$E$6)/Simulador!$G$6)&lt;=0,(($A327-Simulador!$E$6)/Simulador!$G$6)&gt;=1),0,IF((($A327-Simulador!$E$6)/Simulador!$G$6)&lt;Simulador!$B$11,Simulador!$B$9*(1-COS(PI()*(($A327-Simulador!$E$6)/Simulador!$G$6)/Simulador!$B$11))/2,IF((($A327-Simulador!$E$6)/Simulador!$G$6)&gt;1-Simulador!$B$11,Simulador!$B$9*(1-COS(PI()*(1-(($A327-Simulador!$E$6)/Simulador!$G$6))/Simulador!$B$11))/2,Simulador!$B$9)))</f>
        <v>0</v>
      </c>
      <c r="D327" s="18">
        <f>IF(OR((($A327-Simulador!$E$7)/Simulador!$G$7)&lt;=0,(($A327-Simulador!$E$7)/Simulador!$G$7)&gt;=1),0,IF((($A327-Simulador!$E$7)/Simulador!$G$7)&lt;Simulador!$B$11,Simulador!$B$9*(1-COS(PI()*(($A327-Simulador!$E$7)/Simulador!$G$7)/Simulador!$B$11))/2,IF((($A327-Simulador!$E$7)/Simulador!$G$7)&gt;1-Simulador!$B$11,Simulador!$B$9*(1-COS(PI()*(1-(($A327-Simulador!$E$7)/Simulador!$G$7))/Simulador!$B$11))/2,Simulador!$B$9)))</f>
        <v>0</v>
      </c>
      <c r="E327" s="18">
        <f>IF(OR((($A327-Simulador!$E$8)/Simulador!$G$8)&lt;=0,(($A327-Simulador!$E$8)/Simulador!$G$8)&gt;=1),0,IF((($A327-Simulador!$E$8)/Simulador!$G$8)&lt;Simulador!$B$11,Simulador!$B$10*(1-COS(PI()*(($A327-Simulador!$E$8)/Simulador!$G$8)/Simulador!$B$11))/2,IF((($A327-Simulador!$E$8)/Simulador!$G$8)&gt;1-Simulador!$B$11,Simulador!$B$10*(1-COS(PI()*(1-(($A327-Simulador!$E$8)/Simulador!$G$8))/Simulador!$B$11))/2,Simulador!$B$10)))</f>
        <v>0</v>
      </c>
      <c r="F327" s="18">
        <f>IF(OR((($A327-Simulador!$E$9)/Simulador!$G$9)&lt;=0,(($A327-Simulador!$E$9)/Simulador!$G$9)&gt;=1),0,IF((($A327-Simulador!$E$9)/Simulador!$G$9)&lt;Simulador!$B$11,Simulador!$B$10*(1-COS(PI()*(($A327-Simulador!$E$9)/Simulador!$G$9)/Simulador!$B$11))/2,IF((($A327-Simulador!$E$9)/Simulador!$G$9)&gt;1-Simulador!$B$11,Simulador!$B$10*(1-COS(PI()*(1-(($A327-Simulador!$E$9)/Simulador!$G$9))/Simulador!$B$11))/2,Simulador!$B$10)))</f>
        <v>0</v>
      </c>
      <c r="G327" s="18">
        <f>IF(OR((($A327-Simulador!$E$10)/Simulador!$G$10)&lt;=0,(($A327-Simulador!$E$10)/Simulador!$G$10)&gt;=1),0,IF((($A327-Simulador!$E$10)/Simulador!$G$10)&lt;Simulador!$B$11,Simulador!$B$10*(1-COS(PI()*(($A327-Simulador!$E$10)/Simulador!$G$10)/Simulador!$B$11))/2,IF((($A327-Simulador!$E$10)/Simulador!$G$10)&gt;1-Simulador!$B$11,Simulador!$B$10*(1-COS(PI()*(1-(($A327-Simulador!$E$10)/Simulador!$G$10))/Simulador!$B$11))/2,Simulador!$B$10)))</f>
        <v>0</v>
      </c>
    </row>
    <row r="328" spans="1:7" x14ac:dyDescent="0.25">
      <c r="A328" s="17">
        <f>A327+Simulador!$B$14</f>
        <v>652</v>
      </c>
      <c r="B328" s="18">
        <f>IF(OR((($A328-Simulador!$E$5)/Simulador!$G$5)&lt;=0,(($A328-Simulador!$E$5)/Simulador!$G$5)&gt;=1),0,IF((($A328-Simulador!$E$5)/Simulador!$G$5)&lt;Simulador!$B$11,Simulador!$B$9*(1-COS(PI()*(($A328-Simulador!$E$5)/Simulador!$G$5)/Simulador!$B$11))/2,IF((($A328-Simulador!$E$5)/Simulador!$G$5)&gt;1-Simulador!$B$11,Simulador!$B$9*(1-COS(PI()*(1-(($A328-Simulador!$E$5)/Simulador!$G$5))/Simulador!$B$11))/2,Simulador!$B$9)))</f>
        <v>0</v>
      </c>
      <c r="C328" s="18">
        <f>IF(OR((($A328-Simulador!$E$6)/Simulador!$G$6)&lt;=0,(($A328-Simulador!$E$6)/Simulador!$G$6)&gt;=1),0,IF((($A328-Simulador!$E$6)/Simulador!$G$6)&lt;Simulador!$B$11,Simulador!$B$9*(1-COS(PI()*(($A328-Simulador!$E$6)/Simulador!$G$6)/Simulador!$B$11))/2,IF((($A328-Simulador!$E$6)/Simulador!$G$6)&gt;1-Simulador!$B$11,Simulador!$B$9*(1-COS(PI()*(1-(($A328-Simulador!$E$6)/Simulador!$G$6))/Simulador!$B$11))/2,Simulador!$B$9)))</f>
        <v>0</v>
      </c>
      <c r="D328" s="18">
        <f>IF(OR((($A328-Simulador!$E$7)/Simulador!$G$7)&lt;=0,(($A328-Simulador!$E$7)/Simulador!$G$7)&gt;=1),0,IF((($A328-Simulador!$E$7)/Simulador!$G$7)&lt;Simulador!$B$11,Simulador!$B$9*(1-COS(PI()*(($A328-Simulador!$E$7)/Simulador!$G$7)/Simulador!$B$11))/2,IF((($A328-Simulador!$E$7)/Simulador!$G$7)&gt;1-Simulador!$B$11,Simulador!$B$9*(1-COS(PI()*(1-(($A328-Simulador!$E$7)/Simulador!$G$7))/Simulador!$B$11))/2,Simulador!$B$9)))</f>
        <v>0</v>
      </c>
      <c r="E328" s="18">
        <f>IF(OR((($A328-Simulador!$E$8)/Simulador!$G$8)&lt;=0,(($A328-Simulador!$E$8)/Simulador!$G$8)&gt;=1),0,IF((($A328-Simulador!$E$8)/Simulador!$G$8)&lt;Simulador!$B$11,Simulador!$B$10*(1-COS(PI()*(($A328-Simulador!$E$8)/Simulador!$G$8)/Simulador!$B$11))/2,IF((($A328-Simulador!$E$8)/Simulador!$G$8)&gt;1-Simulador!$B$11,Simulador!$B$10*(1-COS(PI()*(1-(($A328-Simulador!$E$8)/Simulador!$G$8))/Simulador!$B$11))/2,Simulador!$B$10)))</f>
        <v>0</v>
      </c>
      <c r="F328" s="18">
        <f>IF(OR((($A328-Simulador!$E$9)/Simulador!$G$9)&lt;=0,(($A328-Simulador!$E$9)/Simulador!$G$9)&gt;=1),0,IF((($A328-Simulador!$E$9)/Simulador!$G$9)&lt;Simulador!$B$11,Simulador!$B$10*(1-COS(PI()*(($A328-Simulador!$E$9)/Simulador!$G$9)/Simulador!$B$11))/2,IF((($A328-Simulador!$E$9)/Simulador!$G$9)&gt;1-Simulador!$B$11,Simulador!$B$10*(1-COS(PI()*(1-(($A328-Simulador!$E$9)/Simulador!$G$9))/Simulador!$B$11))/2,Simulador!$B$10)))</f>
        <v>0</v>
      </c>
      <c r="G328" s="18">
        <f>IF(OR((($A328-Simulador!$E$10)/Simulador!$G$10)&lt;=0,(($A328-Simulador!$E$10)/Simulador!$G$10)&gt;=1),0,IF((($A328-Simulador!$E$10)/Simulador!$G$10)&lt;Simulador!$B$11,Simulador!$B$10*(1-COS(PI()*(($A328-Simulador!$E$10)/Simulador!$G$10)/Simulador!$B$11))/2,IF((($A328-Simulador!$E$10)/Simulador!$G$10)&gt;1-Simulador!$B$11,Simulador!$B$10*(1-COS(PI()*(1-(($A328-Simulador!$E$10)/Simulador!$G$10))/Simulador!$B$11))/2,Simulador!$B$10)))</f>
        <v>0</v>
      </c>
    </row>
    <row r="329" spans="1:7" x14ac:dyDescent="0.25">
      <c r="A329" s="17">
        <f>A328+Simulador!$B$14</f>
        <v>654</v>
      </c>
      <c r="B329" s="18">
        <f>IF(OR((($A329-Simulador!$E$5)/Simulador!$G$5)&lt;=0,(($A329-Simulador!$E$5)/Simulador!$G$5)&gt;=1),0,IF((($A329-Simulador!$E$5)/Simulador!$G$5)&lt;Simulador!$B$11,Simulador!$B$9*(1-COS(PI()*(($A329-Simulador!$E$5)/Simulador!$G$5)/Simulador!$B$11))/2,IF((($A329-Simulador!$E$5)/Simulador!$G$5)&gt;1-Simulador!$B$11,Simulador!$B$9*(1-COS(PI()*(1-(($A329-Simulador!$E$5)/Simulador!$G$5))/Simulador!$B$11))/2,Simulador!$B$9)))</f>
        <v>0</v>
      </c>
      <c r="C329" s="18">
        <f>IF(OR((($A329-Simulador!$E$6)/Simulador!$G$6)&lt;=0,(($A329-Simulador!$E$6)/Simulador!$G$6)&gt;=1),0,IF((($A329-Simulador!$E$6)/Simulador!$G$6)&lt;Simulador!$B$11,Simulador!$B$9*(1-COS(PI()*(($A329-Simulador!$E$6)/Simulador!$G$6)/Simulador!$B$11))/2,IF((($A329-Simulador!$E$6)/Simulador!$G$6)&gt;1-Simulador!$B$11,Simulador!$B$9*(1-COS(PI()*(1-(($A329-Simulador!$E$6)/Simulador!$G$6))/Simulador!$B$11))/2,Simulador!$B$9)))</f>
        <v>0</v>
      </c>
      <c r="D329" s="18">
        <f>IF(OR((($A329-Simulador!$E$7)/Simulador!$G$7)&lt;=0,(($A329-Simulador!$E$7)/Simulador!$G$7)&gt;=1),0,IF((($A329-Simulador!$E$7)/Simulador!$G$7)&lt;Simulador!$B$11,Simulador!$B$9*(1-COS(PI()*(($A329-Simulador!$E$7)/Simulador!$G$7)/Simulador!$B$11))/2,IF((($A329-Simulador!$E$7)/Simulador!$G$7)&gt;1-Simulador!$B$11,Simulador!$B$9*(1-COS(PI()*(1-(($A329-Simulador!$E$7)/Simulador!$G$7))/Simulador!$B$11))/2,Simulador!$B$9)))</f>
        <v>0</v>
      </c>
      <c r="E329" s="18">
        <f>IF(OR((($A329-Simulador!$E$8)/Simulador!$G$8)&lt;=0,(($A329-Simulador!$E$8)/Simulador!$G$8)&gt;=1),0,IF((($A329-Simulador!$E$8)/Simulador!$G$8)&lt;Simulador!$B$11,Simulador!$B$10*(1-COS(PI()*(($A329-Simulador!$E$8)/Simulador!$G$8)/Simulador!$B$11))/2,IF((($A329-Simulador!$E$8)/Simulador!$G$8)&gt;1-Simulador!$B$11,Simulador!$B$10*(1-COS(PI()*(1-(($A329-Simulador!$E$8)/Simulador!$G$8))/Simulador!$B$11))/2,Simulador!$B$10)))</f>
        <v>0</v>
      </c>
      <c r="F329" s="18">
        <f>IF(OR((($A329-Simulador!$E$9)/Simulador!$G$9)&lt;=0,(($A329-Simulador!$E$9)/Simulador!$G$9)&gt;=1),0,IF((($A329-Simulador!$E$9)/Simulador!$G$9)&lt;Simulador!$B$11,Simulador!$B$10*(1-COS(PI()*(($A329-Simulador!$E$9)/Simulador!$G$9)/Simulador!$B$11))/2,IF((($A329-Simulador!$E$9)/Simulador!$G$9)&gt;1-Simulador!$B$11,Simulador!$B$10*(1-COS(PI()*(1-(($A329-Simulador!$E$9)/Simulador!$G$9))/Simulador!$B$11))/2,Simulador!$B$10)))</f>
        <v>0</v>
      </c>
      <c r="G329" s="18">
        <f>IF(OR((($A329-Simulador!$E$10)/Simulador!$G$10)&lt;=0,(($A329-Simulador!$E$10)/Simulador!$G$10)&gt;=1),0,IF((($A329-Simulador!$E$10)/Simulador!$G$10)&lt;Simulador!$B$11,Simulador!$B$10*(1-COS(PI()*(($A329-Simulador!$E$10)/Simulador!$G$10)/Simulador!$B$11))/2,IF((($A329-Simulador!$E$10)/Simulador!$G$10)&gt;1-Simulador!$B$11,Simulador!$B$10*(1-COS(PI()*(1-(($A329-Simulador!$E$10)/Simulador!$G$10))/Simulador!$B$11))/2,Simulador!$B$10)))</f>
        <v>0</v>
      </c>
    </row>
    <row r="330" spans="1:7" x14ac:dyDescent="0.25">
      <c r="A330" s="17">
        <f>A329+Simulador!$B$14</f>
        <v>656</v>
      </c>
      <c r="B330" s="18">
        <f>IF(OR((($A330-Simulador!$E$5)/Simulador!$G$5)&lt;=0,(($A330-Simulador!$E$5)/Simulador!$G$5)&gt;=1),0,IF((($A330-Simulador!$E$5)/Simulador!$G$5)&lt;Simulador!$B$11,Simulador!$B$9*(1-COS(PI()*(($A330-Simulador!$E$5)/Simulador!$G$5)/Simulador!$B$11))/2,IF((($A330-Simulador!$E$5)/Simulador!$G$5)&gt;1-Simulador!$B$11,Simulador!$B$9*(1-COS(PI()*(1-(($A330-Simulador!$E$5)/Simulador!$G$5))/Simulador!$B$11))/2,Simulador!$B$9)))</f>
        <v>0</v>
      </c>
      <c r="C330" s="18">
        <f>IF(OR((($A330-Simulador!$E$6)/Simulador!$G$6)&lt;=0,(($A330-Simulador!$E$6)/Simulador!$G$6)&gt;=1),0,IF((($A330-Simulador!$E$6)/Simulador!$G$6)&lt;Simulador!$B$11,Simulador!$B$9*(1-COS(PI()*(($A330-Simulador!$E$6)/Simulador!$G$6)/Simulador!$B$11))/2,IF((($A330-Simulador!$E$6)/Simulador!$G$6)&gt;1-Simulador!$B$11,Simulador!$B$9*(1-COS(PI()*(1-(($A330-Simulador!$E$6)/Simulador!$G$6))/Simulador!$B$11))/2,Simulador!$B$9)))</f>
        <v>0</v>
      </c>
      <c r="D330" s="18">
        <f>IF(OR((($A330-Simulador!$E$7)/Simulador!$G$7)&lt;=0,(($A330-Simulador!$E$7)/Simulador!$G$7)&gt;=1),0,IF((($A330-Simulador!$E$7)/Simulador!$G$7)&lt;Simulador!$B$11,Simulador!$B$9*(1-COS(PI()*(($A330-Simulador!$E$7)/Simulador!$G$7)/Simulador!$B$11))/2,IF((($A330-Simulador!$E$7)/Simulador!$G$7)&gt;1-Simulador!$B$11,Simulador!$B$9*(1-COS(PI()*(1-(($A330-Simulador!$E$7)/Simulador!$G$7))/Simulador!$B$11))/2,Simulador!$B$9)))</f>
        <v>0</v>
      </c>
      <c r="E330" s="18">
        <f>IF(OR((($A330-Simulador!$E$8)/Simulador!$G$8)&lt;=0,(($A330-Simulador!$E$8)/Simulador!$G$8)&gt;=1),0,IF((($A330-Simulador!$E$8)/Simulador!$G$8)&lt;Simulador!$B$11,Simulador!$B$10*(1-COS(PI()*(($A330-Simulador!$E$8)/Simulador!$G$8)/Simulador!$B$11))/2,IF((($A330-Simulador!$E$8)/Simulador!$G$8)&gt;1-Simulador!$B$11,Simulador!$B$10*(1-COS(PI()*(1-(($A330-Simulador!$E$8)/Simulador!$G$8))/Simulador!$B$11))/2,Simulador!$B$10)))</f>
        <v>0</v>
      </c>
      <c r="F330" s="18">
        <f>IF(OR((($A330-Simulador!$E$9)/Simulador!$G$9)&lt;=0,(($A330-Simulador!$E$9)/Simulador!$G$9)&gt;=1),0,IF((($A330-Simulador!$E$9)/Simulador!$G$9)&lt;Simulador!$B$11,Simulador!$B$10*(1-COS(PI()*(($A330-Simulador!$E$9)/Simulador!$G$9)/Simulador!$B$11))/2,IF((($A330-Simulador!$E$9)/Simulador!$G$9)&gt;1-Simulador!$B$11,Simulador!$B$10*(1-COS(PI()*(1-(($A330-Simulador!$E$9)/Simulador!$G$9))/Simulador!$B$11))/2,Simulador!$B$10)))</f>
        <v>0</v>
      </c>
      <c r="G330" s="18">
        <f>IF(OR((($A330-Simulador!$E$10)/Simulador!$G$10)&lt;=0,(($A330-Simulador!$E$10)/Simulador!$G$10)&gt;=1),0,IF((($A330-Simulador!$E$10)/Simulador!$G$10)&lt;Simulador!$B$11,Simulador!$B$10*(1-COS(PI()*(($A330-Simulador!$E$10)/Simulador!$G$10)/Simulador!$B$11))/2,IF((($A330-Simulador!$E$10)/Simulador!$G$10)&gt;1-Simulador!$B$11,Simulador!$B$10*(1-COS(PI()*(1-(($A330-Simulador!$E$10)/Simulador!$G$10))/Simulador!$B$11))/2,Simulador!$B$10)))</f>
        <v>0</v>
      </c>
    </row>
    <row r="331" spans="1:7" x14ac:dyDescent="0.25">
      <c r="A331" s="17">
        <f>A330+Simulador!$B$14</f>
        <v>658</v>
      </c>
      <c r="B331" s="18">
        <f>IF(OR((($A331-Simulador!$E$5)/Simulador!$G$5)&lt;=0,(($A331-Simulador!$E$5)/Simulador!$G$5)&gt;=1),0,IF((($A331-Simulador!$E$5)/Simulador!$G$5)&lt;Simulador!$B$11,Simulador!$B$9*(1-COS(PI()*(($A331-Simulador!$E$5)/Simulador!$G$5)/Simulador!$B$11))/2,IF((($A331-Simulador!$E$5)/Simulador!$G$5)&gt;1-Simulador!$B$11,Simulador!$B$9*(1-COS(PI()*(1-(($A331-Simulador!$E$5)/Simulador!$G$5))/Simulador!$B$11))/2,Simulador!$B$9)))</f>
        <v>0</v>
      </c>
      <c r="C331" s="18">
        <f>IF(OR((($A331-Simulador!$E$6)/Simulador!$G$6)&lt;=0,(($A331-Simulador!$E$6)/Simulador!$G$6)&gt;=1),0,IF((($A331-Simulador!$E$6)/Simulador!$G$6)&lt;Simulador!$B$11,Simulador!$B$9*(1-COS(PI()*(($A331-Simulador!$E$6)/Simulador!$G$6)/Simulador!$B$11))/2,IF((($A331-Simulador!$E$6)/Simulador!$G$6)&gt;1-Simulador!$B$11,Simulador!$B$9*(1-COS(PI()*(1-(($A331-Simulador!$E$6)/Simulador!$G$6))/Simulador!$B$11))/2,Simulador!$B$9)))</f>
        <v>0</v>
      </c>
      <c r="D331" s="18">
        <f>IF(OR((($A331-Simulador!$E$7)/Simulador!$G$7)&lt;=0,(($A331-Simulador!$E$7)/Simulador!$G$7)&gt;=1),0,IF((($A331-Simulador!$E$7)/Simulador!$G$7)&lt;Simulador!$B$11,Simulador!$B$9*(1-COS(PI()*(($A331-Simulador!$E$7)/Simulador!$G$7)/Simulador!$B$11))/2,IF((($A331-Simulador!$E$7)/Simulador!$G$7)&gt;1-Simulador!$B$11,Simulador!$B$9*(1-COS(PI()*(1-(($A331-Simulador!$E$7)/Simulador!$G$7))/Simulador!$B$11))/2,Simulador!$B$9)))</f>
        <v>0</v>
      </c>
      <c r="E331" s="18">
        <f>IF(OR((($A331-Simulador!$E$8)/Simulador!$G$8)&lt;=0,(($A331-Simulador!$E$8)/Simulador!$G$8)&gt;=1),0,IF((($A331-Simulador!$E$8)/Simulador!$G$8)&lt;Simulador!$B$11,Simulador!$B$10*(1-COS(PI()*(($A331-Simulador!$E$8)/Simulador!$G$8)/Simulador!$B$11))/2,IF((($A331-Simulador!$E$8)/Simulador!$G$8)&gt;1-Simulador!$B$11,Simulador!$B$10*(1-COS(PI()*(1-(($A331-Simulador!$E$8)/Simulador!$G$8))/Simulador!$B$11))/2,Simulador!$B$10)))</f>
        <v>0</v>
      </c>
      <c r="F331" s="18">
        <f>IF(OR((($A331-Simulador!$E$9)/Simulador!$G$9)&lt;=0,(($A331-Simulador!$E$9)/Simulador!$G$9)&gt;=1),0,IF((($A331-Simulador!$E$9)/Simulador!$G$9)&lt;Simulador!$B$11,Simulador!$B$10*(1-COS(PI()*(($A331-Simulador!$E$9)/Simulador!$G$9)/Simulador!$B$11))/2,IF((($A331-Simulador!$E$9)/Simulador!$G$9)&gt;1-Simulador!$B$11,Simulador!$B$10*(1-COS(PI()*(1-(($A331-Simulador!$E$9)/Simulador!$G$9))/Simulador!$B$11))/2,Simulador!$B$10)))</f>
        <v>0</v>
      </c>
      <c r="G331" s="18">
        <f>IF(OR((($A331-Simulador!$E$10)/Simulador!$G$10)&lt;=0,(($A331-Simulador!$E$10)/Simulador!$G$10)&gt;=1),0,IF((($A331-Simulador!$E$10)/Simulador!$G$10)&lt;Simulador!$B$11,Simulador!$B$10*(1-COS(PI()*(($A331-Simulador!$E$10)/Simulador!$G$10)/Simulador!$B$11))/2,IF((($A331-Simulador!$E$10)/Simulador!$G$10)&gt;1-Simulador!$B$11,Simulador!$B$10*(1-COS(PI()*(1-(($A331-Simulador!$E$10)/Simulador!$G$10))/Simulador!$B$11))/2,Simulador!$B$10)))</f>
        <v>0</v>
      </c>
    </row>
    <row r="332" spans="1:7" x14ac:dyDescent="0.25">
      <c r="A332" s="17">
        <f>A331+Simulador!$B$14</f>
        <v>660</v>
      </c>
      <c r="B332" s="18">
        <f>IF(OR((($A332-Simulador!$E$5)/Simulador!$G$5)&lt;=0,(($A332-Simulador!$E$5)/Simulador!$G$5)&gt;=1),0,IF((($A332-Simulador!$E$5)/Simulador!$G$5)&lt;Simulador!$B$11,Simulador!$B$9*(1-COS(PI()*(($A332-Simulador!$E$5)/Simulador!$G$5)/Simulador!$B$11))/2,IF((($A332-Simulador!$E$5)/Simulador!$G$5)&gt;1-Simulador!$B$11,Simulador!$B$9*(1-COS(PI()*(1-(($A332-Simulador!$E$5)/Simulador!$G$5))/Simulador!$B$11))/2,Simulador!$B$9)))</f>
        <v>0</v>
      </c>
      <c r="C332" s="18">
        <f>IF(OR((($A332-Simulador!$E$6)/Simulador!$G$6)&lt;=0,(($A332-Simulador!$E$6)/Simulador!$G$6)&gt;=1),0,IF((($A332-Simulador!$E$6)/Simulador!$G$6)&lt;Simulador!$B$11,Simulador!$B$9*(1-COS(PI()*(($A332-Simulador!$E$6)/Simulador!$G$6)/Simulador!$B$11))/2,IF((($A332-Simulador!$E$6)/Simulador!$G$6)&gt;1-Simulador!$B$11,Simulador!$B$9*(1-COS(PI()*(1-(($A332-Simulador!$E$6)/Simulador!$G$6))/Simulador!$B$11))/2,Simulador!$B$9)))</f>
        <v>0</v>
      </c>
      <c r="D332" s="18">
        <f>IF(OR((($A332-Simulador!$E$7)/Simulador!$G$7)&lt;=0,(($A332-Simulador!$E$7)/Simulador!$G$7)&gt;=1),0,IF((($A332-Simulador!$E$7)/Simulador!$G$7)&lt;Simulador!$B$11,Simulador!$B$9*(1-COS(PI()*(($A332-Simulador!$E$7)/Simulador!$G$7)/Simulador!$B$11))/2,IF((($A332-Simulador!$E$7)/Simulador!$G$7)&gt;1-Simulador!$B$11,Simulador!$B$9*(1-COS(PI()*(1-(($A332-Simulador!$E$7)/Simulador!$G$7))/Simulador!$B$11))/2,Simulador!$B$9)))</f>
        <v>0</v>
      </c>
      <c r="E332" s="18">
        <f>IF(OR((($A332-Simulador!$E$8)/Simulador!$G$8)&lt;=0,(($A332-Simulador!$E$8)/Simulador!$G$8)&gt;=1),0,IF((($A332-Simulador!$E$8)/Simulador!$G$8)&lt;Simulador!$B$11,Simulador!$B$10*(1-COS(PI()*(($A332-Simulador!$E$8)/Simulador!$G$8)/Simulador!$B$11))/2,IF((($A332-Simulador!$E$8)/Simulador!$G$8)&gt;1-Simulador!$B$11,Simulador!$B$10*(1-COS(PI()*(1-(($A332-Simulador!$E$8)/Simulador!$G$8))/Simulador!$B$11))/2,Simulador!$B$10)))</f>
        <v>0</v>
      </c>
      <c r="F332" s="18">
        <f>IF(OR((($A332-Simulador!$E$9)/Simulador!$G$9)&lt;=0,(($A332-Simulador!$E$9)/Simulador!$G$9)&gt;=1),0,IF((($A332-Simulador!$E$9)/Simulador!$G$9)&lt;Simulador!$B$11,Simulador!$B$10*(1-COS(PI()*(($A332-Simulador!$E$9)/Simulador!$G$9)/Simulador!$B$11))/2,IF((($A332-Simulador!$E$9)/Simulador!$G$9)&gt;1-Simulador!$B$11,Simulador!$B$10*(1-COS(PI()*(1-(($A332-Simulador!$E$9)/Simulador!$G$9))/Simulador!$B$11))/2,Simulador!$B$10)))</f>
        <v>0</v>
      </c>
      <c r="G332" s="18">
        <f>IF(OR((($A332-Simulador!$E$10)/Simulador!$G$10)&lt;=0,(($A332-Simulador!$E$10)/Simulador!$G$10)&gt;=1),0,IF((($A332-Simulador!$E$10)/Simulador!$G$10)&lt;Simulador!$B$11,Simulador!$B$10*(1-COS(PI()*(($A332-Simulador!$E$10)/Simulador!$G$10)/Simulador!$B$11))/2,IF((($A332-Simulador!$E$10)/Simulador!$G$10)&gt;1-Simulador!$B$11,Simulador!$B$10*(1-COS(PI()*(1-(($A332-Simulador!$E$10)/Simulador!$G$10))/Simulador!$B$11))/2,Simulador!$B$10)))</f>
        <v>0</v>
      </c>
    </row>
    <row r="333" spans="1:7" x14ac:dyDescent="0.25">
      <c r="A333" s="17">
        <f>A332+Simulador!$B$14</f>
        <v>662</v>
      </c>
      <c r="B333" s="18">
        <f>IF(OR((($A333-Simulador!$E$5)/Simulador!$G$5)&lt;=0,(($A333-Simulador!$E$5)/Simulador!$G$5)&gt;=1),0,IF((($A333-Simulador!$E$5)/Simulador!$G$5)&lt;Simulador!$B$11,Simulador!$B$9*(1-COS(PI()*(($A333-Simulador!$E$5)/Simulador!$G$5)/Simulador!$B$11))/2,IF((($A333-Simulador!$E$5)/Simulador!$G$5)&gt;1-Simulador!$B$11,Simulador!$B$9*(1-COS(PI()*(1-(($A333-Simulador!$E$5)/Simulador!$G$5))/Simulador!$B$11))/2,Simulador!$B$9)))</f>
        <v>0</v>
      </c>
      <c r="C333" s="18">
        <f>IF(OR((($A333-Simulador!$E$6)/Simulador!$G$6)&lt;=0,(($A333-Simulador!$E$6)/Simulador!$G$6)&gt;=1),0,IF((($A333-Simulador!$E$6)/Simulador!$G$6)&lt;Simulador!$B$11,Simulador!$B$9*(1-COS(PI()*(($A333-Simulador!$E$6)/Simulador!$G$6)/Simulador!$B$11))/2,IF((($A333-Simulador!$E$6)/Simulador!$G$6)&gt;1-Simulador!$B$11,Simulador!$B$9*(1-COS(PI()*(1-(($A333-Simulador!$E$6)/Simulador!$G$6))/Simulador!$B$11))/2,Simulador!$B$9)))</f>
        <v>0</v>
      </c>
      <c r="D333" s="18">
        <f>IF(OR((($A333-Simulador!$E$7)/Simulador!$G$7)&lt;=0,(($A333-Simulador!$E$7)/Simulador!$G$7)&gt;=1),0,IF((($A333-Simulador!$E$7)/Simulador!$G$7)&lt;Simulador!$B$11,Simulador!$B$9*(1-COS(PI()*(($A333-Simulador!$E$7)/Simulador!$G$7)/Simulador!$B$11))/2,IF((($A333-Simulador!$E$7)/Simulador!$G$7)&gt;1-Simulador!$B$11,Simulador!$B$9*(1-COS(PI()*(1-(($A333-Simulador!$E$7)/Simulador!$G$7))/Simulador!$B$11))/2,Simulador!$B$9)))</f>
        <v>0</v>
      </c>
      <c r="E333" s="18">
        <f>IF(OR((($A333-Simulador!$E$8)/Simulador!$G$8)&lt;=0,(($A333-Simulador!$E$8)/Simulador!$G$8)&gt;=1),0,IF((($A333-Simulador!$E$8)/Simulador!$G$8)&lt;Simulador!$B$11,Simulador!$B$10*(1-COS(PI()*(($A333-Simulador!$E$8)/Simulador!$G$8)/Simulador!$B$11))/2,IF((($A333-Simulador!$E$8)/Simulador!$G$8)&gt;1-Simulador!$B$11,Simulador!$B$10*(1-COS(PI()*(1-(($A333-Simulador!$E$8)/Simulador!$G$8))/Simulador!$B$11))/2,Simulador!$B$10)))</f>
        <v>0</v>
      </c>
      <c r="F333" s="18">
        <f>IF(OR((($A333-Simulador!$E$9)/Simulador!$G$9)&lt;=0,(($A333-Simulador!$E$9)/Simulador!$G$9)&gt;=1),0,IF((($A333-Simulador!$E$9)/Simulador!$G$9)&lt;Simulador!$B$11,Simulador!$B$10*(1-COS(PI()*(($A333-Simulador!$E$9)/Simulador!$G$9)/Simulador!$B$11))/2,IF((($A333-Simulador!$E$9)/Simulador!$G$9)&gt;1-Simulador!$B$11,Simulador!$B$10*(1-COS(PI()*(1-(($A333-Simulador!$E$9)/Simulador!$G$9))/Simulador!$B$11))/2,Simulador!$B$10)))</f>
        <v>0</v>
      </c>
      <c r="G333" s="18">
        <f>IF(OR((($A333-Simulador!$E$10)/Simulador!$G$10)&lt;=0,(($A333-Simulador!$E$10)/Simulador!$G$10)&gt;=1),0,IF((($A333-Simulador!$E$10)/Simulador!$G$10)&lt;Simulador!$B$11,Simulador!$B$10*(1-COS(PI()*(($A333-Simulador!$E$10)/Simulador!$G$10)/Simulador!$B$11))/2,IF((($A333-Simulador!$E$10)/Simulador!$G$10)&gt;1-Simulador!$B$11,Simulador!$B$10*(1-COS(PI()*(1-(($A333-Simulador!$E$10)/Simulador!$G$10))/Simulador!$B$11))/2,Simulador!$B$10)))</f>
        <v>0</v>
      </c>
    </row>
    <row r="334" spans="1:7" x14ac:dyDescent="0.25">
      <c r="A334" s="17">
        <f>A333+Simulador!$B$14</f>
        <v>664</v>
      </c>
      <c r="B334" s="18">
        <f>IF(OR((($A334-Simulador!$E$5)/Simulador!$G$5)&lt;=0,(($A334-Simulador!$E$5)/Simulador!$G$5)&gt;=1),0,IF((($A334-Simulador!$E$5)/Simulador!$G$5)&lt;Simulador!$B$11,Simulador!$B$9*(1-COS(PI()*(($A334-Simulador!$E$5)/Simulador!$G$5)/Simulador!$B$11))/2,IF((($A334-Simulador!$E$5)/Simulador!$G$5)&gt;1-Simulador!$B$11,Simulador!$B$9*(1-COS(PI()*(1-(($A334-Simulador!$E$5)/Simulador!$G$5))/Simulador!$B$11))/2,Simulador!$B$9)))</f>
        <v>0</v>
      </c>
      <c r="C334" s="18">
        <f>IF(OR((($A334-Simulador!$E$6)/Simulador!$G$6)&lt;=0,(($A334-Simulador!$E$6)/Simulador!$G$6)&gt;=1),0,IF((($A334-Simulador!$E$6)/Simulador!$G$6)&lt;Simulador!$B$11,Simulador!$B$9*(1-COS(PI()*(($A334-Simulador!$E$6)/Simulador!$G$6)/Simulador!$B$11))/2,IF((($A334-Simulador!$E$6)/Simulador!$G$6)&gt;1-Simulador!$B$11,Simulador!$B$9*(1-COS(PI()*(1-(($A334-Simulador!$E$6)/Simulador!$G$6))/Simulador!$B$11))/2,Simulador!$B$9)))</f>
        <v>0</v>
      </c>
      <c r="D334" s="18">
        <f>IF(OR((($A334-Simulador!$E$7)/Simulador!$G$7)&lt;=0,(($A334-Simulador!$E$7)/Simulador!$G$7)&gt;=1),0,IF((($A334-Simulador!$E$7)/Simulador!$G$7)&lt;Simulador!$B$11,Simulador!$B$9*(1-COS(PI()*(($A334-Simulador!$E$7)/Simulador!$G$7)/Simulador!$B$11))/2,IF((($A334-Simulador!$E$7)/Simulador!$G$7)&gt;1-Simulador!$B$11,Simulador!$B$9*(1-COS(PI()*(1-(($A334-Simulador!$E$7)/Simulador!$G$7))/Simulador!$B$11))/2,Simulador!$B$9)))</f>
        <v>0</v>
      </c>
      <c r="E334" s="18">
        <f>IF(OR((($A334-Simulador!$E$8)/Simulador!$G$8)&lt;=0,(($A334-Simulador!$E$8)/Simulador!$G$8)&gt;=1),0,IF((($A334-Simulador!$E$8)/Simulador!$G$8)&lt;Simulador!$B$11,Simulador!$B$10*(1-COS(PI()*(($A334-Simulador!$E$8)/Simulador!$G$8)/Simulador!$B$11))/2,IF((($A334-Simulador!$E$8)/Simulador!$G$8)&gt;1-Simulador!$B$11,Simulador!$B$10*(1-COS(PI()*(1-(($A334-Simulador!$E$8)/Simulador!$G$8))/Simulador!$B$11))/2,Simulador!$B$10)))</f>
        <v>0</v>
      </c>
      <c r="F334" s="18">
        <f>IF(OR((($A334-Simulador!$E$9)/Simulador!$G$9)&lt;=0,(($A334-Simulador!$E$9)/Simulador!$G$9)&gt;=1),0,IF((($A334-Simulador!$E$9)/Simulador!$G$9)&lt;Simulador!$B$11,Simulador!$B$10*(1-COS(PI()*(($A334-Simulador!$E$9)/Simulador!$G$9)/Simulador!$B$11))/2,IF((($A334-Simulador!$E$9)/Simulador!$G$9)&gt;1-Simulador!$B$11,Simulador!$B$10*(1-COS(PI()*(1-(($A334-Simulador!$E$9)/Simulador!$G$9))/Simulador!$B$11))/2,Simulador!$B$10)))</f>
        <v>0</v>
      </c>
      <c r="G334" s="18">
        <f>IF(OR((($A334-Simulador!$E$10)/Simulador!$G$10)&lt;=0,(($A334-Simulador!$E$10)/Simulador!$G$10)&gt;=1),0,IF((($A334-Simulador!$E$10)/Simulador!$G$10)&lt;Simulador!$B$11,Simulador!$B$10*(1-COS(PI()*(($A334-Simulador!$E$10)/Simulador!$G$10)/Simulador!$B$11))/2,IF((($A334-Simulador!$E$10)/Simulador!$G$10)&gt;1-Simulador!$B$11,Simulador!$B$10*(1-COS(PI()*(1-(($A334-Simulador!$E$10)/Simulador!$G$10))/Simulador!$B$11))/2,Simulador!$B$10)))</f>
        <v>0</v>
      </c>
    </row>
    <row r="335" spans="1:7" x14ac:dyDescent="0.25">
      <c r="A335" s="17">
        <f>A334+Simulador!$B$14</f>
        <v>666</v>
      </c>
      <c r="B335" s="18">
        <f>IF(OR((($A335-Simulador!$E$5)/Simulador!$G$5)&lt;=0,(($A335-Simulador!$E$5)/Simulador!$G$5)&gt;=1),0,IF((($A335-Simulador!$E$5)/Simulador!$G$5)&lt;Simulador!$B$11,Simulador!$B$9*(1-COS(PI()*(($A335-Simulador!$E$5)/Simulador!$G$5)/Simulador!$B$11))/2,IF((($A335-Simulador!$E$5)/Simulador!$G$5)&gt;1-Simulador!$B$11,Simulador!$B$9*(1-COS(PI()*(1-(($A335-Simulador!$E$5)/Simulador!$G$5))/Simulador!$B$11))/2,Simulador!$B$9)))</f>
        <v>0</v>
      </c>
      <c r="C335" s="18">
        <f>IF(OR((($A335-Simulador!$E$6)/Simulador!$G$6)&lt;=0,(($A335-Simulador!$E$6)/Simulador!$G$6)&gt;=1),0,IF((($A335-Simulador!$E$6)/Simulador!$G$6)&lt;Simulador!$B$11,Simulador!$B$9*(1-COS(PI()*(($A335-Simulador!$E$6)/Simulador!$G$6)/Simulador!$B$11))/2,IF((($A335-Simulador!$E$6)/Simulador!$G$6)&gt;1-Simulador!$B$11,Simulador!$B$9*(1-COS(PI()*(1-(($A335-Simulador!$E$6)/Simulador!$G$6))/Simulador!$B$11))/2,Simulador!$B$9)))</f>
        <v>0</v>
      </c>
      <c r="D335" s="18">
        <f>IF(OR((($A335-Simulador!$E$7)/Simulador!$G$7)&lt;=0,(($A335-Simulador!$E$7)/Simulador!$G$7)&gt;=1),0,IF((($A335-Simulador!$E$7)/Simulador!$G$7)&lt;Simulador!$B$11,Simulador!$B$9*(1-COS(PI()*(($A335-Simulador!$E$7)/Simulador!$G$7)/Simulador!$B$11))/2,IF((($A335-Simulador!$E$7)/Simulador!$G$7)&gt;1-Simulador!$B$11,Simulador!$B$9*(1-COS(PI()*(1-(($A335-Simulador!$E$7)/Simulador!$G$7))/Simulador!$B$11))/2,Simulador!$B$9)))</f>
        <v>0</v>
      </c>
      <c r="E335" s="18">
        <f>IF(OR((($A335-Simulador!$E$8)/Simulador!$G$8)&lt;=0,(($A335-Simulador!$E$8)/Simulador!$G$8)&gt;=1),0,IF((($A335-Simulador!$E$8)/Simulador!$G$8)&lt;Simulador!$B$11,Simulador!$B$10*(1-COS(PI()*(($A335-Simulador!$E$8)/Simulador!$G$8)/Simulador!$B$11))/2,IF((($A335-Simulador!$E$8)/Simulador!$G$8)&gt;1-Simulador!$B$11,Simulador!$B$10*(1-COS(PI()*(1-(($A335-Simulador!$E$8)/Simulador!$G$8))/Simulador!$B$11))/2,Simulador!$B$10)))</f>
        <v>0</v>
      </c>
      <c r="F335" s="18">
        <f>IF(OR((($A335-Simulador!$E$9)/Simulador!$G$9)&lt;=0,(($A335-Simulador!$E$9)/Simulador!$G$9)&gt;=1),0,IF((($A335-Simulador!$E$9)/Simulador!$G$9)&lt;Simulador!$B$11,Simulador!$B$10*(1-COS(PI()*(($A335-Simulador!$E$9)/Simulador!$G$9)/Simulador!$B$11))/2,IF((($A335-Simulador!$E$9)/Simulador!$G$9)&gt;1-Simulador!$B$11,Simulador!$B$10*(1-COS(PI()*(1-(($A335-Simulador!$E$9)/Simulador!$G$9))/Simulador!$B$11))/2,Simulador!$B$10)))</f>
        <v>0</v>
      </c>
      <c r="G335" s="18">
        <f>IF(OR((($A335-Simulador!$E$10)/Simulador!$G$10)&lt;=0,(($A335-Simulador!$E$10)/Simulador!$G$10)&gt;=1),0,IF((($A335-Simulador!$E$10)/Simulador!$G$10)&lt;Simulador!$B$11,Simulador!$B$10*(1-COS(PI()*(($A335-Simulador!$E$10)/Simulador!$G$10)/Simulador!$B$11))/2,IF((($A335-Simulador!$E$10)/Simulador!$G$10)&gt;1-Simulador!$B$11,Simulador!$B$10*(1-COS(PI()*(1-(($A335-Simulador!$E$10)/Simulador!$G$10))/Simulador!$B$11))/2,Simulador!$B$10)))</f>
        <v>0</v>
      </c>
    </row>
    <row r="336" spans="1:7" x14ac:dyDescent="0.25">
      <c r="A336" s="17">
        <f>A335+Simulador!$B$14</f>
        <v>668</v>
      </c>
      <c r="B336" s="18">
        <f>IF(OR((($A336-Simulador!$E$5)/Simulador!$G$5)&lt;=0,(($A336-Simulador!$E$5)/Simulador!$G$5)&gt;=1),0,IF((($A336-Simulador!$E$5)/Simulador!$G$5)&lt;Simulador!$B$11,Simulador!$B$9*(1-COS(PI()*(($A336-Simulador!$E$5)/Simulador!$G$5)/Simulador!$B$11))/2,IF((($A336-Simulador!$E$5)/Simulador!$G$5)&gt;1-Simulador!$B$11,Simulador!$B$9*(1-COS(PI()*(1-(($A336-Simulador!$E$5)/Simulador!$G$5))/Simulador!$B$11))/2,Simulador!$B$9)))</f>
        <v>0</v>
      </c>
      <c r="C336" s="18">
        <f>IF(OR((($A336-Simulador!$E$6)/Simulador!$G$6)&lt;=0,(($A336-Simulador!$E$6)/Simulador!$G$6)&gt;=1),0,IF((($A336-Simulador!$E$6)/Simulador!$G$6)&lt;Simulador!$B$11,Simulador!$B$9*(1-COS(PI()*(($A336-Simulador!$E$6)/Simulador!$G$6)/Simulador!$B$11))/2,IF((($A336-Simulador!$E$6)/Simulador!$G$6)&gt;1-Simulador!$B$11,Simulador!$B$9*(1-COS(PI()*(1-(($A336-Simulador!$E$6)/Simulador!$G$6))/Simulador!$B$11))/2,Simulador!$B$9)))</f>
        <v>0</v>
      </c>
      <c r="D336" s="18">
        <f>IF(OR((($A336-Simulador!$E$7)/Simulador!$G$7)&lt;=0,(($A336-Simulador!$E$7)/Simulador!$G$7)&gt;=1),0,IF((($A336-Simulador!$E$7)/Simulador!$G$7)&lt;Simulador!$B$11,Simulador!$B$9*(1-COS(PI()*(($A336-Simulador!$E$7)/Simulador!$G$7)/Simulador!$B$11))/2,IF((($A336-Simulador!$E$7)/Simulador!$G$7)&gt;1-Simulador!$B$11,Simulador!$B$9*(1-COS(PI()*(1-(($A336-Simulador!$E$7)/Simulador!$G$7))/Simulador!$B$11))/2,Simulador!$B$9)))</f>
        <v>0</v>
      </c>
      <c r="E336" s="18">
        <f>IF(OR((($A336-Simulador!$E$8)/Simulador!$G$8)&lt;=0,(($A336-Simulador!$E$8)/Simulador!$G$8)&gt;=1),0,IF((($A336-Simulador!$E$8)/Simulador!$G$8)&lt;Simulador!$B$11,Simulador!$B$10*(1-COS(PI()*(($A336-Simulador!$E$8)/Simulador!$G$8)/Simulador!$B$11))/2,IF((($A336-Simulador!$E$8)/Simulador!$G$8)&gt;1-Simulador!$B$11,Simulador!$B$10*(1-COS(PI()*(1-(($A336-Simulador!$E$8)/Simulador!$G$8))/Simulador!$B$11))/2,Simulador!$B$10)))</f>
        <v>0</v>
      </c>
      <c r="F336" s="18">
        <f>IF(OR((($A336-Simulador!$E$9)/Simulador!$G$9)&lt;=0,(($A336-Simulador!$E$9)/Simulador!$G$9)&gt;=1),0,IF((($A336-Simulador!$E$9)/Simulador!$G$9)&lt;Simulador!$B$11,Simulador!$B$10*(1-COS(PI()*(($A336-Simulador!$E$9)/Simulador!$G$9)/Simulador!$B$11))/2,IF((($A336-Simulador!$E$9)/Simulador!$G$9)&gt;1-Simulador!$B$11,Simulador!$B$10*(1-COS(PI()*(1-(($A336-Simulador!$E$9)/Simulador!$G$9))/Simulador!$B$11))/2,Simulador!$B$10)))</f>
        <v>0</v>
      </c>
      <c r="G336" s="18">
        <f>IF(OR((($A336-Simulador!$E$10)/Simulador!$G$10)&lt;=0,(($A336-Simulador!$E$10)/Simulador!$G$10)&gt;=1),0,IF((($A336-Simulador!$E$10)/Simulador!$G$10)&lt;Simulador!$B$11,Simulador!$B$10*(1-COS(PI()*(($A336-Simulador!$E$10)/Simulador!$G$10)/Simulador!$B$11))/2,IF((($A336-Simulador!$E$10)/Simulador!$G$10)&gt;1-Simulador!$B$11,Simulador!$B$10*(1-COS(PI()*(1-(($A336-Simulador!$E$10)/Simulador!$G$10))/Simulador!$B$11))/2,Simulador!$B$10)))</f>
        <v>0</v>
      </c>
    </row>
    <row r="337" spans="1:7" x14ac:dyDescent="0.25">
      <c r="A337" s="17">
        <f>A336+Simulador!$B$14</f>
        <v>670</v>
      </c>
      <c r="B337" s="18">
        <f>IF(OR((($A337-Simulador!$E$5)/Simulador!$G$5)&lt;=0,(($A337-Simulador!$E$5)/Simulador!$G$5)&gt;=1),0,IF((($A337-Simulador!$E$5)/Simulador!$G$5)&lt;Simulador!$B$11,Simulador!$B$9*(1-COS(PI()*(($A337-Simulador!$E$5)/Simulador!$G$5)/Simulador!$B$11))/2,IF((($A337-Simulador!$E$5)/Simulador!$G$5)&gt;1-Simulador!$B$11,Simulador!$B$9*(1-COS(PI()*(1-(($A337-Simulador!$E$5)/Simulador!$G$5))/Simulador!$B$11))/2,Simulador!$B$9)))</f>
        <v>0</v>
      </c>
      <c r="C337" s="18">
        <f>IF(OR((($A337-Simulador!$E$6)/Simulador!$G$6)&lt;=0,(($A337-Simulador!$E$6)/Simulador!$G$6)&gt;=1),0,IF((($A337-Simulador!$E$6)/Simulador!$G$6)&lt;Simulador!$B$11,Simulador!$B$9*(1-COS(PI()*(($A337-Simulador!$E$6)/Simulador!$G$6)/Simulador!$B$11))/2,IF((($A337-Simulador!$E$6)/Simulador!$G$6)&gt;1-Simulador!$B$11,Simulador!$B$9*(1-COS(PI()*(1-(($A337-Simulador!$E$6)/Simulador!$G$6))/Simulador!$B$11))/2,Simulador!$B$9)))</f>
        <v>0</v>
      </c>
      <c r="D337" s="18">
        <f>IF(OR((($A337-Simulador!$E$7)/Simulador!$G$7)&lt;=0,(($A337-Simulador!$E$7)/Simulador!$G$7)&gt;=1),0,IF((($A337-Simulador!$E$7)/Simulador!$G$7)&lt;Simulador!$B$11,Simulador!$B$9*(1-COS(PI()*(($A337-Simulador!$E$7)/Simulador!$G$7)/Simulador!$B$11))/2,IF((($A337-Simulador!$E$7)/Simulador!$G$7)&gt;1-Simulador!$B$11,Simulador!$B$9*(1-COS(PI()*(1-(($A337-Simulador!$E$7)/Simulador!$G$7))/Simulador!$B$11))/2,Simulador!$B$9)))</f>
        <v>0</v>
      </c>
      <c r="E337" s="18">
        <f>IF(OR((($A337-Simulador!$E$8)/Simulador!$G$8)&lt;=0,(($A337-Simulador!$E$8)/Simulador!$G$8)&gt;=1),0,IF((($A337-Simulador!$E$8)/Simulador!$G$8)&lt;Simulador!$B$11,Simulador!$B$10*(1-COS(PI()*(($A337-Simulador!$E$8)/Simulador!$G$8)/Simulador!$B$11))/2,IF((($A337-Simulador!$E$8)/Simulador!$G$8)&gt;1-Simulador!$B$11,Simulador!$B$10*(1-COS(PI()*(1-(($A337-Simulador!$E$8)/Simulador!$G$8))/Simulador!$B$11))/2,Simulador!$B$10)))</f>
        <v>0</v>
      </c>
      <c r="F337" s="18">
        <f>IF(OR((($A337-Simulador!$E$9)/Simulador!$G$9)&lt;=0,(($A337-Simulador!$E$9)/Simulador!$G$9)&gt;=1),0,IF((($A337-Simulador!$E$9)/Simulador!$G$9)&lt;Simulador!$B$11,Simulador!$B$10*(1-COS(PI()*(($A337-Simulador!$E$9)/Simulador!$G$9)/Simulador!$B$11))/2,IF((($A337-Simulador!$E$9)/Simulador!$G$9)&gt;1-Simulador!$B$11,Simulador!$B$10*(1-COS(PI()*(1-(($A337-Simulador!$E$9)/Simulador!$G$9))/Simulador!$B$11))/2,Simulador!$B$10)))</f>
        <v>0</v>
      </c>
      <c r="G337" s="18">
        <f>IF(OR((($A337-Simulador!$E$10)/Simulador!$G$10)&lt;=0,(($A337-Simulador!$E$10)/Simulador!$G$10)&gt;=1),0,IF((($A337-Simulador!$E$10)/Simulador!$G$10)&lt;Simulador!$B$11,Simulador!$B$10*(1-COS(PI()*(($A337-Simulador!$E$10)/Simulador!$G$10)/Simulador!$B$11))/2,IF((($A337-Simulador!$E$10)/Simulador!$G$10)&gt;1-Simulador!$B$11,Simulador!$B$10*(1-COS(PI()*(1-(($A337-Simulador!$E$10)/Simulador!$G$10))/Simulador!$B$11))/2,Simulador!$B$10)))</f>
        <v>0</v>
      </c>
    </row>
    <row r="338" spans="1:7" x14ac:dyDescent="0.25">
      <c r="A338" s="17">
        <f>A337+Simulador!$B$14</f>
        <v>672</v>
      </c>
      <c r="B338" s="18">
        <f>IF(OR((($A338-Simulador!$E$5)/Simulador!$G$5)&lt;=0,(($A338-Simulador!$E$5)/Simulador!$G$5)&gt;=1),0,IF((($A338-Simulador!$E$5)/Simulador!$G$5)&lt;Simulador!$B$11,Simulador!$B$9*(1-COS(PI()*(($A338-Simulador!$E$5)/Simulador!$G$5)/Simulador!$B$11))/2,IF((($A338-Simulador!$E$5)/Simulador!$G$5)&gt;1-Simulador!$B$11,Simulador!$B$9*(1-COS(PI()*(1-(($A338-Simulador!$E$5)/Simulador!$G$5))/Simulador!$B$11))/2,Simulador!$B$9)))</f>
        <v>0</v>
      </c>
      <c r="C338" s="18">
        <f>IF(OR((($A338-Simulador!$E$6)/Simulador!$G$6)&lt;=0,(($A338-Simulador!$E$6)/Simulador!$G$6)&gt;=1),0,IF((($A338-Simulador!$E$6)/Simulador!$G$6)&lt;Simulador!$B$11,Simulador!$B$9*(1-COS(PI()*(($A338-Simulador!$E$6)/Simulador!$G$6)/Simulador!$B$11))/2,IF((($A338-Simulador!$E$6)/Simulador!$G$6)&gt;1-Simulador!$B$11,Simulador!$B$9*(1-COS(PI()*(1-(($A338-Simulador!$E$6)/Simulador!$G$6))/Simulador!$B$11))/2,Simulador!$B$9)))</f>
        <v>0</v>
      </c>
      <c r="D338" s="18">
        <f>IF(OR((($A338-Simulador!$E$7)/Simulador!$G$7)&lt;=0,(($A338-Simulador!$E$7)/Simulador!$G$7)&gt;=1),0,IF((($A338-Simulador!$E$7)/Simulador!$G$7)&lt;Simulador!$B$11,Simulador!$B$9*(1-COS(PI()*(($A338-Simulador!$E$7)/Simulador!$G$7)/Simulador!$B$11))/2,IF((($A338-Simulador!$E$7)/Simulador!$G$7)&gt;1-Simulador!$B$11,Simulador!$B$9*(1-COS(PI()*(1-(($A338-Simulador!$E$7)/Simulador!$G$7))/Simulador!$B$11))/2,Simulador!$B$9)))</f>
        <v>0</v>
      </c>
      <c r="E338" s="18">
        <f>IF(OR((($A338-Simulador!$E$8)/Simulador!$G$8)&lt;=0,(($A338-Simulador!$E$8)/Simulador!$G$8)&gt;=1),0,IF((($A338-Simulador!$E$8)/Simulador!$G$8)&lt;Simulador!$B$11,Simulador!$B$10*(1-COS(PI()*(($A338-Simulador!$E$8)/Simulador!$G$8)/Simulador!$B$11))/2,IF((($A338-Simulador!$E$8)/Simulador!$G$8)&gt;1-Simulador!$B$11,Simulador!$B$10*(1-COS(PI()*(1-(($A338-Simulador!$E$8)/Simulador!$G$8))/Simulador!$B$11))/2,Simulador!$B$10)))</f>
        <v>0</v>
      </c>
      <c r="F338" s="18">
        <f>IF(OR((($A338-Simulador!$E$9)/Simulador!$G$9)&lt;=0,(($A338-Simulador!$E$9)/Simulador!$G$9)&gt;=1),0,IF((($A338-Simulador!$E$9)/Simulador!$G$9)&lt;Simulador!$B$11,Simulador!$B$10*(1-COS(PI()*(($A338-Simulador!$E$9)/Simulador!$G$9)/Simulador!$B$11))/2,IF((($A338-Simulador!$E$9)/Simulador!$G$9)&gt;1-Simulador!$B$11,Simulador!$B$10*(1-COS(PI()*(1-(($A338-Simulador!$E$9)/Simulador!$G$9))/Simulador!$B$11))/2,Simulador!$B$10)))</f>
        <v>0</v>
      </c>
      <c r="G338" s="18">
        <f>IF(OR((($A338-Simulador!$E$10)/Simulador!$G$10)&lt;=0,(($A338-Simulador!$E$10)/Simulador!$G$10)&gt;=1),0,IF((($A338-Simulador!$E$10)/Simulador!$G$10)&lt;Simulador!$B$11,Simulador!$B$10*(1-COS(PI()*(($A338-Simulador!$E$10)/Simulador!$G$10)/Simulador!$B$11))/2,IF((($A338-Simulador!$E$10)/Simulador!$G$10)&gt;1-Simulador!$B$11,Simulador!$B$10*(1-COS(PI()*(1-(($A338-Simulador!$E$10)/Simulador!$G$10))/Simulador!$B$11))/2,Simulador!$B$10)))</f>
        <v>0</v>
      </c>
    </row>
    <row r="339" spans="1:7" x14ac:dyDescent="0.25">
      <c r="A339" s="17">
        <f>A338+Simulador!$B$14</f>
        <v>674</v>
      </c>
      <c r="B339" s="18">
        <f>IF(OR((($A339-Simulador!$E$5)/Simulador!$G$5)&lt;=0,(($A339-Simulador!$E$5)/Simulador!$G$5)&gt;=1),0,IF((($A339-Simulador!$E$5)/Simulador!$G$5)&lt;Simulador!$B$11,Simulador!$B$9*(1-COS(PI()*(($A339-Simulador!$E$5)/Simulador!$G$5)/Simulador!$B$11))/2,IF((($A339-Simulador!$E$5)/Simulador!$G$5)&gt;1-Simulador!$B$11,Simulador!$B$9*(1-COS(PI()*(1-(($A339-Simulador!$E$5)/Simulador!$G$5))/Simulador!$B$11))/2,Simulador!$B$9)))</f>
        <v>0</v>
      </c>
      <c r="C339" s="18">
        <f>IF(OR((($A339-Simulador!$E$6)/Simulador!$G$6)&lt;=0,(($A339-Simulador!$E$6)/Simulador!$G$6)&gt;=1),0,IF((($A339-Simulador!$E$6)/Simulador!$G$6)&lt;Simulador!$B$11,Simulador!$B$9*(1-COS(PI()*(($A339-Simulador!$E$6)/Simulador!$G$6)/Simulador!$B$11))/2,IF((($A339-Simulador!$E$6)/Simulador!$G$6)&gt;1-Simulador!$B$11,Simulador!$B$9*(1-COS(PI()*(1-(($A339-Simulador!$E$6)/Simulador!$G$6))/Simulador!$B$11))/2,Simulador!$B$9)))</f>
        <v>0</v>
      </c>
      <c r="D339" s="18">
        <f>IF(OR((($A339-Simulador!$E$7)/Simulador!$G$7)&lt;=0,(($A339-Simulador!$E$7)/Simulador!$G$7)&gt;=1),0,IF((($A339-Simulador!$E$7)/Simulador!$G$7)&lt;Simulador!$B$11,Simulador!$B$9*(1-COS(PI()*(($A339-Simulador!$E$7)/Simulador!$G$7)/Simulador!$B$11))/2,IF((($A339-Simulador!$E$7)/Simulador!$G$7)&gt;1-Simulador!$B$11,Simulador!$B$9*(1-COS(PI()*(1-(($A339-Simulador!$E$7)/Simulador!$G$7))/Simulador!$B$11))/2,Simulador!$B$9)))</f>
        <v>0</v>
      </c>
      <c r="E339" s="18">
        <f>IF(OR((($A339-Simulador!$E$8)/Simulador!$G$8)&lt;=0,(($A339-Simulador!$E$8)/Simulador!$G$8)&gt;=1),0,IF((($A339-Simulador!$E$8)/Simulador!$G$8)&lt;Simulador!$B$11,Simulador!$B$10*(1-COS(PI()*(($A339-Simulador!$E$8)/Simulador!$G$8)/Simulador!$B$11))/2,IF((($A339-Simulador!$E$8)/Simulador!$G$8)&gt;1-Simulador!$B$11,Simulador!$B$10*(1-COS(PI()*(1-(($A339-Simulador!$E$8)/Simulador!$G$8))/Simulador!$B$11))/2,Simulador!$B$10)))</f>
        <v>0</v>
      </c>
      <c r="F339" s="18">
        <f>IF(OR((($A339-Simulador!$E$9)/Simulador!$G$9)&lt;=0,(($A339-Simulador!$E$9)/Simulador!$G$9)&gt;=1),0,IF((($A339-Simulador!$E$9)/Simulador!$G$9)&lt;Simulador!$B$11,Simulador!$B$10*(1-COS(PI()*(($A339-Simulador!$E$9)/Simulador!$G$9)/Simulador!$B$11))/2,IF((($A339-Simulador!$E$9)/Simulador!$G$9)&gt;1-Simulador!$B$11,Simulador!$B$10*(1-COS(PI()*(1-(($A339-Simulador!$E$9)/Simulador!$G$9))/Simulador!$B$11))/2,Simulador!$B$10)))</f>
        <v>0</v>
      </c>
      <c r="G339" s="18">
        <f>IF(OR((($A339-Simulador!$E$10)/Simulador!$G$10)&lt;=0,(($A339-Simulador!$E$10)/Simulador!$G$10)&gt;=1),0,IF((($A339-Simulador!$E$10)/Simulador!$G$10)&lt;Simulador!$B$11,Simulador!$B$10*(1-COS(PI()*(($A339-Simulador!$E$10)/Simulador!$G$10)/Simulador!$B$11))/2,IF((($A339-Simulador!$E$10)/Simulador!$G$10)&gt;1-Simulador!$B$11,Simulador!$B$10*(1-COS(PI()*(1-(($A339-Simulador!$E$10)/Simulador!$G$10))/Simulador!$B$11))/2,Simulador!$B$10)))</f>
        <v>0</v>
      </c>
    </row>
    <row r="340" spans="1:7" x14ac:dyDescent="0.25">
      <c r="A340" s="17">
        <f>A339+Simulador!$B$14</f>
        <v>676</v>
      </c>
      <c r="B340" s="18">
        <f>IF(OR((($A340-Simulador!$E$5)/Simulador!$G$5)&lt;=0,(($A340-Simulador!$E$5)/Simulador!$G$5)&gt;=1),0,IF((($A340-Simulador!$E$5)/Simulador!$G$5)&lt;Simulador!$B$11,Simulador!$B$9*(1-COS(PI()*(($A340-Simulador!$E$5)/Simulador!$G$5)/Simulador!$B$11))/2,IF((($A340-Simulador!$E$5)/Simulador!$G$5)&gt;1-Simulador!$B$11,Simulador!$B$9*(1-COS(PI()*(1-(($A340-Simulador!$E$5)/Simulador!$G$5))/Simulador!$B$11))/2,Simulador!$B$9)))</f>
        <v>0</v>
      </c>
      <c r="C340" s="18">
        <f>IF(OR((($A340-Simulador!$E$6)/Simulador!$G$6)&lt;=0,(($A340-Simulador!$E$6)/Simulador!$G$6)&gt;=1),0,IF((($A340-Simulador!$E$6)/Simulador!$G$6)&lt;Simulador!$B$11,Simulador!$B$9*(1-COS(PI()*(($A340-Simulador!$E$6)/Simulador!$G$6)/Simulador!$B$11))/2,IF((($A340-Simulador!$E$6)/Simulador!$G$6)&gt;1-Simulador!$B$11,Simulador!$B$9*(1-COS(PI()*(1-(($A340-Simulador!$E$6)/Simulador!$G$6))/Simulador!$B$11))/2,Simulador!$B$9)))</f>
        <v>0</v>
      </c>
      <c r="D340" s="18">
        <f>IF(OR((($A340-Simulador!$E$7)/Simulador!$G$7)&lt;=0,(($A340-Simulador!$E$7)/Simulador!$G$7)&gt;=1),0,IF((($A340-Simulador!$E$7)/Simulador!$G$7)&lt;Simulador!$B$11,Simulador!$B$9*(1-COS(PI()*(($A340-Simulador!$E$7)/Simulador!$G$7)/Simulador!$B$11))/2,IF((($A340-Simulador!$E$7)/Simulador!$G$7)&gt;1-Simulador!$B$11,Simulador!$B$9*(1-COS(PI()*(1-(($A340-Simulador!$E$7)/Simulador!$G$7))/Simulador!$B$11))/2,Simulador!$B$9)))</f>
        <v>0</v>
      </c>
      <c r="E340" s="18">
        <f>IF(OR((($A340-Simulador!$E$8)/Simulador!$G$8)&lt;=0,(($A340-Simulador!$E$8)/Simulador!$G$8)&gt;=1),0,IF((($A340-Simulador!$E$8)/Simulador!$G$8)&lt;Simulador!$B$11,Simulador!$B$10*(1-COS(PI()*(($A340-Simulador!$E$8)/Simulador!$G$8)/Simulador!$B$11))/2,IF((($A340-Simulador!$E$8)/Simulador!$G$8)&gt;1-Simulador!$B$11,Simulador!$B$10*(1-COS(PI()*(1-(($A340-Simulador!$E$8)/Simulador!$G$8))/Simulador!$B$11))/2,Simulador!$B$10)))</f>
        <v>0</v>
      </c>
      <c r="F340" s="18">
        <f>IF(OR((($A340-Simulador!$E$9)/Simulador!$G$9)&lt;=0,(($A340-Simulador!$E$9)/Simulador!$G$9)&gt;=1),0,IF((($A340-Simulador!$E$9)/Simulador!$G$9)&lt;Simulador!$B$11,Simulador!$B$10*(1-COS(PI()*(($A340-Simulador!$E$9)/Simulador!$G$9)/Simulador!$B$11))/2,IF((($A340-Simulador!$E$9)/Simulador!$G$9)&gt;1-Simulador!$B$11,Simulador!$B$10*(1-COS(PI()*(1-(($A340-Simulador!$E$9)/Simulador!$G$9))/Simulador!$B$11))/2,Simulador!$B$10)))</f>
        <v>0</v>
      </c>
      <c r="G340" s="18">
        <f>IF(OR((($A340-Simulador!$E$10)/Simulador!$G$10)&lt;=0,(($A340-Simulador!$E$10)/Simulador!$G$10)&gt;=1),0,IF((($A340-Simulador!$E$10)/Simulador!$G$10)&lt;Simulador!$B$11,Simulador!$B$10*(1-COS(PI()*(($A340-Simulador!$E$10)/Simulador!$G$10)/Simulador!$B$11))/2,IF((($A340-Simulador!$E$10)/Simulador!$G$10)&gt;1-Simulador!$B$11,Simulador!$B$10*(1-COS(PI()*(1-(($A340-Simulador!$E$10)/Simulador!$G$10))/Simulador!$B$11))/2,Simulador!$B$10)))</f>
        <v>0</v>
      </c>
    </row>
    <row r="341" spans="1:7" x14ac:dyDescent="0.25">
      <c r="A341" s="17">
        <f>A340+Simulador!$B$14</f>
        <v>678</v>
      </c>
      <c r="B341" s="18">
        <f>IF(OR((($A341-Simulador!$E$5)/Simulador!$G$5)&lt;=0,(($A341-Simulador!$E$5)/Simulador!$G$5)&gt;=1),0,IF((($A341-Simulador!$E$5)/Simulador!$G$5)&lt;Simulador!$B$11,Simulador!$B$9*(1-COS(PI()*(($A341-Simulador!$E$5)/Simulador!$G$5)/Simulador!$B$11))/2,IF((($A341-Simulador!$E$5)/Simulador!$G$5)&gt;1-Simulador!$B$11,Simulador!$B$9*(1-COS(PI()*(1-(($A341-Simulador!$E$5)/Simulador!$G$5))/Simulador!$B$11))/2,Simulador!$B$9)))</f>
        <v>0</v>
      </c>
      <c r="C341" s="18">
        <f>IF(OR((($A341-Simulador!$E$6)/Simulador!$G$6)&lt;=0,(($A341-Simulador!$E$6)/Simulador!$G$6)&gt;=1),0,IF((($A341-Simulador!$E$6)/Simulador!$G$6)&lt;Simulador!$B$11,Simulador!$B$9*(1-COS(PI()*(($A341-Simulador!$E$6)/Simulador!$G$6)/Simulador!$B$11))/2,IF((($A341-Simulador!$E$6)/Simulador!$G$6)&gt;1-Simulador!$B$11,Simulador!$B$9*(1-COS(PI()*(1-(($A341-Simulador!$E$6)/Simulador!$G$6))/Simulador!$B$11))/2,Simulador!$B$9)))</f>
        <v>0</v>
      </c>
      <c r="D341" s="18">
        <f>IF(OR((($A341-Simulador!$E$7)/Simulador!$G$7)&lt;=0,(($A341-Simulador!$E$7)/Simulador!$G$7)&gt;=1),0,IF((($A341-Simulador!$E$7)/Simulador!$G$7)&lt;Simulador!$B$11,Simulador!$B$9*(1-COS(PI()*(($A341-Simulador!$E$7)/Simulador!$G$7)/Simulador!$B$11))/2,IF((($A341-Simulador!$E$7)/Simulador!$G$7)&gt;1-Simulador!$B$11,Simulador!$B$9*(1-COS(PI()*(1-(($A341-Simulador!$E$7)/Simulador!$G$7))/Simulador!$B$11))/2,Simulador!$B$9)))</f>
        <v>0</v>
      </c>
      <c r="E341" s="18">
        <f>IF(OR((($A341-Simulador!$E$8)/Simulador!$G$8)&lt;=0,(($A341-Simulador!$E$8)/Simulador!$G$8)&gt;=1),0,IF((($A341-Simulador!$E$8)/Simulador!$G$8)&lt;Simulador!$B$11,Simulador!$B$10*(1-COS(PI()*(($A341-Simulador!$E$8)/Simulador!$G$8)/Simulador!$B$11))/2,IF((($A341-Simulador!$E$8)/Simulador!$G$8)&gt;1-Simulador!$B$11,Simulador!$B$10*(1-COS(PI()*(1-(($A341-Simulador!$E$8)/Simulador!$G$8))/Simulador!$B$11))/2,Simulador!$B$10)))</f>
        <v>0</v>
      </c>
      <c r="F341" s="18">
        <f>IF(OR((($A341-Simulador!$E$9)/Simulador!$G$9)&lt;=0,(($A341-Simulador!$E$9)/Simulador!$G$9)&gt;=1),0,IF((($A341-Simulador!$E$9)/Simulador!$G$9)&lt;Simulador!$B$11,Simulador!$B$10*(1-COS(PI()*(($A341-Simulador!$E$9)/Simulador!$G$9)/Simulador!$B$11))/2,IF((($A341-Simulador!$E$9)/Simulador!$G$9)&gt;1-Simulador!$B$11,Simulador!$B$10*(1-COS(PI()*(1-(($A341-Simulador!$E$9)/Simulador!$G$9))/Simulador!$B$11))/2,Simulador!$B$10)))</f>
        <v>0</v>
      </c>
      <c r="G341" s="18">
        <f>IF(OR((($A341-Simulador!$E$10)/Simulador!$G$10)&lt;=0,(($A341-Simulador!$E$10)/Simulador!$G$10)&gt;=1),0,IF((($A341-Simulador!$E$10)/Simulador!$G$10)&lt;Simulador!$B$11,Simulador!$B$10*(1-COS(PI()*(($A341-Simulador!$E$10)/Simulador!$G$10)/Simulador!$B$11))/2,IF((($A341-Simulador!$E$10)/Simulador!$G$10)&gt;1-Simulador!$B$11,Simulador!$B$10*(1-COS(PI()*(1-(($A341-Simulador!$E$10)/Simulador!$G$10))/Simulador!$B$11))/2,Simulador!$B$10)))</f>
        <v>0</v>
      </c>
    </row>
    <row r="342" spans="1:7" x14ac:dyDescent="0.25">
      <c r="A342" s="17">
        <f>A341+Simulador!$B$14</f>
        <v>680</v>
      </c>
      <c r="B342" s="18">
        <f>IF(OR((($A342-Simulador!$E$5)/Simulador!$G$5)&lt;=0,(($A342-Simulador!$E$5)/Simulador!$G$5)&gt;=1),0,IF((($A342-Simulador!$E$5)/Simulador!$G$5)&lt;Simulador!$B$11,Simulador!$B$9*(1-COS(PI()*(($A342-Simulador!$E$5)/Simulador!$G$5)/Simulador!$B$11))/2,IF((($A342-Simulador!$E$5)/Simulador!$G$5)&gt;1-Simulador!$B$11,Simulador!$B$9*(1-COS(PI()*(1-(($A342-Simulador!$E$5)/Simulador!$G$5))/Simulador!$B$11))/2,Simulador!$B$9)))</f>
        <v>0</v>
      </c>
      <c r="C342" s="18">
        <f>IF(OR((($A342-Simulador!$E$6)/Simulador!$G$6)&lt;=0,(($A342-Simulador!$E$6)/Simulador!$G$6)&gt;=1),0,IF((($A342-Simulador!$E$6)/Simulador!$G$6)&lt;Simulador!$B$11,Simulador!$B$9*(1-COS(PI()*(($A342-Simulador!$E$6)/Simulador!$G$6)/Simulador!$B$11))/2,IF((($A342-Simulador!$E$6)/Simulador!$G$6)&gt;1-Simulador!$B$11,Simulador!$B$9*(1-COS(PI()*(1-(($A342-Simulador!$E$6)/Simulador!$G$6))/Simulador!$B$11))/2,Simulador!$B$9)))</f>
        <v>0</v>
      </c>
      <c r="D342" s="18">
        <f>IF(OR((($A342-Simulador!$E$7)/Simulador!$G$7)&lt;=0,(($A342-Simulador!$E$7)/Simulador!$G$7)&gt;=1),0,IF((($A342-Simulador!$E$7)/Simulador!$G$7)&lt;Simulador!$B$11,Simulador!$B$9*(1-COS(PI()*(($A342-Simulador!$E$7)/Simulador!$G$7)/Simulador!$B$11))/2,IF((($A342-Simulador!$E$7)/Simulador!$G$7)&gt;1-Simulador!$B$11,Simulador!$B$9*(1-COS(PI()*(1-(($A342-Simulador!$E$7)/Simulador!$G$7))/Simulador!$B$11))/2,Simulador!$B$9)))</f>
        <v>0</v>
      </c>
      <c r="E342" s="18">
        <f>IF(OR((($A342-Simulador!$E$8)/Simulador!$G$8)&lt;=0,(($A342-Simulador!$E$8)/Simulador!$G$8)&gt;=1),0,IF((($A342-Simulador!$E$8)/Simulador!$G$8)&lt;Simulador!$B$11,Simulador!$B$10*(1-COS(PI()*(($A342-Simulador!$E$8)/Simulador!$G$8)/Simulador!$B$11))/2,IF((($A342-Simulador!$E$8)/Simulador!$G$8)&gt;1-Simulador!$B$11,Simulador!$B$10*(1-COS(PI()*(1-(($A342-Simulador!$E$8)/Simulador!$G$8))/Simulador!$B$11))/2,Simulador!$B$10)))</f>
        <v>0</v>
      </c>
      <c r="F342" s="18">
        <f>IF(OR((($A342-Simulador!$E$9)/Simulador!$G$9)&lt;=0,(($A342-Simulador!$E$9)/Simulador!$G$9)&gt;=1),0,IF((($A342-Simulador!$E$9)/Simulador!$G$9)&lt;Simulador!$B$11,Simulador!$B$10*(1-COS(PI()*(($A342-Simulador!$E$9)/Simulador!$G$9)/Simulador!$B$11))/2,IF((($A342-Simulador!$E$9)/Simulador!$G$9)&gt;1-Simulador!$B$11,Simulador!$B$10*(1-COS(PI()*(1-(($A342-Simulador!$E$9)/Simulador!$G$9))/Simulador!$B$11))/2,Simulador!$B$10)))</f>
        <v>0</v>
      </c>
      <c r="G342" s="18">
        <f>IF(OR((($A342-Simulador!$E$10)/Simulador!$G$10)&lt;=0,(($A342-Simulador!$E$10)/Simulador!$G$10)&gt;=1),0,IF((($A342-Simulador!$E$10)/Simulador!$G$10)&lt;Simulador!$B$11,Simulador!$B$10*(1-COS(PI()*(($A342-Simulador!$E$10)/Simulador!$G$10)/Simulador!$B$11))/2,IF((($A342-Simulador!$E$10)/Simulador!$G$10)&gt;1-Simulador!$B$11,Simulador!$B$10*(1-COS(PI()*(1-(($A342-Simulador!$E$10)/Simulador!$G$10))/Simulador!$B$11))/2,Simulador!$B$10)))</f>
        <v>0</v>
      </c>
    </row>
    <row r="343" spans="1:7" x14ac:dyDescent="0.25">
      <c r="A343" s="17">
        <f>A342+Simulador!$B$14</f>
        <v>682</v>
      </c>
      <c r="B343" s="18">
        <f>IF(OR((($A343-Simulador!$E$5)/Simulador!$G$5)&lt;=0,(($A343-Simulador!$E$5)/Simulador!$G$5)&gt;=1),0,IF((($A343-Simulador!$E$5)/Simulador!$G$5)&lt;Simulador!$B$11,Simulador!$B$9*(1-COS(PI()*(($A343-Simulador!$E$5)/Simulador!$G$5)/Simulador!$B$11))/2,IF((($A343-Simulador!$E$5)/Simulador!$G$5)&gt;1-Simulador!$B$11,Simulador!$B$9*(1-COS(PI()*(1-(($A343-Simulador!$E$5)/Simulador!$G$5))/Simulador!$B$11))/2,Simulador!$B$9)))</f>
        <v>0</v>
      </c>
      <c r="C343" s="18">
        <f>IF(OR((($A343-Simulador!$E$6)/Simulador!$G$6)&lt;=0,(($A343-Simulador!$E$6)/Simulador!$G$6)&gt;=1),0,IF((($A343-Simulador!$E$6)/Simulador!$G$6)&lt;Simulador!$B$11,Simulador!$B$9*(1-COS(PI()*(($A343-Simulador!$E$6)/Simulador!$G$6)/Simulador!$B$11))/2,IF((($A343-Simulador!$E$6)/Simulador!$G$6)&gt;1-Simulador!$B$11,Simulador!$B$9*(1-COS(PI()*(1-(($A343-Simulador!$E$6)/Simulador!$G$6))/Simulador!$B$11))/2,Simulador!$B$9)))</f>
        <v>0</v>
      </c>
      <c r="D343" s="18">
        <f>IF(OR((($A343-Simulador!$E$7)/Simulador!$G$7)&lt;=0,(($A343-Simulador!$E$7)/Simulador!$G$7)&gt;=1),0,IF((($A343-Simulador!$E$7)/Simulador!$G$7)&lt;Simulador!$B$11,Simulador!$B$9*(1-COS(PI()*(($A343-Simulador!$E$7)/Simulador!$G$7)/Simulador!$B$11))/2,IF((($A343-Simulador!$E$7)/Simulador!$G$7)&gt;1-Simulador!$B$11,Simulador!$B$9*(1-COS(PI()*(1-(($A343-Simulador!$E$7)/Simulador!$G$7))/Simulador!$B$11))/2,Simulador!$B$9)))</f>
        <v>0</v>
      </c>
      <c r="E343" s="18">
        <f>IF(OR((($A343-Simulador!$E$8)/Simulador!$G$8)&lt;=0,(($A343-Simulador!$E$8)/Simulador!$G$8)&gt;=1),0,IF((($A343-Simulador!$E$8)/Simulador!$G$8)&lt;Simulador!$B$11,Simulador!$B$10*(1-COS(PI()*(($A343-Simulador!$E$8)/Simulador!$G$8)/Simulador!$B$11))/2,IF((($A343-Simulador!$E$8)/Simulador!$G$8)&gt;1-Simulador!$B$11,Simulador!$B$10*(1-COS(PI()*(1-(($A343-Simulador!$E$8)/Simulador!$G$8))/Simulador!$B$11))/2,Simulador!$B$10)))</f>
        <v>0</v>
      </c>
      <c r="F343" s="18">
        <f>IF(OR((($A343-Simulador!$E$9)/Simulador!$G$9)&lt;=0,(($A343-Simulador!$E$9)/Simulador!$G$9)&gt;=1),0,IF((($A343-Simulador!$E$9)/Simulador!$G$9)&lt;Simulador!$B$11,Simulador!$B$10*(1-COS(PI()*(($A343-Simulador!$E$9)/Simulador!$G$9)/Simulador!$B$11))/2,IF((($A343-Simulador!$E$9)/Simulador!$G$9)&gt;1-Simulador!$B$11,Simulador!$B$10*(1-COS(PI()*(1-(($A343-Simulador!$E$9)/Simulador!$G$9))/Simulador!$B$11))/2,Simulador!$B$10)))</f>
        <v>0</v>
      </c>
      <c r="G343" s="18">
        <f>IF(OR((($A343-Simulador!$E$10)/Simulador!$G$10)&lt;=0,(($A343-Simulador!$E$10)/Simulador!$G$10)&gt;=1),0,IF((($A343-Simulador!$E$10)/Simulador!$G$10)&lt;Simulador!$B$11,Simulador!$B$10*(1-COS(PI()*(($A343-Simulador!$E$10)/Simulador!$G$10)/Simulador!$B$11))/2,IF((($A343-Simulador!$E$10)/Simulador!$G$10)&gt;1-Simulador!$B$11,Simulador!$B$10*(1-COS(PI()*(1-(($A343-Simulador!$E$10)/Simulador!$G$10))/Simulador!$B$11))/2,Simulador!$B$10)))</f>
        <v>0</v>
      </c>
    </row>
    <row r="344" spans="1:7" x14ac:dyDescent="0.25">
      <c r="A344" s="17">
        <f>A343+Simulador!$B$14</f>
        <v>684</v>
      </c>
      <c r="B344" s="18">
        <f>IF(OR((($A344-Simulador!$E$5)/Simulador!$G$5)&lt;=0,(($A344-Simulador!$E$5)/Simulador!$G$5)&gt;=1),0,IF((($A344-Simulador!$E$5)/Simulador!$G$5)&lt;Simulador!$B$11,Simulador!$B$9*(1-COS(PI()*(($A344-Simulador!$E$5)/Simulador!$G$5)/Simulador!$B$11))/2,IF((($A344-Simulador!$E$5)/Simulador!$G$5)&gt;1-Simulador!$B$11,Simulador!$B$9*(1-COS(PI()*(1-(($A344-Simulador!$E$5)/Simulador!$G$5))/Simulador!$B$11))/2,Simulador!$B$9)))</f>
        <v>0</v>
      </c>
      <c r="C344" s="18">
        <f>IF(OR((($A344-Simulador!$E$6)/Simulador!$G$6)&lt;=0,(($A344-Simulador!$E$6)/Simulador!$G$6)&gt;=1),0,IF((($A344-Simulador!$E$6)/Simulador!$G$6)&lt;Simulador!$B$11,Simulador!$B$9*(1-COS(PI()*(($A344-Simulador!$E$6)/Simulador!$G$6)/Simulador!$B$11))/2,IF((($A344-Simulador!$E$6)/Simulador!$G$6)&gt;1-Simulador!$B$11,Simulador!$B$9*(1-COS(PI()*(1-(($A344-Simulador!$E$6)/Simulador!$G$6))/Simulador!$B$11))/2,Simulador!$B$9)))</f>
        <v>0</v>
      </c>
      <c r="D344" s="18">
        <f>IF(OR((($A344-Simulador!$E$7)/Simulador!$G$7)&lt;=0,(($A344-Simulador!$E$7)/Simulador!$G$7)&gt;=1),0,IF((($A344-Simulador!$E$7)/Simulador!$G$7)&lt;Simulador!$B$11,Simulador!$B$9*(1-COS(PI()*(($A344-Simulador!$E$7)/Simulador!$G$7)/Simulador!$B$11))/2,IF((($A344-Simulador!$E$7)/Simulador!$G$7)&gt;1-Simulador!$B$11,Simulador!$B$9*(1-COS(PI()*(1-(($A344-Simulador!$E$7)/Simulador!$G$7))/Simulador!$B$11))/2,Simulador!$B$9)))</f>
        <v>0</v>
      </c>
      <c r="E344" s="18">
        <f>IF(OR((($A344-Simulador!$E$8)/Simulador!$G$8)&lt;=0,(($A344-Simulador!$E$8)/Simulador!$G$8)&gt;=1),0,IF((($A344-Simulador!$E$8)/Simulador!$G$8)&lt;Simulador!$B$11,Simulador!$B$10*(1-COS(PI()*(($A344-Simulador!$E$8)/Simulador!$G$8)/Simulador!$B$11))/2,IF((($A344-Simulador!$E$8)/Simulador!$G$8)&gt;1-Simulador!$B$11,Simulador!$B$10*(1-COS(PI()*(1-(($A344-Simulador!$E$8)/Simulador!$G$8))/Simulador!$B$11))/2,Simulador!$B$10)))</f>
        <v>0</v>
      </c>
      <c r="F344" s="18">
        <f>IF(OR((($A344-Simulador!$E$9)/Simulador!$G$9)&lt;=0,(($A344-Simulador!$E$9)/Simulador!$G$9)&gt;=1),0,IF((($A344-Simulador!$E$9)/Simulador!$G$9)&lt;Simulador!$B$11,Simulador!$B$10*(1-COS(PI()*(($A344-Simulador!$E$9)/Simulador!$G$9)/Simulador!$B$11))/2,IF((($A344-Simulador!$E$9)/Simulador!$G$9)&gt;1-Simulador!$B$11,Simulador!$B$10*(1-COS(PI()*(1-(($A344-Simulador!$E$9)/Simulador!$G$9))/Simulador!$B$11))/2,Simulador!$B$10)))</f>
        <v>0</v>
      </c>
      <c r="G344" s="18">
        <f>IF(OR((($A344-Simulador!$E$10)/Simulador!$G$10)&lt;=0,(($A344-Simulador!$E$10)/Simulador!$G$10)&gt;=1),0,IF((($A344-Simulador!$E$10)/Simulador!$G$10)&lt;Simulador!$B$11,Simulador!$B$10*(1-COS(PI()*(($A344-Simulador!$E$10)/Simulador!$G$10)/Simulador!$B$11))/2,IF((($A344-Simulador!$E$10)/Simulador!$G$10)&gt;1-Simulador!$B$11,Simulador!$B$10*(1-COS(PI()*(1-(($A344-Simulador!$E$10)/Simulador!$G$10))/Simulador!$B$11))/2,Simulador!$B$10)))</f>
        <v>0</v>
      </c>
    </row>
    <row r="345" spans="1:7" x14ac:dyDescent="0.25">
      <c r="A345" s="17">
        <f>A344+Simulador!$B$14</f>
        <v>686</v>
      </c>
      <c r="B345" s="18">
        <f>IF(OR((($A345-Simulador!$E$5)/Simulador!$G$5)&lt;=0,(($A345-Simulador!$E$5)/Simulador!$G$5)&gt;=1),0,IF((($A345-Simulador!$E$5)/Simulador!$G$5)&lt;Simulador!$B$11,Simulador!$B$9*(1-COS(PI()*(($A345-Simulador!$E$5)/Simulador!$G$5)/Simulador!$B$11))/2,IF((($A345-Simulador!$E$5)/Simulador!$G$5)&gt;1-Simulador!$B$11,Simulador!$B$9*(1-COS(PI()*(1-(($A345-Simulador!$E$5)/Simulador!$G$5))/Simulador!$B$11))/2,Simulador!$B$9)))</f>
        <v>0</v>
      </c>
      <c r="C345" s="18">
        <f>IF(OR((($A345-Simulador!$E$6)/Simulador!$G$6)&lt;=0,(($A345-Simulador!$E$6)/Simulador!$G$6)&gt;=1),0,IF((($A345-Simulador!$E$6)/Simulador!$G$6)&lt;Simulador!$B$11,Simulador!$B$9*(1-COS(PI()*(($A345-Simulador!$E$6)/Simulador!$G$6)/Simulador!$B$11))/2,IF((($A345-Simulador!$E$6)/Simulador!$G$6)&gt;1-Simulador!$B$11,Simulador!$B$9*(1-COS(PI()*(1-(($A345-Simulador!$E$6)/Simulador!$G$6))/Simulador!$B$11))/2,Simulador!$B$9)))</f>
        <v>0</v>
      </c>
      <c r="D345" s="18">
        <f>IF(OR((($A345-Simulador!$E$7)/Simulador!$G$7)&lt;=0,(($A345-Simulador!$E$7)/Simulador!$G$7)&gt;=1),0,IF((($A345-Simulador!$E$7)/Simulador!$G$7)&lt;Simulador!$B$11,Simulador!$B$9*(1-COS(PI()*(($A345-Simulador!$E$7)/Simulador!$G$7)/Simulador!$B$11))/2,IF((($A345-Simulador!$E$7)/Simulador!$G$7)&gt;1-Simulador!$B$11,Simulador!$B$9*(1-COS(PI()*(1-(($A345-Simulador!$E$7)/Simulador!$G$7))/Simulador!$B$11))/2,Simulador!$B$9)))</f>
        <v>0</v>
      </c>
      <c r="E345" s="18">
        <f>IF(OR((($A345-Simulador!$E$8)/Simulador!$G$8)&lt;=0,(($A345-Simulador!$E$8)/Simulador!$G$8)&gt;=1),0,IF((($A345-Simulador!$E$8)/Simulador!$G$8)&lt;Simulador!$B$11,Simulador!$B$10*(1-COS(PI()*(($A345-Simulador!$E$8)/Simulador!$G$8)/Simulador!$B$11))/2,IF((($A345-Simulador!$E$8)/Simulador!$G$8)&gt;1-Simulador!$B$11,Simulador!$B$10*(1-COS(PI()*(1-(($A345-Simulador!$E$8)/Simulador!$G$8))/Simulador!$B$11))/2,Simulador!$B$10)))</f>
        <v>0</v>
      </c>
      <c r="F345" s="18">
        <f>IF(OR((($A345-Simulador!$E$9)/Simulador!$G$9)&lt;=0,(($A345-Simulador!$E$9)/Simulador!$G$9)&gt;=1),0,IF((($A345-Simulador!$E$9)/Simulador!$G$9)&lt;Simulador!$B$11,Simulador!$B$10*(1-COS(PI()*(($A345-Simulador!$E$9)/Simulador!$G$9)/Simulador!$B$11))/2,IF((($A345-Simulador!$E$9)/Simulador!$G$9)&gt;1-Simulador!$B$11,Simulador!$B$10*(1-COS(PI()*(1-(($A345-Simulador!$E$9)/Simulador!$G$9))/Simulador!$B$11))/2,Simulador!$B$10)))</f>
        <v>0</v>
      </c>
      <c r="G345" s="18">
        <f>IF(OR((($A345-Simulador!$E$10)/Simulador!$G$10)&lt;=0,(($A345-Simulador!$E$10)/Simulador!$G$10)&gt;=1),0,IF((($A345-Simulador!$E$10)/Simulador!$G$10)&lt;Simulador!$B$11,Simulador!$B$10*(1-COS(PI()*(($A345-Simulador!$E$10)/Simulador!$G$10)/Simulador!$B$11))/2,IF((($A345-Simulador!$E$10)/Simulador!$G$10)&gt;1-Simulador!$B$11,Simulador!$B$10*(1-COS(PI()*(1-(($A345-Simulador!$E$10)/Simulador!$G$10))/Simulador!$B$11))/2,Simulador!$B$10)))</f>
        <v>0</v>
      </c>
    </row>
    <row r="346" spans="1:7" x14ac:dyDescent="0.25">
      <c r="A346" s="17">
        <f>A345+Simulador!$B$14</f>
        <v>688</v>
      </c>
      <c r="B346" s="18">
        <f>IF(OR((($A346-Simulador!$E$5)/Simulador!$G$5)&lt;=0,(($A346-Simulador!$E$5)/Simulador!$G$5)&gt;=1),0,IF((($A346-Simulador!$E$5)/Simulador!$G$5)&lt;Simulador!$B$11,Simulador!$B$9*(1-COS(PI()*(($A346-Simulador!$E$5)/Simulador!$G$5)/Simulador!$B$11))/2,IF((($A346-Simulador!$E$5)/Simulador!$G$5)&gt;1-Simulador!$B$11,Simulador!$B$9*(1-COS(PI()*(1-(($A346-Simulador!$E$5)/Simulador!$G$5))/Simulador!$B$11))/2,Simulador!$B$9)))</f>
        <v>0</v>
      </c>
      <c r="C346" s="18">
        <f>IF(OR((($A346-Simulador!$E$6)/Simulador!$G$6)&lt;=0,(($A346-Simulador!$E$6)/Simulador!$G$6)&gt;=1),0,IF((($A346-Simulador!$E$6)/Simulador!$G$6)&lt;Simulador!$B$11,Simulador!$B$9*(1-COS(PI()*(($A346-Simulador!$E$6)/Simulador!$G$6)/Simulador!$B$11))/2,IF((($A346-Simulador!$E$6)/Simulador!$G$6)&gt;1-Simulador!$B$11,Simulador!$B$9*(1-COS(PI()*(1-(($A346-Simulador!$E$6)/Simulador!$G$6))/Simulador!$B$11))/2,Simulador!$B$9)))</f>
        <v>0</v>
      </c>
      <c r="D346" s="18">
        <f>IF(OR((($A346-Simulador!$E$7)/Simulador!$G$7)&lt;=0,(($A346-Simulador!$E$7)/Simulador!$G$7)&gt;=1),0,IF((($A346-Simulador!$E$7)/Simulador!$G$7)&lt;Simulador!$B$11,Simulador!$B$9*(1-COS(PI()*(($A346-Simulador!$E$7)/Simulador!$G$7)/Simulador!$B$11))/2,IF((($A346-Simulador!$E$7)/Simulador!$G$7)&gt;1-Simulador!$B$11,Simulador!$B$9*(1-COS(PI()*(1-(($A346-Simulador!$E$7)/Simulador!$G$7))/Simulador!$B$11))/2,Simulador!$B$9)))</f>
        <v>0</v>
      </c>
      <c r="E346" s="18">
        <f>IF(OR((($A346-Simulador!$E$8)/Simulador!$G$8)&lt;=0,(($A346-Simulador!$E$8)/Simulador!$G$8)&gt;=1),0,IF((($A346-Simulador!$E$8)/Simulador!$G$8)&lt;Simulador!$B$11,Simulador!$B$10*(1-COS(PI()*(($A346-Simulador!$E$8)/Simulador!$G$8)/Simulador!$B$11))/2,IF((($A346-Simulador!$E$8)/Simulador!$G$8)&gt;1-Simulador!$B$11,Simulador!$B$10*(1-COS(PI()*(1-(($A346-Simulador!$E$8)/Simulador!$G$8))/Simulador!$B$11))/2,Simulador!$B$10)))</f>
        <v>0</v>
      </c>
      <c r="F346" s="18">
        <f>IF(OR((($A346-Simulador!$E$9)/Simulador!$G$9)&lt;=0,(($A346-Simulador!$E$9)/Simulador!$G$9)&gt;=1),0,IF((($A346-Simulador!$E$9)/Simulador!$G$9)&lt;Simulador!$B$11,Simulador!$B$10*(1-COS(PI()*(($A346-Simulador!$E$9)/Simulador!$G$9)/Simulador!$B$11))/2,IF((($A346-Simulador!$E$9)/Simulador!$G$9)&gt;1-Simulador!$B$11,Simulador!$B$10*(1-COS(PI()*(1-(($A346-Simulador!$E$9)/Simulador!$G$9))/Simulador!$B$11))/2,Simulador!$B$10)))</f>
        <v>0</v>
      </c>
      <c r="G346" s="18">
        <f>IF(OR((($A346-Simulador!$E$10)/Simulador!$G$10)&lt;=0,(($A346-Simulador!$E$10)/Simulador!$G$10)&gt;=1),0,IF((($A346-Simulador!$E$10)/Simulador!$G$10)&lt;Simulador!$B$11,Simulador!$B$10*(1-COS(PI()*(($A346-Simulador!$E$10)/Simulador!$G$10)/Simulador!$B$11))/2,IF((($A346-Simulador!$E$10)/Simulador!$G$10)&gt;1-Simulador!$B$11,Simulador!$B$10*(1-COS(PI()*(1-(($A346-Simulador!$E$10)/Simulador!$G$10))/Simulador!$B$11))/2,Simulador!$B$10)))</f>
        <v>0</v>
      </c>
    </row>
    <row r="347" spans="1:7" x14ac:dyDescent="0.25">
      <c r="A347" s="17">
        <f>A346+Simulador!$B$14</f>
        <v>690</v>
      </c>
      <c r="B347" s="18">
        <f>IF(OR((($A347-Simulador!$E$5)/Simulador!$G$5)&lt;=0,(($A347-Simulador!$E$5)/Simulador!$G$5)&gt;=1),0,IF((($A347-Simulador!$E$5)/Simulador!$G$5)&lt;Simulador!$B$11,Simulador!$B$9*(1-COS(PI()*(($A347-Simulador!$E$5)/Simulador!$G$5)/Simulador!$B$11))/2,IF((($A347-Simulador!$E$5)/Simulador!$G$5)&gt;1-Simulador!$B$11,Simulador!$B$9*(1-COS(PI()*(1-(($A347-Simulador!$E$5)/Simulador!$G$5))/Simulador!$B$11))/2,Simulador!$B$9)))</f>
        <v>0</v>
      </c>
      <c r="C347" s="18">
        <f>IF(OR((($A347-Simulador!$E$6)/Simulador!$G$6)&lt;=0,(($A347-Simulador!$E$6)/Simulador!$G$6)&gt;=1),0,IF((($A347-Simulador!$E$6)/Simulador!$G$6)&lt;Simulador!$B$11,Simulador!$B$9*(1-COS(PI()*(($A347-Simulador!$E$6)/Simulador!$G$6)/Simulador!$B$11))/2,IF((($A347-Simulador!$E$6)/Simulador!$G$6)&gt;1-Simulador!$B$11,Simulador!$B$9*(1-COS(PI()*(1-(($A347-Simulador!$E$6)/Simulador!$G$6))/Simulador!$B$11))/2,Simulador!$B$9)))</f>
        <v>0</v>
      </c>
      <c r="D347" s="18">
        <f>IF(OR((($A347-Simulador!$E$7)/Simulador!$G$7)&lt;=0,(($A347-Simulador!$E$7)/Simulador!$G$7)&gt;=1),0,IF((($A347-Simulador!$E$7)/Simulador!$G$7)&lt;Simulador!$B$11,Simulador!$B$9*(1-COS(PI()*(($A347-Simulador!$E$7)/Simulador!$G$7)/Simulador!$B$11))/2,IF((($A347-Simulador!$E$7)/Simulador!$G$7)&gt;1-Simulador!$B$11,Simulador!$B$9*(1-COS(PI()*(1-(($A347-Simulador!$E$7)/Simulador!$G$7))/Simulador!$B$11))/2,Simulador!$B$9)))</f>
        <v>0</v>
      </c>
      <c r="E347" s="18">
        <f>IF(OR((($A347-Simulador!$E$8)/Simulador!$G$8)&lt;=0,(($A347-Simulador!$E$8)/Simulador!$G$8)&gt;=1),0,IF((($A347-Simulador!$E$8)/Simulador!$G$8)&lt;Simulador!$B$11,Simulador!$B$10*(1-COS(PI()*(($A347-Simulador!$E$8)/Simulador!$G$8)/Simulador!$B$11))/2,IF((($A347-Simulador!$E$8)/Simulador!$G$8)&gt;1-Simulador!$B$11,Simulador!$B$10*(1-COS(PI()*(1-(($A347-Simulador!$E$8)/Simulador!$G$8))/Simulador!$B$11))/2,Simulador!$B$10)))</f>
        <v>0</v>
      </c>
      <c r="F347" s="18">
        <f>IF(OR((($A347-Simulador!$E$9)/Simulador!$G$9)&lt;=0,(($A347-Simulador!$E$9)/Simulador!$G$9)&gt;=1),0,IF((($A347-Simulador!$E$9)/Simulador!$G$9)&lt;Simulador!$B$11,Simulador!$B$10*(1-COS(PI()*(($A347-Simulador!$E$9)/Simulador!$G$9)/Simulador!$B$11))/2,IF((($A347-Simulador!$E$9)/Simulador!$G$9)&gt;1-Simulador!$B$11,Simulador!$B$10*(1-COS(PI()*(1-(($A347-Simulador!$E$9)/Simulador!$G$9))/Simulador!$B$11))/2,Simulador!$B$10)))</f>
        <v>0</v>
      </c>
      <c r="G347" s="18">
        <f>IF(OR((($A347-Simulador!$E$10)/Simulador!$G$10)&lt;=0,(($A347-Simulador!$E$10)/Simulador!$G$10)&gt;=1),0,IF((($A347-Simulador!$E$10)/Simulador!$G$10)&lt;Simulador!$B$11,Simulador!$B$10*(1-COS(PI()*(($A347-Simulador!$E$10)/Simulador!$G$10)/Simulador!$B$11))/2,IF((($A347-Simulador!$E$10)/Simulador!$G$10)&gt;1-Simulador!$B$11,Simulador!$B$10*(1-COS(PI()*(1-(($A347-Simulador!$E$10)/Simulador!$G$10))/Simulador!$B$11))/2,Simulador!$B$10)))</f>
        <v>0</v>
      </c>
    </row>
    <row r="348" spans="1:7" x14ac:dyDescent="0.25">
      <c r="A348" s="17">
        <f>A347+Simulador!$B$14</f>
        <v>692</v>
      </c>
      <c r="B348" s="18">
        <f>IF(OR((($A348-Simulador!$E$5)/Simulador!$G$5)&lt;=0,(($A348-Simulador!$E$5)/Simulador!$G$5)&gt;=1),0,IF((($A348-Simulador!$E$5)/Simulador!$G$5)&lt;Simulador!$B$11,Simulador!$B$9*(1-COS(PI()*(($A348-Simulador!$E$5)/Simulador!$G$5)/Simulador!$B$11))/2,IF((($A348-Simulador!$E$5)/Simulador!$G$5)&gt;1-Simulador!$B$11,Simulador!$B$9*(1-COS(PI()*(1-(($A348-Simulador!$E$5)/Simulador!$G$5))/Simulador!$B$11))/2,Simulador!$B$9)))</f>
        <v>0</v>
      </c>
      <c r="C348" s="18">
        <f>IF(OR((($A348-Simulador!$E$6)/Simulador!$G$6)&lt;=0,(($A348-Simulador!$E$6)/Simulador!$G$6)&gt;=1),0,IF((($A348-Simulador!$E$6)/Simulador!$G$6)&lt;Simulador!$B$11,Simulador!$B$9*(1-COS(PI()*(($A348-Simulador!$E$6)/Simulador!$G$6)/Simulador!$B$11))/2,IF((($A348-Simulador!$E$6)/Simulador!$G$6)&gt;1-Simulador!$B$11,Simulador!$B$9*(1-COS(PI()*(1-(($A348-Simulador!$E$6)/Simulador!$G$6))/Simulador!$B$11))/2,Simulador!$B$9)))</f>
        <v>0</v>
      </c>
      <c r="D348" s="18">
        <f>IF(OR((($A348-Simulador!$E$7)/Simulador!$G$7)&lt;=0,(($A348-Simulador!$E$7)/Simulador!$G$7)&gt;=1),0,IF((($A348-Simulador!$E$7)/Simulador!$G$7)&lt;Simulador!$B$11,Simulador!$B$9*(1-COS(PI()*(($A348-Simulador!$E$7)/Simulador!$G$7)/Simulador!$B$11))/2,IF((($A348-Simulador!$E$7)/Simulador!$G$7)&gt;1-Simulador!$B$11,Simulador!$B$9*(1-COS(PI()*(1-(($A348-Simulador!$E$7)/Simulador!$G$7))/Simulador!$B$11))/2,Simulador!$B$9)))</f>
        <v>0</v>
      </c>
      <c r="E348" s="18">
        <f>IF(OR((($A348-Simulador!$E$8)/Simulador!$G$8)&lt;=0,(($A348-Simulador!$E$8)/Simulador!$G$8)&gt;=1),0,IF((($A348-Simulador!$E$8)/Simulador!$G$8)&lt;Simulador!$B$11,Simulador!$B$10*(1-COS(PI()*(($A348-Simulador!$E$8)/Simulador!$G$8)/Simulador!$B$11))/2,IF((($A348-Simulador!$E$8)/Simulador!$G$8)&gt;1-Simulador!$B$11,Simulador!$B$10*(1-COS(PI()*(1-(($A348-Simulador!$E$8)/Simulador!$G$8))/Simulador!$B$11))/2,Simulador!$B$10)))</f>
        <v>0</v>
      </c>
      <c r="F348" s="18">
        <f>IF(OR((($A348-Simulador!$E$9)/Simulador!$G$9)&lt;=0,(($A348-Simulador!$E$9)/Simulador!$G$9)&gt;=1),0,IF((($A348-Simulador!$E$9)/Simulador!$G$9)&lt;Simulador!$B$11,Simulador!$B$10*(1-COS(PI()*(($A348-Simulador!$E$9)/Simulador!$G$9)/Simulador!$B$11))/2,IF((($A348-Simulador!$E$9)/Simulador!$G$9)&gt;1-Simulador!$B$11,Simulador!$B$10*(1-COS(PI()*(1-(($A348-Simulador!$E$9)/Simulador!$G$9))/Simulador!$B$11))/2,Simulador!$B$10)))</f>
        <v>0</v>
      </c>
      <c r="G348" s="18">
        <f>IF(OR((($A348-Simulador!$E$10)/Simulador!$G$10)&lt;=0,(($A348-Simulador!$E$10)/Simulador!$G$10)&gt;=1),0,IF((($A348-Simulador!$E$10)/Simulador!$G$10)&lt;Simulador!$B$11,Simulador!$B$10*(1-COS(PI()*(($A348-Simulador!$E$10)/Simulador!$G$10)/Simulador!$B$11))/2,IF((($A348-Simulador!$E$10)/Simulador!$G$10)&gt;1-Simulador!$B$11,Simulador!$B$10*(1-COS(PI()*(1-(($A348-Simulador!$E$10)/Simulador!$G$10))/Simulador!$B$11))/2,Simulador!$B$10)))</f>
        <v>0</v>
      </c>
    </row>
    <row r="349" spans="1:7" x14ac:dyDescent="0.25">
      <c r="A349" s="17">
        <f>A348+Simulador!$B$14</f>
        <v>694</v>
      </c>
      <c r="B349" s="18">
        <f>IF(OR((($A349-Simulador!$E$5)/Simulador!$G$5)&lt;=0,(($A349-Simulador!$E$5)/Simulador!$G$5)&gt;=1),0,IF((($A349-Simulador!$E$5)/Simulador!$G$5)&lt;Simulador!$B$11,Simulador!$B$9*(1-COS(PI()*(($A349-Simulador!$E$5)/Simulador!$G$5)/Simulador!$B$11))/2,IF((($A349-Simulador!$E$5)/Simulador!$G$5)&gt;1-Simulador!$B$11,Simulador!$B$9*(1-COS(PI()*(1-(($A349-Simulador!$E$5)/Simulador!$G$5))/Simulador!$B$11))/2,Simulador!$B$9)))</f>
        <v>0</v>
      </c>
      <c r="C349" s="18">
        <f>IF(OR((($A349-Simulador!$E$6)/Simulador!$G$6)&lt;=0,(($A349-Simulador!$E$6)/Simulador!$G$6)&gt;=1),0,IF((($A349-Simulador!$E$6)/Simulador!$G$6)&lt;Simulador!$B$11,Simulador!$B$9*(1-COS(PI()*(($A349-Simulador!$E$6)/Simulador!$G$6)/Simulador!$B$11))/2,IF((($A349-Simulador!$E$6)/Simulador!$G$6)&gt;1-Simulador!$B$11,Simulador!$B$9*(1-COS(PI()*(1-(($A349-Simulador!$E$6)/Simulador!$G$6))/Simulador!$B$11))/2,Simulador!$B$9)))</f>
        <v>0</v>
      </c>
      <c r="D349" s="18">
        <f>IF(OR((($A349-Simulador!$E$7)/Simulador!$G$7)&lt;=0,(($A349-Simulador!$E$7)/Simulador!$G$7)&gt;=1),0,IF((($A349-Simulador!$E$7)/Simulador!$G$7)&lt;Simulador!$B$11,Simulador!$B$9*(1-COS(PI()*(($A349-Simulador!$E$7)/Simulador!$G$7)/Simulador!$B$11))/2,IF((($A349-Simulador!$E$7)/Simulador!$G$7)&gt;1-Simulador!$B$11,Simulador!$B$9*(1-COS(PI()*(1-(($A349-Simulador!$E$7)/Simulador!$G$7))/Simulador!$B$11))/2,Simulador!$B$9)))</f>
        <v>0</v>
      </c>
      <c r="E349" s="18">
        <f>IF(OR((($A349-Simulador!$E$8)/Simulador!$G$8)&lt;=0,(($A349-Simulador!$E$8)/Simulador!$G$8)&gt;=1),0,IF((($A349-Simulador!$E$8)/Simulador!$G$8)&lt;Simulador!$B$11,Simulador!$B$10*(1-COS(PI()*(($A349-Simulador!$E$8)/Simulador!$G$8)/Simulador!$B$11))/2,IF((($A349-Simulador!$E$8)/Simulador!$G$8)&gt;1-Simulador!$B$11,Simulador!$B$10*(1-COS(PI()*(1-(($A349-Simulador!$E$8)/Simulador!$G$8))/Simulador!$B$11))/2,Simulador!$B$10)))</f>
        <v>0</v>
      </c>
      <c r="F349" s="18">
        <f>IF(OR((($A349-Simulador!$E$9)/Simulador!$G$9)&lt;=0,(($A349-Simulador!$E$9)/Simulador!$G$9)&gt;=1),0,IF((($A349-Simulador!$E$9)/Simulador!$G$9)&lt;Simulador!$B$11,Simulador!$B$10*(1-COS(PI()*(($A349-Simulador!$E$9)/Simulador!$G$9)/Simulador!$B$11))/2,IF((($A349-Simulador!$E$9)/Simulador!$G$9)&gt;1-Simulador!$B$11,Simulador!$B$10*(1-COS(PI()*(1-(($A349-Simulador!$E$9)/Simulador!$G$9))/Simulador!$B$11))/2,Simulador!$B$10)))</f>
        <v>0</v>
      </c>
      <c r="G349" s="18">
        <f>IF(OR((($A349-Simulador!$E$10)/Simulador!$G$10)&lt;=0,(($A349-Simulador!$E$10)/Simulador!$G$10)&gt;=1),0,IF((($A349-Simulador!$E$10)/Simulador!$G$10)&lt;Simulador!$B$11,Simulador!$B$10*(1-COS(PI()*(($A349-Simulador!$E$10)/Simulador!$G$10)/Simulador!$B$11))/2,IF((($A349-Simulador!$E$10)/Simulador!$G$10)&gt;1-Simulador!$B$11,Simulador!$B$10*(1-COS(PI()*(1-(($A349-Simulador!$E$10)/Simulador!$G$10))/Simulador!$B$11))/2,Simulador!$B$10)))</f>
        <v>0</v>
      </c>
    </row>
    <row r="350" spans="1:7" x14ac:dyDescent="0.25">
      <c r="A350" s="17">
        <f>A349+Simulador!$B$14</f>
        <v>696</v>
      </c>
      <c r="B350" s="18">
        <f>IF(OR((($A350-Simulador!$E$5)/Simulador!$G$5)&lt;=0,(($A350-Simulador!$E$5)/Simulador!$G$5)&gt;=1),0,IF((($A350-Simulador!$E$5)/Simulador!$G$5)&lt;Simulador!$B$11,Simulador!$B$9*(1-COS(PI()*(($A350-Simulador!$E$5)/Simulador!$G$5)/Simulador!$B$11))/2,IF((($A350-Simulador!$E$5)/Simulador!$G$5)&gt;1-Simulador!$B$11,Simulador!$B$9*(1-COS(PI()*(1-(($A350-Simulador!$E$5)/Simulador!$G$5))/Simulador!$B$11))/2,Simulador!$B$9)))</f>
        <v>0</v>
      </c>
      <c r="C350" s="18">
        <f>IF(OR((($A350-Simulador!$E$6)/Simulador!$G$6)&lt;=0,(($A350-Simulador!$E$6)/Simulador!$G$6)&gt;=1),0,IF((($A350-Simulador!$E$6)/Simulador!$G$6)&lt;Simulador!$B$11,Simulador!$B$9*(1-COS(PI()*(($A350-Simulador!$E$6)/Simulador!$G$6)/Simulador!$B$11))/2,IF((($A350-Simulador!$E$6)/Simulador!$G$6)&gt;1-Simulador!$B$11,Simulador!$B$9*(1-COS(PI()*(1-(($A350-Simulador!$E$6)/Simulador!$G$6))/Simulador!$B$11))/2,Simulador!$B$9)))</f>
        <v>0</v>
      </c>
      <c r="D350" s="18">
        <f>IF(OR((($A350-Simulador!$E$7)/Simulador!$G$7)&lt;=0,(($A350-Simulador!$E$7)/Simulador!$G$7)&gt;=1),0,IF((($A350-Simulador!$E$7)/Simulador!$G$7)&lt;Simulador!$B$11,Simulador!$B$9*(1-COS(PI()*(($A350-Simulador!$E$7)/Simulador!$G$7)/Simulador!$B$11))/2,IF((($A350-Simulador!$E$7)/Simulador!$G$7)&gt;1-Simulador!$B$11,Simulador!$B$9*(1-COS(PI()*(1-(($A350-Simulador!$E$7)/Simulador!$G$7))/Simulador!$B$11))/2,Simulador!$B$9)))</f>
        <v>0</v>
      </c>
      <c r="E350" s="18">
        <f>IF(OR((($A350-Simulador!$E$8)/Simulador!$G$8)&lt;=0,(($A350-Simulador!$E$8)/Simulador!$G$8)&gt;=1),0,IF((($A350-Simulador!$E$8)/Simulador!$G$8)&lt;Simulador!$B$11,Simulador!$B$10*(1-COS(PI()*(($A350-Simulador!$E$8)/Simulador!$G$8)/Simulador!$B$11))/2,IF((($A350-Simulador!$E$8)/Simulador!$G$8)&gt;1-Simulador!$B$11,Simulador!$B$10*(1-COS(PI()*(1-(($A350-Simulador!$E$8)/Simulador!$G$8))/Simulador!$B$11))/2,Simulador!$B$10)))</f>
        <v>0</v>
      </c>
      <c r="F350" s="18">
        <f>IF(OR((($A350-Simulador!$E$9)/Simulador!$G$9)&lt;=0,(($A350-Simulador!$E$9)/Simulador!$G$9)&gt;=1),0,IF((($A350-Simulador!$E$9)/Simulador!$G$9)&lt;Simulador!$B$11,Simulador!$B$10*(1-COS(PI()*(($A350-Simulador!$E$9)/Simulador!$G$9)/Simulador!$B$11))/2,IF((($A350-Simulador!$E$9)/Simulador!$G$9)&gt;1-Simulador!$B$11,Simulador!$B$10*(1-COS(PI()*(1-(($A350-Simulador!$E$9)/Simulador!$G$9))/Simulador!$B$11))/2,Simulador!$B$10)))</f>
        <v>0</v>
      </c>
      <c r="G350" s="18">
        <f>IF(OR((($A350-Simulador!$E$10)/Simulador!$G$10)&lt;=0,(($A350-Simulador!$E$10)/Simulador!$G$10)&gt;=1),0,IF((($A350-Simulador!$E$10)/Simulador!$G$10)&lt;Simulador!$B$11,Simulador!$B$10*(1-COS(PI()*(($A350-Simulador!$E$10)/Simulador!$G$10)/Simulador!$B$11))/2,IF((($A350-Simulador!$E$10)/Simulador!$G$10)&gt;1-Simulador!$B$11,Simulador!$B$10*(1-COS(PI()*(1-(($A350-Simulador!$E$10)/Simulador!$G$10))/Simulador!$B$11))/2,Simulador!$B$10)))</f>
        <v>0</v>
      </c>
    </row>
    <row r="351" spans="1:7" x14ac:dyDescent="0.25">
      <c r="A351" s="17">
        <f>A350+Simulador!$B$14</f>
        <v>698</v>
      </c>
      <c r="B351" s="18">
        <f>IF(OR((($A351-Simulador!$E$5)/Simulador!$G$5)&lt;=0,(($A351-Simulador!$E$5)/Simulador!$G$5)&gt;=1),0,IF((($A351-Simulador!$E$5)/Simulador!$G$5)&lt;Simulador!$B$11,Simulador!$B$9*(1-COS(PI()*(($A351-Simulador!$E$5)/Simulador!$G$5)/Simulador!$B$11))/2,IF((($A351-Simulador!$E$5)/Simulador!$G$5)&gt;1-Simulador!$B$11,Simulador!$B$9*(1-COS(PI()*(1-(($A351-Simulador!$E$5)/Simulador!$G$5))/Simulador!$B$11))/2,Simulador!$B$9)))</f>
        <v>0</v>
      </c>
      <c r="C351" s="18">
        <f>IF(OR((($A351-Simulador!$E$6)/Simulador!$G$6)&lt;=0,(($A351-Simulador!$E$6)/Simulador!$G$6)&gt;=1),0,IF((($A351-Simulador!$E$6)/Simulador!$G$6)&lt;Simulador!$B$11,Simulador!$B$9*(1-COS(PI()*(($A351-Simulador!$E$6)/Simulador!$G$6)/Simulador!$B$11))/2,IF((($A351-Simulador!$E$6)/Simulador!$G$6)&gt;1-Simulador!$B$11,Simulador!$B$9*(1-COS(PI()*(1-(($A351-Simulador!$E$6)/Simulador!$G$6))/Simulador!$B$11))/2,Simulador!$B$9)))</f>
        <v>0</v>
      </c>
      <c r="D351" s="18">
        <f>IF(OR((($A351-Simulador!$E$7)/Simulador!$G$7)&lt;=0,(($A351-Simulador!$E$7)/Simulador!$G$7)&gt;=1),0,IF((($A351-Simulador!$E$7)/Simulador!$G$7)&lt;Simulador!$B$11,Simulador!$B$9*(1-COS(PI()*(($A351-Simulador!$E$7)/Simulador!$G$7)/Simulador!$B$11))/2,IF((($A351-Simulador!$E$7)/Simulador!$G$7)&gt;1-Simulador!$B$11,Simulador!$B$9*(1-COS(PI()*(1-(($A351-Simulador!$E$7)/Simulador!$G$7))/Simulador!$B$11))/2,Simulador!$B$9)))</f>
        <v>0</v>
      </c>
      <c r="E351" s="18">
        <f>IF(OR((($A351-Simulador!$E$8)/Simulador!$G$8)&lt;=0,(($A351-Simulador!$E$8)/Simulador!$G$8)&gt;=1),0,IF((($A351-Simulador!$E$8)/Simulador!$G$8)&lt;Simulador!$B$11,Simulador!$B$10*(1-COS(PI()*(($A351-Simulador!$E$8)/Simulador!$G$8)/Simulador!$B$11))/2,IF((($A351-Simulador!$E$8)/Simulador!$G$8)&gt;1-Simulador!$B$11,Simulador!$B$10*(1-COS(PI()*(1-(($A351-Simulador!$E$8)/Simulador!$G$8))/Simulador!$B$11))/2,Simulador!$B$10)))</f>
        <v>0</v>
      </c>
      <c r="F351" s="18">
        <f>IF(OR((($A351-Simulador!$E$9)/Simulador!$G$9)&lt;=0,(($A351-Simulador!$E$9)/Simulador!$G$9)&gt;=1),0,IF((($A351-Simulador!$E$9)/Simulador!$G$9)&lt;Simulador!$B$11,Simulador!$B$10*(1-COS(PI()*(($A351-Simulador!$E$9)/Simulador!$G$9)/Simulador!$B$11))/2,IF((($A351-Simulador!$E$9)/Simulador!$G$9)&gt;1-Simulador!$B$11,Simulador!$B$10*(1-COS(PI()*(1-(($A351-Simulador!$E$9)/Simulador!$G$9))/Simulador!$B$11))/2,Simulador!$B$10)))</f>
        <v>0</v>
      </c>
      <c r="G351" s="18">
        <f>IF(OR((($A351-Simulador!$E$10)/Simulador!$G$10)&lt;=0,(($A351-Simulador!$E$10)/Simulador!$G$10)&gt;=1),0,IF((($A351-Simulador!$E$10)/Simulador!$G$10)&lt;Simulador!$B$11,Simulador!$B$10*(1-COS(PI()*(($A351-Simulador!$E$10)/Simulador!$G$10)/Simulador!$B$11))/2,IF((($A351-Simulador!$E$10)/Simulador!$G$10)&gt;1-Simulador!$B$11,Simulador!$B$10*(1-COS(PI()*(1-(($A351-Simulador!$E$10)/Simulador!$G$10))/Simulador!$B$11))/2,Simulador!$B$10)))</f>
        <v>0</v>
      </c>
    </row>
    <row r="352" spans="1:7" x14ac:dyDescent="0.25">
      <c r="A352" s="17">
        <f>A351+Simulador!$B$14</f>
        <v>700</v>
      </c>
      <c r="B352" s="18">
        <f>IF(OR((($A352-Simulador!$E$5)/Simulador!$G$5)&lt;=0,(($A352-Simulador!$E$5)/Simulador!$G$5)&gt;=1),0,IF((($A352-Simulador!$E$5)/Simulador!$G$5)&lt;Simulador!$B$11,Simulador!$B$9*(1-COS(PI()*(($A352-Simulador!$E$5)/Simulador!$G$5)/Simulador!$B$11))/2,IF((($A352-Simulador!$E$5)/Simulador!$G$5)&gt;1-Simulador!$B$11,Simulador!$B$9*(1-COS(PI()*(1-(($A352-Simulador!$E$5)/Simulador!$G$5))/Simulador!$B$11))/2,Simulador!$B$9)))</f>
        <v>0</v>
      </c>
      <c r="C352" s="18">
        <f>IF(OR((($A352-Simulador!$E$6)/Simulador!$G$6)&lt;=0,(($A352-Simulador!$E$6)/Simulador!$G$6)&gt;=1),0,IF((($A352-Simulador!$E$6)/Simulador!$G$6)&lt;Simulador!$B$11,Simulador!$B$9*(1-COS(PI()*(($A352-Simulador!$E$6)/Simulador!$G$6)/Simulador!$B$11))/2,IF((($A352-Simulador!$E$6)/Simulador!$G$6)&gt;1-Simulador!$B$11,Simulador!$B$9*(1-COS(PI()*(1-(($A352-Simulador!$E$6)/Simulador!$G$6))/Simulador!$B$11))/2,Simulador!$B$9)))</f>
        <v>0</v>
      </c>
      <c r="D352" s="18">
        <f>IF(OR((($A352-Simulador!$E$7)/Simulador!$G$7)&lt;=0,(($A352-Simulador!$E$7)/Simulador!$G$7)&gt;=1),0,IF((($A352-Simulador!$E$7)/Simulador!$G$7)&lt;Simulador!$B$11,Simulador!$B$9*(1-COS(PI()*(($A352-Simulador!$E$7)/Simulador!$G$7)/Simulador!$B$11))/2,IF((($A352-Simulador!$E$7)/Simulador!$G$7)&gt;1-Simulador!$B$11,Simulador!$B$9*(1-COS(PI()*(1-(($A352-Simulador!$E$7)/Simulador!$G$7))/Simulador!$B$11))/2,Simulador!$B$9)))</f>
        <v>0</v>
      </c>
      <c r="E352" s="18">
        <f>IF(OR((($A352-Simulador!$E$8)/Simulador!$G$8)&lt;=0,(($A352-Simulador!$E$8)/Simulador!$G$8)&gt;=1),0,IF((($A352-Simulador!$E$8)/Simulador!$G$8)&lt;Simulador!$B$11,Simulador!$B$10*(1-COS(PI()*(($A352-Simulador!$E$8)/Simulador!$G$8)/Simulador!$B$11))/2,IF((($A352-Simulador!$E$8)/Simulador!$G$8)&gt;1-Simulador!$B$11,Simulador!$B$10*(1-COS(PI()*(1-(($A352-Simulador!$E$8)/Simulador!$G$8))/Simulador!$B$11))/2,Simulador!$B$10)))</f>
        <v>0</v>
      </c>
      <c r="F352" s="18">
        <f>IF(OR((($A352-Simulador!$E$9)/Simulador!$G$9)&lt;=0,(($A352-Simulador!$E$9)/Simulador!$G$9)&gt;=1),0,IF((($A352-Simulador!$E$9)/Simulador!$G$9)&lt;Simulador!$B$11,Simulador!$B$10*(1-COS(PI()*(($A352-Simulador!$E$9)/Simulador!$G$9)/Simulador!$B$11))/2,IF((($A352-Simulador!$E$9)/Simulador!$G$9)&gt;1-Simulador!$B$11,Simulador!$B$10*(1-COS(PI()*(1-(($A352-Simulador!$E$9)/Simulador!$G$9))/Simulador!$B$11))/2,Simulador!$B$10)))</f>
        <v>0</v>
      </c>
      <c r="G352" s="18">
        <f>IF(OR((($A352-Simulador!$E$10)/Simulador!$G$10)&lt;=0,(($A352-Simulador!$E$10)/Simulador!$G$10)&gt;=1),0,IF((($A352-Simulador!$E$10)/Simulador!$G$10)&lt;Simulador!$B$11,Simulador!$B$10*(1-COS(PI()*(($A352-Simulador!$E$10)/Simulador!$G$10)/Simulador!$B$11))/2,IF((($A352-Simulador!$E$10)/Simulador!$G$10)&gt;1-Simulador!$B$11,Simulador!$B$10*(1-COS(PI()*(1-(($A352-Simulador!$E$10)/Simulador!$G$10))/Simulador!$B$11))/2,Simulador!$B$10)))</f>
        <v>0</v>
      </c>
    </row>
    <row r="353" spans="1:7" x14ac:dyDescent="0.25">
      <c r="A353" s="17">
        <f>A352+Simulador!$B$14</f>
        <v>702</v>
      </c>
      <c r="B353" s="18">
        <f>IF(OR((($A353-Simulador!$E$5)/Simulador!$G$5)&lt;=0,(($A353-Simulador!$E$5)/Simulador!$G$5)&gt;=1),0,IF((($A353-Simulador!$E$5)/Simulador!$G$5)&lt;Simulador!$B$11,Simulador!$B$9*(1-COS(PI()*(($A353-Simulador!$E$5)/Simulador!$G$5)/Simulador!$B$11))/2,IF((($A353-Simulador!$E$5)/Simulador!$G$5)&gt;1-Simulador!$B$11,Simulador!$B$9*(1-COS(PI()*(1-(($A353-Simulador!$E$5)/Simulador!$G$5))/Simulador!$B$11))/2,Simulador!$B$9)))</f>
        <v>0</v>
      </c>
      <c r="C353" s="18">
        <f>IF(OR((($A353-Simulador!$E$6)/Simulador!$G$6)&lt;=0,(($A353-Simulador!$E$6)/Simulador!$G$6)&gt;=1),0,IF((($A353-Simulador!$E$6)/Simulador!$G$6)&lt;Simulador!$B$11,Simulador!$B$9*(1-COS(PI()*(($A353-Simulador!$E$6)/Simulador!$G$6)/Simulador!$B$11))/2,IF((($A353-Simulador!$E$6)/Simulador!$G$6)&gt;1-Simulador!$B$11,Simulador!$B$9*(1-COS(PI()*(1-(($A353-Simulador!$E$6)/Simulador!$G$6))/Simulador!$B$11))/2,Simulador!$B$9)))</f>
        <v>0</v>
      </c>
      <c r="D353" s="18">
        <f>IF(OR((($A353-Simulador!$E$7)/Simulador!$G$7)&lt;=0,(($A353-Simulador!$E$7)/Simulador!$G$7)&gt;=1),0,IF((($A353-Simulador!$E$7)/Simulador!$G$7)&lt;Simulador!$B$11,Simulador!$B$9*(1-COS(PI()*(($A353-Simulador!$E$7)/Simulador!$G$7)/Simulador!$B$11))/2,IF((($A353-Simulador!$E$7)/Simulador!$G$7)&gt;1-Simulador!$B$11,Simulador!$B$9*(1-COS(PI()*(1-(($A353-Simulador!$E$7)/Simulador!$G$7))/Simulador!$B$11))/2,Simulador!$B$9)))</f>
        <v>0</v>
      </c>
      <c r="E353" s="18">
        <f>IF(OR((($A353-Simulador!$E$8)/Simulador!$G$8)&lt;=0,(($A353-Simulador!$E$8)/Simulador!$G$8)&gt;=1),0,IF((($A353-Simulador!$E$8)/Simulador!$G$8)&lt;Simulador!$B$11,Simulador!$B$10*(1-COS(PI()*(($A353-Simulador!$E$8)/Simulador!$G$8)/Simulador!$B$11))/2,IF((($A353-Simulador!$E$8)/Simulador!$G$8)&gt;1-Simulador!$B$11,Simulador!$B$10*(1-COS(PI()*(1-(($A353-Simulador!$E$8)/Simulador!$G$8))/Simulador!$B$11))/2,Simulador!$B$10)))</f>
        <v>0</v>
      </c>
      <c r="F353" s="18">
        <f>IF(OR((($A353-Simulador!$E$9)/Simulador!$G$9)&lt;=0,(($A353-Simulador!$E$9)/Simulador!$G$9)&gt;=1),0,IF((($A353-Simulador!$E$9)/Simulador!$G$9)&lt;Simulador!$B$11,Simulador!$B$10*(1-COS(PI()*(($A353-Simulador!$E$9)/Simulador!$G$9)/Simulador!$B$11))/2,IF((($A353-Simulador!$E$9)/Simulador!$G$9)&gt;1-Simulador!$B$11,Simulador!$B$10*(1-COS(PI()*(1-(($A353-Simulador!$E$9)/Simulador!$G$9))/Simulador!$B$11))/2,Simulador!$B$10)))</f>
        <v>0</v>
      </c>
      <c r="G353" s="18">
        <f>IF(OR((($A353-Simulador!$E$10)/Simulador!$G$10)&lt;=0,(($A353-Simulador!$E$10)/Simulador!$G$10)&gt;=1),0,IF((($A353-Simulador!$E$10)/Simulador!$G$10)&lt;Simulador!$B$11,Simulador!$B$10*(1-COS(PI()*(($A353-Simulador!$E$10)/Simulador!$G$10)/Simulador!$B$11))/2,IF((($A353-Simulador!$E$10)/Simulador!$G$10)&gt;1-Simulador!$B$11,Simulador!$B$10*(1-COS(PI()*(1-(($A353-Simulador!$E$10)/Simulador!$G$10))/Simulador!$B$11))/2,Simulador!$B$10)))</f>
        <v>0</v>
      </c>
    </row>
    <row r="354" spans="1:7" x14ac:dyDescent="0.25">
      <c r="A354" s="17">
        <f>A353+Simulador!$B$14</f>
        <v>704</v>
      </c>
      <c r="B354" s="18">
        <f>IF(OR((($A354-Simulador!$E$5)/Simulador!$G$5)&lt;=0,(($A354-Simulador!$E$5)/Simulador!$G$5)&gt;=1),0,IF((($A354-Simulador!$E$5)/Simulador!$G$5)&lt;Simulador!$B$11,Simulador!$B$9*(1-COS(PI()*(($A354-Simulador!$E$5)/Simulador!$G$5)/Simulador!$B$11))/2,IF((($A354-Simulador!$E$5)/Simulador!$G$5)&gt;1-Simulador!$B$11,Simulador!$B$9*(1-COS(PI()*(1-(($A354-Simulador!$E$5)/Simulador!$G$5))/Simulador!$B$11))/2,Simulador!$B$9)))</f>
        <v>0</v>
      </c>
      <c r="C354" s="18">
        <f>IF(OR((($A354-Simulador!$E$6)/Simulador!$G$6)&lt;=0,(($A354-Simulador!$E$6)/Simulador!$G$6)&gt;=1),0,IF((($A354-Simulador!$E$6)/Simulador!$G$6)&lt;Simulador!$B$11,Simulador!$B$9*(1-COS(PI()*(($A354-Simulador!$E$6)/Simulador!$G$6)/Simulador!$B$11))/2,IF((($A354-Simulador!$E$6)/Simulador!$G$6)&gt;1-Simulador!$B$11,Simulador!$B$9*(1-COS(PI()*(1-(($A354-Simulador!$E$6)/Simulador!$G$6))/Simulador!$B$11))/2,Simulador!$B$9)))</f>
        <v>0</v>
      </c>
      <c r="D354" s="18">
        <f>IF(OR((($A354-Simulador!$E$7)/Simulador!$G$7)&lt;=0,(($A354-Simulador!$E$7)/Simulador!$G$7)&gt;=1),0,IF((($A354-Simulador!$E$7)/Simulador!$G$7)&lt;Simulador!$B$11,Simulador!$B$9*(1-COS(PI()*(($A354-Simulador!$E$7)/Simulador!$G$7)/Simulador!$B$11))/2,IF((($A354-Simulador!$E$7)/Simulador!$G$7)&gt;1-Simulador!$B$11,Simulador!$B$9*(1-COS(PI()*(1-(($A354-Simulador!$E$7)/Simulador!$G$7))/Simulador!$B$11))/2,Simulador!$B$9)))</f>
        <v>0</v>
      </c>
      <c r="E354" s="18">
        <f>IF(OR((($A354-Simulador!$E$8)/Simulador!$G$8)&lt;=0,(($A354-Simulador!$E$8)/Simulador!$G$8)&gt;=1),0,IF((($A354-Simulador!$E$8)/Simulador!$G$8)&lt;Simulador!$B$11,Simulador!$B$10*(1-COS(PI()*(($A354-Simulador!$E$8)/Simulador!$G$8)/Simulador!$B$11))/2,IF((($A354-Simulador!$E$8)/Simulador!$G$8)&gt;1-Simulador!$B$11,Simulador!$B$10*(1-COS(PI()*(1-(($A354-Simulador!$E$8)/Simulador!$G$8))/Simulador!$B$11))/2,Simulador!$B$10)))</f>
        <v>0</v>
      </c>
      <c r="F354" s="18">
        <f>IF(OR((($A354-Simulador!$E$9)/Simulador!$G$9)&lt;=0,(($A354-Simulador!$E$9)/Simulador!$G$9)&gt;=1),0,IF((($A354-Simulador!$E$9)/Simulador!$G$9)&lt;Simulador!$B$11,Simulador!$B$10*(1-COS(PI()*(($A354-Simulador!$E$9)/Simulador!$G$9)/Simulador!$B$11))/2,IF((($A354-Simulador!$E$9)/Simulador!$G$9)&gt;1-Simulador!$B$11,Simulador!$B$10*(1-COS(PI()*(1-(($A354-Simulador!$E$9)/Simulador!$G$9))/Simulador!$B$11))/2,Simulador!$B$10)))</f>
        <v>0</v>
      </c>
      <c r="G354" s="18">
        <f>IF(OR((($A354-Simulador!$E$10)/Simulador!$G$10)&lt;=0,(($A354-Simulador!$E$10)/Simulador!$G$10)&gt;=1),0,IF((($A354-Simulador!$E$10)/Simulador!$G$10)&lt;Simulador!$B$11,Simulador!$B$10*(1-COS(PI()*(($A354-Simulador!$E$10)/Simulador!$G$10)/Simulador!$B$11))/2,IF((($A354-Simulador!$E$10)/Simulador!$G$10)&gt;1-Simulador!$B$11,Simulador!$B$10*(1-COS(PI()*(1-(($A354-Simulador!$E$10)/Simulador!$G$10))/Simulador!$B$11))/2,Simulador!$B$10)))</f>
        <v>0</v>
      </c>
    </row>
    <row r="355" spans="1:7" x14ac:dyDescent="0.25">
      <c r="A355" s="17">
        <f>A354+Simulador!$B$14</f>
        <v>706</v>
      </c>
      <c r="B355" s="18">
        <f>IF(OR((($A355-Simulador!$E$5)/Simulador!$G$5)&lt;=0,(($A355-Simulador!$E$5)/Simulador!$G$5)&gt;=1),0,IF((($A355-Simulador!$E$5)/Simulador!$G$5)&lt;Simulador!$B$11,Simulador!$B$9*(1-COS(PI()*(($A355-Simulador!$E$5)/Simulador!$G$5)/Simulador!$B$11))/2,IF((($A355-Simulador!$E$5)/Simulador!$G$5)&gt;1-Simulador!$B$11,Simulador!$B$9*(1-COS(PI()*(1-(($A355-Simulador!$E$5)/Simulador!$G$5))/Simulador!$B$11))/2,Simulador!$B$9)))</f>
        <v>0</v>
      </c>
      <c r="C355" s="18">
        <f>IF(OR((($A355-Simulador!$E$6)/Simulador!$G$6)&lt;=0,(($A355-Simulador!$E$6)/Simulador!$G$6)&gt;=1),0,IF((($A355-Simulador!$E$6)/Simulador!$G$6)&lt;Simulador!$B$11,Simulador!$B$9*(1-COS(PI()*(($A355-Simulador!$E$6)/Simulador!$G$6)/Simulador!$B$11))/2,IF((($A355-Simulador!$E$6)/Simulador!$G$6)&gt;1-Simulador!$B$11,Simulador!$B$9*(1-COS(PI()*(1-(($A355-Simulador!$E$6)/Simulador!$G$6))/Simulador!$B$11))/2,Simulador!$B$9)))</f>
        <v>0</v>
      </c>
      <c r="D355" s="18">
        <f>IF(OR((($A355-Simulador!$E$7)/Simulador!$G$7)&lt;=0,(($A355-Simulador!$E$7)/Simulador!$G$7)&gt;=1),0,IF((($A355-Simulador!$E$7)/Simulador!$G$7)&lt;Simulador!$B$11,Simulador!$B$9*(1-COS(PI()*(($A355-Simulador!$E$7)/Simulador!$G$7)/Simulador!$B$11))/2,IF((($A355-Simulador!$E$7)/Simulador!$G$7)&gt;1-Simulador!$B$11,Simulador!$B$9*(1-COS(PI()*(1-(($A355-Simulador!$E$7)/Simulador!$G$7))/Simulador!$B$11))/2,Simulador!$B$9)))</f>
        <v>0</v>
      </c>
      <c r="E355" s="18">
        <f>IF(OR((($A355-Simulador!$E$8)/Simulador!$G$8)&lt;=0,(($A355-Simulador!$E$8)/Simulador!$G$8)&gt;=1),0,IF((($A355-Simulador!$E$8)/Simulador!$G$8)&lt;Simulador!$B$11,Simulador!$B$10*(1-COS(PI()*(($A355-Simulador!$E$8)/Simulador!$G$8)/Simulador!$B$11))/2,IF((($A355-Simulador!$E$8)/Simulador!$G$8)&gt;1-Simulador!$B$11,Simulador!$B$10*(1-COS(PI()*(1-(($A355-Simulador!$E$8)/Simulador!$G$8))/Simulador!$B$11))/2,Simulador!$B$10)))</f>
        <v>0</v>
      </c>
      <c r="F355" s="18">
        <f>IF(OR((($A355-Simulador!$E$9)/Simulador!$G$9)&lt;=0,(($A355-Simulador!$E$9)/Simulador!$G$9)&gt;=1),0,IF((($A355-Simulador!$E$9)/Simulador!$G$9)&lt;Simulador!$B$11,Simulador!$B$10*(1-COS(PI()*(($A355-Simulador!$E$9)/Simulador!$G$9)/Simulador!$B$11))/2,IF((($A355-Simulador!$E$9)/Simulador!$G$9)&gt;1-Simulador!$B$11,Simulador!$B$10*(1-COS(PI()*(1-(($A355-Simulador!$E$9)/Simulador!$G$9))/Simulador!$B$11))/2,Simulador!$B$10)))</f>
        <v>0</v>
      </c>
      <c r="G355" s="18">
        <f>IF(OR((($A355-Simulador!$E$10)/Simulador!$G$10)&lt;=0,(($A355-Simulador!$E$10)/Simulador!$G$10)&gt;=1),0,IF((($A355-Simulador!$E$10)/Simulador!$G$10)&lt;Simulador!$B$11,Simulador!$B$10*(1-COS(PI()*(($A355-Simulador!$E$10)/Simulador!$G$10)/Simulador!$B$11))/2,IF((($A355-Simulador!$E$10)/Simulador!$G$10)&gt;1-Simulador!$B$11,Simulador!$B$10*(1-COS(PI()*(1-(($A355-Simulador!$E$10)/Simulador!$G$10))/Simulador!$B$11))/2,Simulador!$B$10)))</f>
        <v>0</v>
      </c>
    </row>
    <row r="356" spans="1:7" x14ac:dyDescent="0.25">
      <c r="A356" s="17">
        <f>A355+Simulador!$B$14</f>
        <v>708</v>
      </c>
      <c r="B356" s="18">
        <f>IF(OR((($A356-Simulador!$E$5)/Simulador!$G$5)&lt;=0,(($A356-Simulador!$E$5)/Simulador!$G$5)&gt;=1),0,IF((($A356-Simulador!$E$5)/Simulador!$G$5)&lt;Simulador!$B$11,Simulador!$B$9*(1-COS(PI()*(($A356-Simulador!$E$5)/Simulador!$G$5)/Simulador!$B$11))/2,IF((($A356-Simulador!$E$5)/Simulador!$G$5)&gt;1-Simulador!$B$11,Simulador!$B$9*(1-COS(PI()*(1-(($A356-Simulador!$E$5)/Simulador!$G$5))/Simulador!$B$11))/2,Simulador!$B$9)))</f>
        <v>0</v>
      </c>
      <c r="C356" s="18">
        <f>IF(OR((($A356-Simulador!$E$6)/Simulador!$G$6)&lt;=0,(($A356-Simulador!$E$6)/Simulador!$G$6)&gt;=1),0,IF((($A356-Simulador!$E$6)/Simulador!$G$6)&lt;Simulador!$B$11,Simulador!$B$9*(1-COS(PI()*(($A356-Simulador!$E$6)/Simulador!$G$6)/Simulador!$B$11))/2,IF((($A356-Simulador!$E$6)/Simulador!$G$6)&gt;1-Simulador!$B$11,Simulador!$B$9*(1-COS(PI()*(1-(($A356-Simulador!$E$6)/Simulador!$G$6))/Simulador!$B$11))/2,Simulador!$B$9)))</f>
        <v>0</v>
      </c>
      <c r="D356" s="18">
        <f>IF(OR((($A356-Simulador!$E$7)/Simulador!$G$7)&lt;=0,(($A356-Simulador!$E$7)/Simulador!$G$7)&gt;=1),0,IF((($A356-Simulador!$E$7)/Simulador!$G$7)&lt;Simulador!$B$11,Simulador!$B$9*(1-COS(PI()*(($A356-Simulador!$E$7)/Simulador!$G$7)/Simulador!$B$11))/2,IF((($A356-Simulador!$E$7)/Simulador!$G$7)&gt;1-Simulador!$B$11,Simulador!$B$9*(1-COS(PI()*(1-(($A356-Simulador!$E$7)/Simulador!$G$7))/Simulador!$B$11))/2,Simulador!$B$9)))</f>
        <v>0</v>
      </c>
      <c r="E356" s="18">
        <f>IF(OR((($A356-Simulador!$E$8)/Simulador!$G$8)&lt;=0,(($A356-Simulador!$E$8)/Simulador!$G$8)&gt;=1),0,IF((($A356-Simulador!$E$8)/Simulador!$G$8)&lt;Simulador!$B$11,Simulador!$B$10*(1-COS(PI()*(($A356-Simulador!$E$8)/Simulador!$G$8)/Simulador!$B$11))/2,IF((($A356-Simulador!$E$8)/Simulador!$G$8)&gt;1-Simulador!$B$11,Simulador!$B$10*(1-COS(PI()*(1-(($A356-Simulador!$E$8)/Simulador!$G$8))/Simulador!$B$11))/2,Simulador!$B$10)))</f>
        <v>0</v>
      </c>
      <c r="F356" s="18">
        <f>IF(OR((($A356-Simulador!$E$9)/Simulador!$G$9)&lt;=0,(($A356-Simulador!$E$9)/Simulador!$G$9)&gt;=1),0,IF((($A356-Simulador!$E$9)/Simulador!$G$9)&lt;Simulador!$B$11,Simulador!$B$10*(1-COS(PI()*(($A356-Simulador!$E$9)/Simulador!$G$9)/Simulador!$B$11))/2,IF((($A356-Simulador!$E$9)/Simulador!$G$9)&gt;1-Simulador!$B$11,Simulador!$B$10*(1-COS(PI()*(1-(($A356-Simulador!$E$9)/Simulador!$G$9))/Simulador!$B$11))/2,Simulador!$B$10)))</f>
        <v>0</v>
      </c>
      <c r="G356" s="18">
        <f>IF(OR((($A356-Simulador!$E$10)/Simulador!$G$10)&lt;=0,(($A356-Simulador!$E$10)/Simulador!$G$10)&gt;=1),0,IF((($A356-Simulador!$E$10)/Simulador!$G$10)&lt;Simulador!$B$11,Simulador!$B$10*(1-COS(PI()*(($A356-Simulador!$E$10)/Simulador!$G$10)/Simulador!$B$11))/2,IF((($A356-Simulador!$E$10)/Simulador!$G$10)&gt;1-Simulador!$B$11,Simulador!$B$10*(1-COS(PI()*(1-(($A356-Simulador!$E$10)/Simulador!$G$10))/Simulador!$B$11))/2,Simulador!$B$10)))</f>
        <v>0</v>
      </c>
    </row>
    <row r="357" spans="1:7" x14ac:dyDescent="0.25">
      <c r="A357" s="17">
        <f>A356+Simulador!$B$14</f>
        <v>710</v>
      </c>
      <c r="B357" s="18">
        <f>IF(OR((($A357-Simulador!$E$5)/Simulador!$G$5)&lt;=0,(($A357-Simulador!$E$5)/Simulador!$G$5)&gt;=1),0,IF((($A357-Simulador!$E$5)/Simulador!$G$5)&lt;Simulador!$B$11,Simulador!$B$9*(1-COS(PI()*(($A357-Simulador!$E$5)/Simulador!$G$5)/Simulador!$B$11))/2,IF((($A357-Simulador!$E$5)/Simulador!$G$5)&gt;1-Simulador!$B$11,Simulador!$B$9*(1-COS(PI()*(1-(($A357-Simulador!$E$5)/Simulador!$G$5))/Simulador!$B$11))/2,Simulador!$B$9)))</f>
        <v>0</v>
      </c>
      <c r="C357" s="18">
        <f>IF(OR((($A357-Simulador!$E$6)/Simulador!$G$6)&lt;=0,(($A357-Simulador!$E$6)/Simulador!$G$6)&gt;=1),0,IF((($A357-Simulador!$E$6)/Simulador!$G$6)&lt;Simulador!$B$11,Simulador!$B$9*(1-COS(PI()*(($A357-Simulador!$E$6)/Simulador!$G$6)/Simulador!$B$11))/2,IF((($A357-Simulador!$E$6)/Simulador!$G$6)&gt;1-Simulador!$B$11,Simulador!$B$9*(1-COS(PI()*(1-(($A357-Simulador!$E$6)/Simulador!$G$6))/Simulador!$B$11))/2,Simulador!$B$9)))</f>
        <v>0</v>
      </c>
      <c r="D357" s="18">
        <f>IF(OR((($A357-Simulador!$E$7)/Simulador!$G$7)&lt;=0,(($A357-Simulador!$E$7)/Simulador!$G$7)&gt;=1),0,IF((($A357-Simulador!$E$7)/Simulador!$G$7)&lt;Simulador!$B$11,Simulador!$B$9*(1-COS(PI()*(($A357-Simulador!$E$7)/Simulador!$G$7)/Simulador!$B$11))/2,IF((($A357-Simulador!$E$7)/Simulador!$G$7)&gt;1-Simulador!$B$11,Simulador!$B$9*(1-COS(PI()*(1-(($A357-Simulador!$E$7)/Simulador!$G$7))/Simulador!$B$11))/2,Simulador!$B$9)))</f>
        <v>0</v>
      </c>
      <c r="E357" s="18">
        <f>IF(OR((($A357-Simulador!$E$8)/Simulador!$G$8)&lt;=0,(($A357-Simulador!$E$8)/Simulador!$G$8)&gt;=1),0,IF((($A357-Simulador!$E$8)/Simulador!$G$8)&lt;Simulador!$B$11,Simulador!$B$10*(1-COS(PI()*(($A357-Simulador!$E$8)/Simulador!$G$8)/Simulador!$B$11))/2,IF((($A357-Simulador!$E$8)/Simulador!$G$8)&gt;1-Simulador!$B$11,Simulador!$B$10*(1-COS(PI()*(1-(($A357-Simulador!$E$8)/Simulador!$G$8))/Simulador!$B$11))/2,Simulador!$B$10)))</f>
        <v>0</v>
      </c>
      <c r="F357" s="18">
        <f>IF(OR((($A357-Simulador!$E$9)/Simulador!$G$9)&lt;=0,(($A357-Simulador!$E$9)/Simulador!$G$9)&gt;=1),0,IF((($A357-Simulador!$E$9)/Simulador!$G$9)&lt;Simulador!$B$11,Simulador!$B$10*(1-COS(PI()*(($A357-Simulador!$E$9)/Simulador!$G$9)/Simulador!$B$11))/2,IF((($A357-Simulador!$E$9)/Simulador!$G$9)&gt;1-Simulador!$B$11,Simulador!$B$10*(1-COS(PI()*(1-(($A357-Simulador!$E$9)/Simulador!$G$9))/Simulador!$B$11))/2,Simulador!$B$10)))</f>
        <v>0</v>
      </c>
      <c r="G357" s="18">
        <f>IF(OR((($A357-Simulador!$E$10)/Simulador!$G$10)&lt;=0,(($A357-Simulador!$E$10)/Simulador!$G$10)&gt;=1),0,IF((($A357-Simulador!$E$10)/Simulador!$G$10)&lt;Simulador!$B$11,Simulador!$B$10*(1-COS(PI()*(($A357-Simulador!$E$10)/Simulador!$G$10)/Simulador!$B$11))/2,IF((($A357-Simulador!$E$10)/Simulador!$G$10)&gt;1-Simulador!$B$11,Simulador!$B$10*(1-COS(PI()*(1-(($A357-Simulador!$E$10)/Simulador!$G$10))/Simulador!$B$11))/2,Simulador!$B$10)))</f>
        <v>0</v>
      </c>
    </row>
    <row r="358" spans="1:7" x14ac:dyDescent="0.25">
      <c r="A358" s="17">
        <f>A357+Simulador!$B$14</f>
        <v>712</v>
      </c>
      <c r="B358" s="18">
        <f>IF(OR((($A358-Simulador!$E$5)/Simulador!$G$5)&lt;=0,(($A358-Simulador!$E$5)/Simulador!$G$5)&gt;=1),0,IF((($A358-Simulador!$E$5)/Simulador!$G$5)&lt;Simulador!$B$11,Simulador!$B$9*(1-COS(PI()*(($A358-Simulador!$E$5)/Simulador!$G$5)/Simulador!$B$11))/2,IF((($A358-Simulador!$E$5)/Simulador!$G$5)&gt;1-Simulador!$B$11,Simulador!$B$9*(1-COS(PI()*(1-(($A358-Simulador!$E$5)/Simulador!$G$5))/Simulador!$B$11))/2,Simulador!$B$9)))</f>
        <v>0</v>
      </c>
      <c r="C358" s="18">
        <f>IF(OR((($A358-Simulador!$E$6)/Simulador!$G$6)&lt;=0,(($A358-Simulador!$E$6)/Simulador!$G$6)&gt;=1),0,IF((($A358-Simulador!$E$6)/Simulador!$G$6)&lt;Simulador!$B$11,Simulador!$B$9*(1-COS(PI()*(($A358-Simulador!$E$6)/Simulador!$G$6)/Simulador!$B$11))/2,IF((($A358-Simulador!$E$6)/Simulador!$G$6)&gt;1-Simulador!$B$11,Simulador!$B$9*(1-COS(PI()*(1-(($A358-Simulador!$E$6)/Simulador!$G$6))/Simulador!$B$11))/2,Simulador!$B$9)))</f>
        <v>0</v>
      </c>
      <c r="D358" s="18">
        <f>IF(OR((($A358-Simulador!$E$7)/Simulador!$G$7)&lt;=0,(($A358-Simulador!$E$7)/Simulador!$G$7)&gt;=1),0,IF((($A358-Simulador!$E$7)/Simulador!$G$7)&lt;Simulador!$B$11,Simulador!$B$9*(1-COS(PI()*(($A358-Simulador!$E$7)/Simulador!$G$7)/Simulador!$B$11))/2,IF((($A358-Simulador!$E$7)/Simulador!$G$7)&gt;1-Simulador!$B$11,Simulador!$B$9*(1-COS(PI()*(1-(($A358-Simulador!$E$7)/Simulador!$G$7))/Simulador!$B$11))/2,Simulador!$B$9)))</f>
        <v>0</v>
      </c>
      <c r="E358" s="18">
        <f>IF(OR((($A358-Simulador!$E$8)/Simulador!$G$8)&lt;=0,(($A358-Simulador!$E$8)/Simulador!$G$8)&gt;=1),0,IF((($A358-Simulador!$E$8)/Simulador!$G$8)&lt;Simulador!$B$11,Simulador!$B$10*(1-COS(PI()*(($A358-Simulador!$E$8)/Simulador!$G$8)/Simulador!$B$11))/2,IF((($A358-Simulador!$E$8)/Simulador!$G$8)&gt;1-Simulador!$B$11,Simulador!$B$10*(1-COS(PI()*(1-(($A358-Simulador!$E$8)/Simulador!$G$8))/Simulador!$B$11))/2,Simulador!$B$10)))</f>
        <v>0</v>
      </c>
      <c r="F358" s="18">
        <f>IF(OR((($A358-Simulador!$E$9)/Simulador!$G$9)&lt;=0,(($A358-Simulador!$E$9)/Simulador!$G$9)&gt;=1),0,IF((($A358-Simulador!$E$9)/Simulador!$G$9)&lt;Simulador!$B$11,Simulador!$B$10*(1-COS(PI()*(($A358-Simulador!$E$9)/Simulador!$G$9)/Simulador!$B$11))/2,IF((($A358-Simulador!$E$9)/Simulador!$G$9)&gt;1-Simulador!$B$11,Simulador!$B$10*(1-COS(PI()*(1-(($A358-Simulador!$E$9)/Simulador!$G$9))/Simulador!$B$11))/2,Simulador!$B$10)))</f>
        <v>0</v>
      </c>
      <c r="G358" s="18">
        <f>IF(OR((($A358-Simulador!$E$10)/Simulador!$G$10)&lt;=0,(($A358-Simulador!$E$10)/Simulador!$G$10)&gt;=1),0,IF((($A358-Simulador!$E$10)/Simulador!$G$10)&lt;Simulador!$B$11,Simulador!$B$10*(1-COS(PI()*(($A358-Simulador!$E$10)/Simulador!$G$10)/Simulador!$B$11))/2,IF((($A358-Simulador!$E$10)/Simulador!$G$10)&gt;1-Simulador!$B$11,Simulador!$B$10*(1-COS(PI()*(1-(($A358-Simulador!$E$10)/Simulador!$G$10))/Simulador!$B$11))/2,Simulador!$B$10)))</f>
        <v>0</v>
      </c>
    </row>
    <row r="359" spans="1:7" x14ac:dyDescent="0.25">
      <c r="A359" s="17">
        <f>A358+Simulador!$B$14</f>
        <v>714</v>
      </c>
      <c r="B359" s="18">
        <f>IF(OR((($A359-Simulador!$E$5)/Simulador!$G$5)&lt;=0,(($A359-Simulador!$E$5)/Simulador!$G$5)&gt;=1),0,IF((($A359-Simulador!$E$5)/Simulador!$G$5)&lt;Simulador!$B$11,Simulador!$B$9*(1-COS(PI()*(($A359-Simulador!$E$5)/Simulador!$G$5)/Simulador!$B$11))/2,IF((($A359-Simulador!$E$5)/Simulador!$G$5)&gt;1-Simulador!$B$11,Simulador!$B$9*(1-COS(PI()*(1-(($A359-Simulador!$E$5)/Simulador!$G$5))/Simulador!$B$11))/2,Simulador!$B$9)))</f>
        <v>0</v>
      </c>
      <c r="C359" s="18">
        <f>IF(OR((($A359-Simulador!$E$6)/Simulador!$G$6)&lt;=0,(($A359-Simulador!$E$6)/Simulador!$G$6)&gt;=1),0,IF((($A359-Simulador!$E$6)/Simulador!$G$6)&lt;Simulador!$B$11,Simulador!$B$9*(1-COS(PI()*(($A359-Simulador!$E$6)/Simulador!$G$6)/Simulador!$B$11))/2,IF((($A359-Simulador!$E$6)/Simulador!$G$6)&gt;1-Simulador!$B$11,Simulador!$B$9*(1-COS(PI()*(1-(($A359-Simulador!$E$6)/Simulador!$G$6))/Simulador!$B$11))/2,Simulador!$B$9)))</f>
        <v>0</v>
      </c>
      <c r="D359" s="18">
        <f>IF(OR((($A359-Simulador!$E$7)/Simulador!$G$7)&lt;=0,(($A359-Simulador!$E$7)/Simulador!$G$7)&gt;=1),0,IF((($A359-Simulador!$E$7)/Simulador!$G$7)&lt;Simulador!$B$11,Simulador!$B$9*(1-COS(PI()*(($A359-Simulador!$E$7)/Simulador!$G$7)/Simulador!$B$11))/2,IF((($A359-Simulador!$E$7)/Simulador!$G$7)&gt;1-Simulador!$B$11,Simulador!$B$9*(1-COS(PI()*(1-(($A359-Simulador!$E$7)/Simulador!$G$7))/Simulador!$B$11))/2,Simulador!$B$9)))</f>
        <v>0</v>
      </c>
      <c r="E359" s="18">
        <f>IF(OR((($A359-Simulador!$E$8)/Simulador!$G$8)&lt;=0,(($A359-Simulador!$E$8)/Simulador!$G$8)&gt;=1),0,IF((($A359-Simulador!$E$8)/Simulador!$G$8)&lt;Simulador!$B$11,Simulador!$B$10*(1-COS(PI()*(($A359-Simulador!$E$8)/Simulador!$G$8)/Simulador!$B$11))/2,IF((($A359-Simulador!$E$8)/Simulador!$G$8)&gt;1-Simulador!$B$11,Simulador!$B$10*(1-COS(PI()*(1-(($A359-Simulador!$E$8)/Simulador!$G$8))/Simulador!$B$11))/2,Simulador!$B$10)))</f>
        <v>0</v>
      </c>
      <c r="F359" s="18">
        <f>IF(OR((($A359-Simulador!$E$9)/Simulador!$G$9)&lt;=0,(($A359-Simulador!$E$9)/Simulador!$G$9)&gt;=1),0,IF((($A359-Simulador!$E$9)/Simulador!$G$9)&lt;Simulador!$B$11,Simulador!$B$10*(1-COS(PI()*(($A359-Simulador!$E$9)/Simulador!$G$9)/Simulador!$B$11))/2,IF((($A359-Simulador!$E$9)/Simulador!$G$9)&gt;1-Simulador!$B$11,Simulador!$B$10*(1-COS(PI()*(1-(($A359-Simulador!$E$9)/Simulador!$G$9))/Simulador!$B$11))/2,Simulador!$B$10)))</f>
        <v>0</v>
      </c>
      <c r="G359" s="18">
        <f>IF(OR((($A359-Simulador!$E$10)/Simulador!$G$10)&lt;=0,(($A359-Simulador!$E$10)/Simulador!$G$10)&gt;=1),0,IF((($A359-Simulador!$E$10)/Simulador!$G$10)&lt;Simulador!$B$11,Simulador!$B$10*(1-COS(PI()*(($A359-Simulador!$E$10)/Simulador!$G$10)/Simulador!$B$11))/2,IF((($A359-Simulador!$E$10)/Simulador!$G$10)&gt;1-Simulador!$B$11,Simulador!$B$10*(1-COS(PI()*(1-(($A359-Simulador!$E$10)/Simulador!$G$10))/Simulador!$B$11))/2,Simulador!$B$10)))</f>
        <v>0</v>
      </c>
    </row>
    <row r="360" spans="1:7" x14ac:dyDescent="0.25">
      <c r="A360" s="17">
        <f>A359+Simulador!$B$14</f>
        <v>716</v>
      </c>
      <c r="B360" s="18">
        <f>IF(OR((($A360-Simulador!$E$5)/Simulador!$G$5)&lt;=0,(($A360-Simulador!$E$5)/Simulador!$G$5)&gt;=1),0,IF((($A360-Simulador!$E$5)/Simulador!$G$5)&lt;Simulador!$B$11,Simulador!$B$9*(1-COS(PI()*(($A360-Simulador!$E$5)/Simulador!$G$5)/Simulador!$B$11))/2,IF((($A360-Simulador!$E$5)/Simulador!$G$5)&gt;1-Simulador!$B$11,Simulador!$B$9*(1-COS(PI()*(1-(($A360-Simulador!$E$5)/Simulador!$G$5))/Simulador!$B$11))/2,Simulador!$B$9)))</f>
        <v>0</v>
      </c>
      <c r="C360" s="18">
        <f>IF(OR((($A360-Simulador!$E$6)/Simulador!$G$6)&lt;=0,(($A360-Simulador!$E$6)/Simulador!$G$6)&gt;=1),0,IF((($A360-Simulador!$E$6)/Simulador!$G$6)&lt;Simulador!$B$11,Simulador!$B$9*(1-COS(PI()*(($A360-Simulador!$E$6)/Simulador!$G$6)/Simulador!$B$11))/2,IF((($A360-Simulador!$E$6)/Simulador!$G$6)&gt;1-Simulador!$B$11,Simulador!$B$9*(1-COS(PI()*(1-(($A360-Simulador!$E$6)/Simulador!$G$6))/Simulador!$B$11))/2,Simulador!$B$9)))</f>
        <v>0</v>
      </c>
      <c r="D360" s="18">
        <f>IF(OR((($A360-Simulador!$E$7)/Simulador!$G$7)&lt;=0,(($A360-Simulador!$E$7)/Simulador!$G$7)&gt;=1),0,IF((($A360-Simulador!$E$7)/Simulador!$G$7)&lt;Simulador!$B$11,Simulador!$B$9*(1-COS(PI()*(($A360-Simulador!$E$7)/Simulador!$G$7)/Simulador!$B$11))/2,IF((($A360-Simulador!$E$7)/Simulador!$G$7)&gt;1-Simulador!$B$11,Simulador!$B$9*(1-COS(PI()*(1-(($A360-Simulador!$E$7)/Simulador!$G$7))/Simulador!$B$11))/2,Simulador!$B$9)))</f>
        <v>0</v>
      </c>
      <c r="E360" s="18">
        <f>IF(OR((($A360-Simulador!$E$8)/Simulador!$G$8)&lt;=0,(($A360-Simulador!$E$8)/Simulador!$G$8)&gt;=1),0,IF((($A360-Simulador!$E$8)/Simulador!$G$8)&lt;Simulador!$B$11,Simulador!$B$10*(1-COS(PI()*(($A360-Simulador!$E$8)/Simulador!$G$8)/Simulador!$B$11))/2,IF((($A360-Simulador!$E$8)/Simulador!$G$8)&gt;1-Simulador!$B$11,Simulador!$B$10*(1-COS(PI()*(1-(($A360-Simulador!$E$8)/Simulador!$G$8))/Simulador!$B$11))/2,Simulador!$B$10)))</f>
        <v>0</v>
      </c>
      <c r="F360" s="18">
        <f>IF(OR((($A360-Simulador!$E$9)/Simulador!$G$9)&lt;=0,(($A360-Simulador!$E$9)/Simulador!$G$9)&gt;=1),0,IF((($A360-Simulador!$E$9)/Simulador!$G$9)&lt;Simulador!$B$11,Simulador!$B$10*(1-COS(PI()*(($A360-Simulador!$E$9)/Simulador!$G$9)/Simulador!$B$11))/2,IF((($A360-Simulador!$E$9)/Simulador!$G$9)&gt;1-Simulador!$B$11,Simulador!$B$10*(1-COS(PI()*(1-(($A360-Simulador!$E$9)/Simulador!$G$9))/Simulador!$B$11))/2,Simulador!$B$10)))</f>
        <v>0</v>
      </c>
      <c r="G360" s="18">
        <f>IF(OR((($A360-Simulador!$E$10)/Simulador!$G$10)&lt;=0,(($A360-Simulador!$E$10)/Simulador!$G$10)&gt;=1),0,IF((($A360-Simulador!$E$10)/Simulador!$G$10)&lt;Simulador!$B$11,Simulador!$B$10*(1-COS(PI()*(($A360-Simulador!$E$10)/Simulador!$G$10)/Simulador!$B$11))/2,IF((($A360-Simulador!$E$10)/Simulador!$G$10)&gt;1-Simulador!$B$11,Simulador!$B$10*(1-COS(PI()*(1-(($A360-Simulador!$E$10)/Simulador!$G$10))/Simulador!$B$11))/2,Simulador!$B$10)))</f>
        <v>0</v>
      </c>
    </row>
    <row r="361" spans="1:7" x14ac:dyDescent="0.25">
      <c r="A361" s="17">
        <f>A360+Simulador!$B$14</f>
        <v>718</v>
      </c>
      <c r="B361" s="18">
        <f>IF(OR((($A361-Simulador!$E$5)/Simulador!$G$5)&lt;=0,(($A361-Simulador!$E$5)/Simulador!$G$5)&gt;=1),0,IF((($A361-Simulador!$E$5)/Simulador!$G$5)&lt;Simulador!$B$11,Simulador!$B$9*(1-COS(PI()*(($A361-Simulador!$E$5)/Simulador!$G$5)/Simulador!$B$11))/2,IF((($A361-Simulador!$E$5)/Simulador!$G$5)&gt;1-Simulador!$B$11,Simulador!$B$9*(1-COS(PI()*(1-(($A361-Simulador!$E$5)/Simulador!$G$5))/Simulador!$B$11))/2,Simulador!$B$9)))</f>
        <v>0</v>
      </c>
      <c r="C361" s="18">
        <f>IF(OR((($A361-Simulador!$E$6)/Simulador!$G$6)&lt;=0,(($A361-Simulador!$E$6)/Simulador!$G$6)&gt;=1),0,IF((($A361-Simulador!$E$6)/Simulador!$G$6)&lt;Simulador!$B$11,Simulador!$B$9*(1-COS(PI()*(($A361-Simulador!$E$6)/Simulador!$G$6)/Simulador!$B$11))/2,IF((($A361-Simulador!$E$6)/Simulador!$G$6)&gt;1-Simulador!$B$11,Simulador!$B$9*(1-COS(PI()*(1-(($A361-Simulador!$E$6)/Simulador!$G$6))/Simulador!$B$11))/2,Simulador!$B$9)))</f>
        <v>0</v>
      </c>
      <c r="D361" s="18">
        <f>IF(OR((($A361-Simulador!$E$7)/Simulador!$G$7)&lt;=0,(($A361-Simulador!$E$7)/Simulador!$G$7)&gt;=1),0,IF((($A361-Simulador!$E$7)/Simulador!$G$7)&lt;Simulador!$B$11,Simulador!$B$9*(1-COS(PI()*(($A361-Simulador!$E$7)/Simulador!$G$7)/Simulador!$B$11))/2,IF((($A361-Simulador!$E$7)/Simulador!$G$7)&gt;1-Simulador!$B$11,Simulador!$B$9*(1-COS(PI()*(1-(($A361-Simulador!$E$7)/Simulador!$G$7))/Simulador!$B$11))/2,Simulador!$B$9)))</f>
        <v>0</v>
      </c>
      <c r="E361" s="18">
        <f>IF(OR((($A361-Simulador!$E$8)/Simulador!$G$8)&lt;=0,(($A361-Simulador!$E$8)/Simulador!$G$8)&gt;=1),0,IF((($A361-Simulador!$E$8)/Simulador!$G$8)&lt;Simulador!$B$11,Simulador!$B$10*(1-COS(PI()*(($A361-Simulador!$E$8)/Simulador!$G$8)/Simulador!$B$11))/2,IF((($A361-Simulador!$E$8)/Simulador!$G$8)&gt;1-Simulador!$B$11,Simulador!$B$10*(1-COS(PI()*(1-(($A361-Simulador!$E$8)/Simulador!$G$8))/Simulador!$B$11))/2,Simulador!$B$10)))</f>
        <v>0</v>
      </c>
      <c r="F361" s="18">
        <f>IF(OR((($A361-Simulador!$E$9)/Simulador!$G$9)&lt;=0,(($A361-Simulador!$E$9)/Simulador!$G$9)&gt;=1),0,IF((($A361-Simulador!$E$9)/Simulador!$G$9)&lt;Simulador!$B$11,Simulador!$B$10*(1-COS(PI()*(($A361-Simulador!$E$9)/Simulador!$G$9)/Simulador!$B$11))/2,IF((($A361-Simulador!$E$9)/Simulador!$G$9)&gt;1-Simulador!$B$11,Simulador!$B$10*(1-COS(PI()*(1-(($A361-Simulador!$E$9)/Simulador!$G$9))/Simulador!$B$11))/2,Simulador!$B$10)))</f>
        <v>0</v>
      </c>
      <c r="G361" s="18">
        <f>IF(OR((($A361-Simulador!$E$10)/Simulador!$G$10)&lt;=0,(($A361-Simulador!$E$10)/Simulador!$G$10)&gt;=1),0,IF((($A361-Simulador!$E$10)/Simulador!$G$10)&lt;Simulador!$B$11,Simulador!$B$10*(1-COS(PI()*(($A361-Simulador!$E$10)/Simulador!$G$10)/Simulador!$B$11))/2,IF((($A361-Simulador!$E$10)/Simulador!$G$10)&gt;1-Simulador!$B$11,Simulador!$B$10*(1-COS(PI()*(1-(($A361-Simulador!$E$10)/Simulador!$G$10))/Simulador!$B$11))/2,Simulador!$B$10)))</f>
        <v>0</v>
      </c>
    </row>
    <row r="362" spans="1:7" x14ac:dyDescent="0.25">
      <c r="A362" s="17">
        <f>A361+Simulador!$B$14</f>
        <v>720</v>
      </c>
      <c r="B362" s="18">
        <f>IF(OR((($A362-Simulador!$E$5)/Simulador!$G$5)&lt;=0,(($A362-Simulador!$E$5)/Simulador!$G$5)&gt;=1),0,IF((($A362-Simulador!$E$5)/Simulador!$G$5)&lt;Simulador!$B$11,Simulador!$B$9*(1-COS(PI()*(($A362-Simulador!$E$5)/Simulador!$G$5)/Simulador!$B$11))/2,IF((($A362-Simulador!$E$5)/Simulador!$G$5)&gt;1-Simulador!$B$11,Simulador!$B$9*(1-COS(PI()*(1-(($A362-Simulador!$E$5)/Simulador!$G$5))/Simulador!$B$11))/2,Simulador!$B$9)))</f>
        <v>0</v>
      </c>
      <c r="C362" s="18">
        <f>IF(OR((($A362-Simulador!$E$6)/Simulador!$G$6)&lt;=0,(($A362-Simulador!$E$6)/Simulador!$G$6)&gt;=1),0,IF((($A362-Simulador!$E$6)/Simulador!$G$6)&lt;Simulador!$B$11,Simulador!$B$9*(1-COS(PI()*(($A362-Simulador!$E$6)/Simulador!$G$6)/Simulador!$B$11))/2,IF((($A362-Simulador!$E$6)/Simulador!$G$6)&gt;1-Simulador!$B$11,Simulador!$B$9*(1-COS(PI()*(1-(($A362-Simulador!$E$6)/Simulador!$G$6))/Simulador!$B$11))/2,Simulador!$B$9)))</f>
        <v>0</v>
      </c>
      <c r="D362" s="18">
        <f>IF(OR((($A362-Simulador!$E$7)/Simulador!$G$7)&lt;=0,(($A362-Simulador!$E$7)/Simulador!$G$7)&gt;=1),0,IF((($A362-Simulador!$E$7)/Simulador!$G$7)&lt;Simulador!$B$11,Simulador!$B$9*(1-COS(PI()*(($A362-Simulador!$E$7)/Simulador!$G$7)/Simulador!$B$11))/2,IF((($A362-Simulador!$E$7)/Simulador!$G$7)&gt;1-Simulador!$B$11,Simulador!$B$9*(1-COS(PI()*(1-(($A362-Simulador!$E$7)/Simulador!$G$7))/Simulador!$B$11))/2,Simulador!$B$9)))</f>
        <v>0</v>
      </c>
      <c r="E362" s="18">
        <f>IF(OR((($A362-Simulador!$E$8)/Simulador!$G$8)&lt;=0,(($A362-Simulador!$E$8)/Simulador!$G$8)&gt;=1),0,IF((($A362-Simulador!$E$8)/Simulador!$G$8)&lt;Simulador!$B$11,Simulador!$B$10*(1-COS(PI()*(($A362-Simulador!$E$8)/Simulador!$G$8)/Simulador!$B$11))/2,IF((($A362-Simulador!$E$8)/Simulador!$G$8)&gt;1-Simulador!$B$11,Simulador!$B$10*(1-COS(PI()*(1-(($A362-Simulador!$E$8)/Simulador!$G$8))/Simulador!$B$11))/2,Simulador!$B$10)))</f>
        <v>0</v>
      </c>
      <c r="F362" s="18">
        <f>IF(OR((($A362-Simulador!$E$9)/Simulador!$G$9)&lt;=0,(($A362-Simulador!$E$9)/Simulador!$G$9)&gt;=1),0,IF((($A362-Simulador!$E$9)/Simulador!$G$9)&lt;Simulador!$B$11,Simulador!$B$10*(1-COS(PI()*(($A362-Simulador!$E$9)/Simulador!$G$9)/Simulador!$B$11))/2,IF((($A362-Simulador!$E$9)/Simulador!$G$9)&gt;1-Simulador!$B$11,Simulador!$B$10*(1-COS(PI()*(1-(($A362-Simulador!$E$9)/Simulador!$G$9))/Simulador!$B$11))/2,Simulador!$B$10)))</f>
        <v>0</v>
      </c>
      <c r="G362" s="18">
        <f>IF(OR((($A362-Simulador!$E$10)/Simulador!$G$10)&lt;=0,(($A362-Simulador!$E$10)/Simulador!$G$10)&gt;=1),0,IF((($A362-Simulador!$E$10)/Simulador!$G$10)&lt;Simulador!$B$11,Simulador!$B$10*(1-COS(PI()*(($A362-Simulador!$E$10)/Simulador!$G$10)/Simulador!$B$11))/2,IF((($A362-Simulador!$E$10)/Simulador!$G$10)&gt;1-Simulador!$B$11,Simulador!$B$10*(1-COS(PI()*(1-(($A362-Simulador!$E$10)/Simulador!$G$10))/Simulador!$B$11))/2,Simulador!$B$10))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16"/>
  <sheetViews>
    <sheetView topLeftCell="A7" workbookViewId="0"/>
  </sheetViews>
  <sheetFormatPr baseColWidth="10" defaultColWidth="9.140625" defaultRowHeight="15" x14ac:dyDescent="0.25"/>
  <cols>
    <col min="1" max="1" width="4" customWidth="1"/>
    <col min="2" max="2" width="110" customWidth="1"/>
  </cols>
  <sheetData>
    <row r="2" spans="2:2" ht="18" x14ac:dyDescent="0.25">
      <c r="B2" s="20" t="s">
        <v>68</v>
      </c>
    </row>
    <row r="3" spans="2:2" ht="30" customHeight="1" x14ac:dyDescent="0.25">
      <c r="B3" s="21" t="s">
        <v>69</v>
      </c>
    </row>
    <row r="4" spans="2:2" x14ac:dyDescent="0.25">
      <c r="B4" s="22" t="s">
        <v>70</v>
      </c>
    </row>
    <row r="5" spans="2:2" ht="30" customHeight="1" x14ac:dyDescent="0.25">
      <c r="B5" s="21" t="s">
        <v>71</v>
      </c>
    </row>
    <row r="6" spans="2:2" ht="30" customHeight="1" x14ac:dyDescent="0.25">
      <c r="B6" s="21" t="s">
        <v>72</v>
      </c>
    </row>
    <row r="7" spans="2:2" x14ac:dyDescent="0.25">
      <c r="B7" s="21" t="s">
        <v>73</v>
      </c>
    </row>
    <row r="8" spans="2:2" x14ac:dyDescent="0.25">
      <c r="B8" s="21" t="s">
        <v>74</v>
      </c>
    </row>
    <row r="9" spans="2:2" x14ac:dyDescent="0.25">
      <c r="B9" s="22" t="s">
        <v>75</v>
      </c>
    </row>
    <row r="10" spans="2:2" ht="30" customHeight="1" x14ac:dyDescent="0.25">
      <c r="B10" s="21" t="s">
        <v>76</v>
      </c>
    </row>
    <row r="11" spans="2:2" ht="30" customHeight="1" x14ac:dyDescent="0.25">
      <c r="B11" s="21" t="s">
        <v>77</v>
      </c>
    </row>
    <row r="12" spans="2:2" ht="30" customHeight="1" x14ac:dyDescent="0.25">
      <c r="B12" s="21" t="s">
        <v>78</v>
      </c>
    </row>
    <row r="13" spans="2:2" x14ac:dyDescent="0.25">
      <c r="B13" s="21" t="s">
        <v>79</v>
      </c>
    </row>
    <row r="14" spans="2:2" x14ac:dyDescent="0.25">
      <c r="B14" s="22" t="s">
        <v>80</v>
      </c>
    </row>
    <row r="15" spans="2:2" ht="30" customHeight="1" x14ac:dyDescent="0.25">
      <c r="B15" s="21" t="s">
        <v>81</v>
      </c>
    </row>
    <row r="16" spans="2:2" ht="30" customHeight="1" x14ac:dyDescent="0.25">
      <c r="B16" s="21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69"/>
  <sheetViews>
    <sheetView workbookViewId="0">
      <pane ySplit="1" topLeftCell="A2" activePane="bottomLeft" state="frozen"/>
      <selection pane="bottomLeft" activeCell="S4" sqref="S4"/>
    </sheetView>
  </sheetViews>
  <sheetFormatPr baseColWidth="10" defaultColWidth="9.140625" defaultRowHeight="15" x14ac:dyDescent="0.25"/>
  <sheetData>
    <row r="1" spans="1:47" x14ac:dyDescent="0.25">
      <c r="A1" s="13" t="s">
        <v>83</v>
      </c>
      <c r="B1" s="23" t="s">
        <v>84</v>
      </c>
      <c r="C1" s="23" t="s">
        <v>85</v>
      </c>
      <c r="D1" s="23" t="s">
        <v>86</v>
      </c>
      <c r="E1" s="23" t="s">
        <v>87</v>
      </c>
      <c r="F1" s="23" t="s">
        <v>88</v>
      </c>
      <c r="G1" s="23" t="s">
        <v>89</v>
      </c>
      <c r="H1" s="23" t="s">
        <v>90</v>
      </c>
      <c r="I1" s="23" t="s">
        <v>91</v>
      </c>
      <c r="J1" s="23" t="s">
        <v>92</v>
      </c>
      <c r="K1" s="23" t="s">
        <v>93</v>
      </c>
      <c r="L1" s="23" t="s">
        <v>94</v>
      </c>
      <c r="M1" s="23" t="s">
        <v>95</v>
      </c>
      <c r="N1" s="23" t="s">
        <v>96</v>
      </c>
      <c r="O1" s="23" t="s">
        <v>97</v>
      </c>
      <c r="P1" s="23" t="s">
        <v>98</v>
      </c>
      <c r="Q1" s="23" t="s">
        <v>99</v>
      </c>
      <c r="R1" s="23" t="s">
        <v>100</v>
      </c>
      <c r="S1" s="23" t="s">
        <v>101</v>
      </c>
      <c r="V1" s="23" t="s">
        <v>102</v>
      </c>
      <c r="W1" s="23" t="s">
        <v>103</v>
      </c>
      <c r="X1" s="23" t="s">
        <v>104</v>
      </c>
      <c r="Y1" s="23" t="s">
        <v>105</v>
      </c>
      <c r="Z1" s="23" t="s">
        <v>106</v>
      </c>
      <c r="AA1" s="23" t="s">
        <v>107</v>
      </c>
      <c r="AB1" s="23" t="s">
        <v>108</v>
      </c>
      <c r="AC1" s="23" t="s">
        <v>109</v>
      </c>
      <c r="AD1" s="23" t="s">
        <v>110</v>
      </c>
      <c r="AF1" s="23" t="s">
        <v>111</v>
      </c>
      <c r="AG1" s="23" t="s">
        <v>112</v>
      </c>
      <c r="AH1" s="23" t="s">
        <v>113</v>
      </c>
      <c r="AN1" s="13" t="s">
        <v>85</v>
      </c>
      <c r="AO1" t="s">
        <v>86</v>
      </c>
      <c r="AP1" t="s">
        <v>88</v>
      </c>
      <c r="AQ1" t="s">
        <v>89</v>
      </c>
      <c r="AR1" t="s">
        <v>114</v>
      </c>
      <c r="AS1" t="s">
        <v>115</v>
      </c>
      <c r="AT1" t="s">
        <v>97</v>
      </c>
      <c r="AU1" t="s">
        <v>98</v>
      </c>
    </row>
    <row r="2" spans="1:47" x14ac:dyDescent="0.25">
      <c r="A2" s="17">
        <f>0/60</f>
        <v>0</v>
      </c>
      <c r="B2" s="24">
        <f>(360-Simulador!$B$7)+$A2*((540+Simulador!$B$8)-(360-Simulador!$B$7))</f>
        <v>340</v>
      </c>
      <c r="C2" s="24">
        <f t="shared" ref="C2:C33" si="0">1*SIN(RADIANS(B2-360))</f>
        <v>-0.34202014332566871</v>
      </c>
      <c r="D2" s="24">
        <f t="shared" ref="D2:D33" si="1">1*COS(RADIANS(B2-360))</f>
        <v>0.93969262078590843</v>
      </c>
      <c r="E2" s="24">
        <f>(540+Simulador!$B$8)+$A2*((720-'Diagrama circular'!$B$9)-(540+Simulador!$B$8))</f>
        <v>590</v>
      </c>
      <c r="F2" s="24">
        <f t="shared" ref="F2:F33" si="2">0.88*SIN(RADIANS(E2-360))</f>
        <v>-0.67411910994470059</v>
      </c>
      <c r="G2" s="24">
        <f t="shared" ref="G2:G33" si="3">0.88*COS(RADIANS(E2-360))</f>
        <v>-0.56565309652415474</v>
      </c>
      <c r="H2" s="24">
        <f>(720-'Diagrama circular'!$B$9)+$A2*((720)-(720-'Diagrama circular'!$B$9))</f>
        <v>710</v>
      </c>
      <c r="I2" s="24">
        <f t="shared" ref="I2:I33" si="4">0.88*SIN(RADIANS(H2-360))</f>
        <v>-0.15281039634689875</v>
      </c>
      <c r="J2" s="24">
        <f t="shared" ref="J2:J33" si="5">0.88*COS(RADIANS(H2-360))</f>
        <v>0.86663082265074309</v>
      </c>
      <c r="K2" s="24">
        <f>(720)+$A2*((900-Simulador!$B$5)-(720))</f>
        <v>720</v>
      </c>
      <c r="L2" s="24">
        <f t="shared" ref="L2:L33" si="6">0.76*SIN(RADIANS(K2-360))</f>
        <v>-1.8622256514611023E-16</v>
      </c>
      <c r="M2" s="24">
        <f t="shared" ref="M2:M33" si="7">0.76*COS(RADIANS(K2-360))</f>
        <v>0.76</v>
      </c>
      <c r="N2" s="24">
        <f>(900-Simulador!$B$5)+$A2*((1080+Simulador!$B$6)-(900-Simulador!$B$5))</f>
        <v>855</v>
      </c>
      <c r="O2" s="24">
        <f t="shared" ref="O2:O33" si="8">0.64*SIN(RADIANS(N2-360))</f>
        <v>0.45254833995939014</v>
      </c>
      <c r="P2" s="24">
        <f t="shared" ref="P2:P33" si="9">0.64*COS(RADIANS(N2-360))</f>
        <v>-0.45254833995939064</v>
      </c>
      <c r="Q2" s="24">
        <f>(360-Simulador!$B$7)+$A2*((360+Simulador!$B$6)-(360-Simulador!$B$7))</f>
        <v>340</v>
      </c>
      <c r="R2" s="24">
        <f t="shared" ref="R2:R33" si="10">0.42*SIN(RADIANS(Q2-360))</f>
        <v>-0.14364846019678085</v>
      </c>
      <c r="S2" s="24">
        <f t="shared" ref="S2:S33" si="11">0.42*COS(RADIANS(Q2-360))</f>
        <v>0.39467090073008154</v>
      </c>
      <c r="V2" s="17" t="s">
        <v>51</v>
      </c>
      <c r="W2" s="17">
        <f>360-Simulador!$B$7</f>
        <v>340</v>
      </c>
      <c r="X2" s="17">
        <v>0</v>
      </c>
      <c r="Y2" s="17">
        <v>0</v>
      </c>
      <c r="Z2" s="17">
        <f>1.12*SIN(RADIANS(W2-360))</f>
        <v>-0.38306256052474902</v>
      </c>
      <c r="AA2" s="17">
        <f>1.12*COS(RADIANS(W2-360))</f>
        <v>1.0524557352802175</v>
      </c>
      <c r="AB2" s="17">
        <f>1.24*SIN(RADIANS(W2-360))</f>
        <v>-0.42410497772382921</v>
      </c>
      <c r="AC2" s="17">
        <f>1.24*COS(RADIANS(W2-360))</f>
        <v>1.1652188497745264</v>
      </c>
      <c r="AD2" s="17" t="str">
        <f>"AAA "&amp;Simulador!$B$7&amp;"°"</f>
        <v>AAA 20°</v>
      </c>
      <c r="AF2" t="s">
        <v>48</v>
      </c>
      <c r="AG2">
        <f>C32*1</f>
        <v>0.96592582628906831</v>
      </c>
      <c r="AH2">
        <f>D32*1</f>
        <v>-0.25881904510252085</v>
      </c>
      <c r="AN2">
        <f t="shared" ref="AN2:AN33" si="12">1*SIN(RADIANS((360+$A2*180)-360))</f>
        <v>0</v>
      </c>
      <c r="AO2">
        <f t="shared" ref="AO2:AO33" si="13">1*COS(RADIANS((360+$A2*180)-360))</f>
        <v>1</v>
      </c>
      <c r="AP2">
        <f t="shared" ref="AP2:AP33" si="14">0.9*SIN(RADIANS((540+$A2*180)-360))</f>
        <v>1.102633609417758E-16</v>
      </c>
      <c r="AQ2">
        <f t="shared" ref="AQ2:AQ33" si="15">0.9*COS(RADIANS((540+$A2*180)-360))</f>
        <v>-0.9</v>
      </c>
      <c r="AR2">
        <f t="shared" ref="AR2:AR33" si="16">0.8*SIN(RADIANS((720+$A2*180)-360))</f>
        <v>-1.960237527853792E-16</v>
      </c>
      <c r="AS2">
        <f t="shared" ref="AS2:AS33" si="17">0.8*COS(RADIANS((720+$A2*180)-360))</f>
        <v>0.8</v>
      </c>
      <c r="AT2">
        <f t="shared" ref="AT2:AT33" si="18">0.7*SIN(RADIANS((900+$A2*180)-360))</f>
        <v>2.572811755308102E-16</v>
      </c>
      <c r="AU2">
        <f t="shared" ref="AU2:AU33" si="19">0.7*COS(RADIANS((900+$A2*180)-360))</f>
        <v>-0.7</v>
      </c>
    </row>
    <row r="3" spans="1:47" x14ac:dyDescent="0.25">
      <c r="A3" s="17">
        <f>1/60</f>
        <v>1.6666666666666666E-2</v>
      </c>
      <c r="B3" s="24">
        <f>(360-Simulador!$B$7)+$A3*((540+Simulador!$B$8)-(360-Simulador!$B$7))</f>
        <v>344.16666666666669</v>
      </c>
      <c r="C3" s="24">
        <f t="shared" si="0"/>
        <v>-0.27283999666746067</v>
      </c>
      <c r="D3" s="24">
        <f t="shared" si="1"/>
        <v>0.96205942447361326</v>
      </c>
      <c r="E3" s="24">
        <f>(540+Simulador!$B$8)+$A3*((720-'Diagrama circular'!$B$9)-(540+Simulador!$B$8))</f>
        <v>592</v>
      </c>
      <c r="F3" s="24">
        <f t="shared" si="2"/>
        <v>-0.69344946317391543</v>
      </c>
      <c r="G3" s="24">
        <f t="shared" si="3"/>
        <v>-0.54178209828657908</v>
      </c>
      <c r="H3" s="24">
        <f>(720-'Diagrama circular'!$B$9)+$A3*((720)-(720-'Diagrama circular'!$B$9))</f>
        <v>710.16666666666663</v>
      </c>
      <c r="I3" s="24">
        <f t="shared" si="4"/>
        <v>-0.15028882651693443</v>
      </c>
      <c r="J3" s="24">
        <f t="shared" si="5"/>
        <v>0.86707166291152826</v>
      </c>
      <c r="K3" s="24">
        <f>(720)+$A3*((900-Simulador!$B$5)-(720))</f>
        <v>722.25</v>
      </c>
      <c r="L3" s="24">
        <f t="shared" si="6"/>
        <v>2.9837459976892123E-2</v>
      </c>
      <c r="M3" s="24">
        <f t="shared" si="7"/>
        <v>0.75941406754294938</v>
      </c>
      <c r="N3" s="24">
        <f>(900-Simulador!$B$5)+$A3*((1080+Simulador!$B$6)-(900-Simulador!$B$5))</f>
        <v>859.08333333333337</v>
      </c>
      <c r="O3" s="24">
        <f t="shared" si="8"/>
        <v>0.41917481912009036</v>
      </c>
      <c r="P3" s="24">
        <f t="shared" si="9"/>
        <v>-0.4836243077179222</v>
      </c>
      <c r="Q3" s="24">
        <f>(360-Simulador!$B$7)+$A3*((360+Simulador!$B$6)-(360-Simulador!$B$7))</f>
        <v>340.66666666666669</v>
      </c>
      <c r="R3" s="24">
        <f t="shared" si="10"/>
        <v>-0.13904663551168225</v>
      </c>
      <c r="S3" s="24">
        <f t="shared" si="11"/>
        <v>0.3963155726853051</v>
      </c>
      <c r="V3" s="17" t="s">
        <v>53</v>
      </c>
      <c r="W3" s="17">
        <f>540+Simulador!$B$8</f>
        <v>590</v>
      </c>
      <c r="X3" s="17">
        <v>0</v>
      </c>
      <c r="Y3" s="17">
        <v>0</v>
      </c>
      <c r="Z3" s="17">
        <f>1.12*SIN(RADIANS(W3-360))</f>
        <v>-0.85796977629325533</v>
      </c>
      <c r="AA3" s="17">
        <f>1.12*COS(RADIANS(W3-360))</f>
        <v>-0.71992212284892432</v>
      </c>
      <c r="AB3" s="17">
        <f>1.24*SIN(RADIANS(W3-360))</f>
        <v>-0.94989510946753264</v>
      </c>
      <c r="AC3" s="17">
        <f>1.24*COS(RADIANS(W3-360))</f>
        <v>-0.79705663601130894</v>
      </c>
      <c r="AD3" s="17" t="str">
        <f>"RCA "&amp;Simulador!$B$8&amp;"°"</f>
        <v>RCA 50°</v>
      </c>
      <c r="AF3" t="s">
        <v>50</v>
      </c>
      <c r="AG3">
        <f>F32*1</f>
        <v>-0.82692950629159934</v>
      </c>
      <c r="AH3">
        <f>G32*1</f>
        <v>0.30097772612658874</v>
      </c>
      <c r="AN3">
        <f t="shared" si="12"/>
        <v>5.2335956242943835E-2</v>
      </c>
      <c r="AO3">
        <f t="shared" si="13"/>
        <v>0.99862953475457383</v>
      </c>
      <c r="AP3">
        <f t="shared" si="14"/>
        <v>-4.7102360618649204E-2</v>
      </c>
      <c r="AQ3">
        <f t="shared" si="15"/>
        <v>-0.89876658127911646</v>
      </c>
      <c r="AR3">
        <f t="shared" si="16"/>
        <v>4.1868764994355108E-2</v>
      </c>
      <c r="AS3">
        <f t="shared" si="17"/>
        <v>0.79890362780365909</v>
      </c>
      <c r="AT3">
        <f t="shared" si="18"/>
        <v>-3.663516937006063E-2</v>
      </c>
      <c r="AU3">
        <f t="shared" si="19"/>
        <v>-0.69904067432820161</v>
      </c>
    </row>
    <row r="4" spans="1:47" x14ac:dyDescent="0.25">
      <c r="A4" s="17">
        <f>2/60</f>
        <v>3.3333333333333333E-2</v>
      </c>
      <c r="B4" s="24">
        <f>(360-Simulador!$B$7)+$A4*((540+Simulador!$B$8)-(360-Simulador!$B$7))</f>
        <v>348.33333333333331</v>
      </c>
      <c r="C4" s="24">
        <f t="shared" si="0"/>
        <v>-0.20221757233203824</v>
      </c>
      <c r="D4" s="24">
        <f t="shared" si="1"/>
        <v>0.97934062176555148</v>
      </c>
      <c r="E4" s="24">
        <f>(540+Simulador!$B$8)+$A4*((720-'Diagrama circular'!$B$9)-(540+Simulador!$B$8))</f>
        <v>594</v>
      </c>
      <c r="F4" s="24">
        <f t="shared" si="2"/>
        <v>-0.71193495504995363</v>
      </c>
      <c r="G4" s="24">
        <f t="shared" si="3"/>
        <v>-0.51725102201737649</v>
      </c>
      <c r="H4" s="24">
        <f>(720-'Diagrama circular'!$B$9)+$A4*((720)-(720-'Diagrama circular'!$B$9))</f>
        <v>710.33333333333337</v>
      </c>
      <c r="I4" s="24">
        <f t="shared" si="4"/>
        <v>-0.14776598500468316</v>
      </c>
      <c r="J4" s="24">
        <f t="shared" si="5"/>
        <v>0.8675051663682446</v>
      </c>
      <c r="K4" s="24">
        <f>(720)+$A4*((900-Simulador!$B$5)-(720))</f>
        <v>724.5</v>
      </c>
      <c r="L4" s="24">
        <f t="shared" si="6"/>
        <v>5.9628912753162303E-2</v>
      </c>
      <c r="M4" s="24">
        <f t="shared" si="7"/>
        <v>0.75765717363717722</v>
      </c>
      <c r="N4" s="24">
        <f>(900-Simulador!$B$5)+$A4*((1080+Simulador!$B$6)-(900-Simulador!$B$5))</f>
        <v>863.16666666666663</v>
      </c>
      <c r="O4" s="24">
        <f t="shared" si="8"/>
        <v>0.38367317999593231</v>
      </c>
      <c r="P4" s="24">
        <f t="shared" si="9"/>
        <v>-0.51224495209988052</v>
      </c>
      <c r="Q4" s="24">
        <f>(360-Simulador!$B$7)+$A4*((360+Simulador!$B$6)-(360-Simulador!$B$7))</f>
        <v>341.33333333333331</v>
      </c>
      <c r="R4" s="24">
        <f t="shared" si="10"/>
        <v>-0.13442598613792819</v>
      </c>
      <c r="S4" s="24">
        <f t="shared" si="11"/>
        <v>0.39790658985601823</v>
      </c>
      <c r="V4" s="17" t="s">
        <v>116</v>
      </c>
      <c r="W4" s="17">
        <f>720-'Diagrama circular'!$B$9</f>
        <v>710</v>
      </c>
      <c r="X4" s="17">
        <v>0</v>
      </c>
      <c r="Y4" s="17">
        <v>0</v>
      </c>
      <c r="Z4" s="17">
        <f>1.12*SIN(RADIANS(W4-360))</f>
        <v>-0.19448595898696205</v>
      </c>
      <c r="AA4" s="17">
        <f>1.12*COS(RADIANS(W4-360))</f>
        <v>1.1029846833736732</v>
      </c>
      <c r="AB4" s="17">
        <f>1.24*SIN(RADIANS(W4-360))</f>
        <v>-0.21532374030699367</v>
      </c>
      <c r="AC4" s="17">
        <f>1.24*COS(RADIANS(W4-360))</f>
        <v>1.221161613735138</v>
      </c>
      <c r="AD4" s="17" t="str">
        <f>"AE "&amp;'Diagrama circular'!$B$9&amp;"°"</f>
        <v>AE 10°</v>
      </c>
      <c r="AF4" t="s">
        <v>117</v>
      </c>
      <c r="AG4">
        <f>I32*0.8</f>
        <v>-6.1357642894351465E-2</v>
      </c>
      <c r="AH4">
        <f>J32*0.8</f>
        <v>0.70132106745658884</v>
      </c>
      <c r="AN4">
        <f t="shared" si="12"/>
        <v>0.10452846326765347</v>
      </c>
      <c r="AO4">
        <f t="shared" si="13"/>
        <v>0.99452189536827329</v>
      </c>
      <c r="AP4">
        <f t="shared" si="14"/>
        <v>-9.4075616940888146E-2</v>
      </c>
      <c r="AQ4">
        <f t="shared" si="15"/>
        <v>-0.89506970583144596</v>
      </c>
      <c r="AR4">
        <f t="shared" si="16"/>
        <v>8.3622770614122349E-2</v>
      </c>
      <c r="AS4">
        <f t="shared" si="17"/>
        <v>0.79561751629461874</v>
      </c>
      <c r="AT4">
        <f t="shared" si="18"/>
        <v>-7.3169924287357579E-2</v>
      </c>
      <c r="AU4">
        <f t="shared" si="19"/>
        <v>-0.6961653267577913</v>
      </c>
    </row>
    <row r="5" spans="1:47" x14ac:dyDescent="0.25">
      <c r="A5" s="17">
        <f>3/60</f>
        <v>0.05</v>
      </c>
      <c r="B5" s="24">
        <f>(360-Simulador!$B$7)+$A5*((540+Simulador!$B$8)-(360-Simulador!$B$7))</f>
        <v>352.5</v>
      </c>
      <c r="C5" s="24">
        <f t="shared" si="0"/>
        <v>-0.13052619222005157</v>
      </c>
      <c r="D5" s="24">
        <f t="shared" si="1"/>
        <v>0.99144486137381038</v>
      </c>
      <c r="E5" s="24">
        <f>(540+Simulador!$B$8)+$A5*((720-'Diagrama circular'!$B$9)-(540+Simulador!$B$8))</f>
        <v>596</v>
      </c>
      <c r="F5" s="24">
        <f t="shared" si="2"/>
        <v>-0.72955306384843688</v>
      </c>
      <c r="G5" s="24">
        <f t="shared" si="3"/>
        <v>-0.49208975505425701</v>
      </c>
      <c r="H5" s="24">
        <f>(720-'Diagrama circular'!$B$9)+$A5*((720)-(720-'Diagrama circular'!$B$9))</f>
        <v>710.5</v>
      </c>
      <c r="I5" s="24">
        <f t="shared" si="4"/>
        <v>-0.14524189315739608</v>
      </c>
      <c r="J5" s="24">
        <f t="shared" si="5"/>
        <v>0.86793132935276363</v>
      </c>
      <c r="K5" s="24">
        <f>(720)+$A5*((900-Simulador!$B$5)-(720))</f>
        <v>726.75</v>
      </c>
      <c r="L5" s="24">
        <f t="shared" si="6"/>
        <v>8.9328422067956256E-2</v>
      </c>
      <c r="M5" s="24">
        <f t="shared" si="7"/>
        <v>0.75473202728574407</v>
      </c>
      <c r="N5" s="24">
        <f>(900-Simulador!$B$5)+$A5*((1080+Simulador!$B$6)-(900-Simulador!$B$5))</f>
        <v>867.25</v>
      </c>
      <c r="O5" s="24">
        <f t="shared" si="8"/>
        <v>0.34622366167551583</v>
      </c>
      <c r="P5" s="24">
        <f t="shared" si="9"/>
        <v>-0.53826496829721138</v>
      </c>
      <c r="Q5" s="24">
        <f>(360-Simulador!$B$7)+$A5*((360+Simulador!$B$6)-(360-Simulador!$B$7))</f>
        <v>342</v>
      </c>
      <c r="R5" s="24">
        <f t="shared" si="10"/>
        <v>-0.1297871376374779</v>
      </c>
      <c r="S5" s="24">
        <f t="shared" si="11"/>
        <v>0.39944373684396445</v>
      </c>
      <c r="V5" s="17" t="s">
        <v>118</v>
      </c>
      <c r="W5" s="17">
        <f>900-Simulador!$B$5</f>
        <v>855</v>
      </c>
      <c r="X5" s="17">
        <v>0</v>
      </c>
      <c r="Y5" s="17">
        <v>0</v>
      </c>
      <c r="Z5" s="17">
        <f>1.12*SIN(RADIANS(W5-360))</f>
        <v>0.79195959492893286</v>
      </c>
      <c r="AA5" s="17">
        <f>1.12*COS(RADIANS(W5-360))</f>
        <v>-0.79195959492893375</v>
      </c>
      <c r="AB5" s="17">
        <f>1.24*SIN(RADIANS(W5-360))</f>
        <v>0.87681240867131849</v>
      </c>
      <c r="AC5" s="17">
        <f>1.24*COS(RADIANS(W5-360))</f>
        <v>-0.87681240867131938</v>
      </c>
      <c r="AD5" s="17" t="str">
        <f>"AAE "&amp;Simulador!$B$5&amp;"°"</f>
        <v>AAE 45°</v>
      </c>
      <c r="AF5" t="s">
        <v>119</v>
      </c>
      <c r="AG5">
        <f>L32*1</f>
        <v>0.70214844470857807</v>
      </c>
      <c r="AH5">
        <f>M32*1</f>
        <v>0.2908394085974681</v>
      </c>
      <c r="AN5">
        <f t="shared" si="12"/>
        <v>0.15643446504023087</v>
      </c>
      <c r="AO5">
        <f t="shared" si="13"/>
        <v>0.98768834059513777</v>
      </c>
      <c r="AP5">
        <f t="shared" si="14"/>
        <v>-0.14079101853620765</v>
      </c>
      <c r="AQ5">
        <f t="shared" si="15"/>
        <v>-0.88891950653562402</v>
      </c>
      <c r="AR5">
        <f t="shared" si="16"/>
        <v>0.12514757203218449</v>
      </c>
      <c r="AS5">
        <f t="shared" si="17"/>
        <v>0.79015067247611026</v>
      </c>
      <c r="AT5">
        <f t="shared" si="18"/>
        <v>-0.10950412552816195</v>
      </c>
      <c r="AU5">
        <f t="shared" si="19"/>
        <v>-0.69138183841659628</v>
      </c>
    </row>
    <row r="6" spans="1:47" x14ac:dyDescent="0.25">
      <c r="A6" s="17">
        <f>4/60</f>
        <v>6.6666666666666666E-2</v>
      </c>
      <c r="B6" s="24">
        <f>(360-Simulador!$B$7)+$A6*((540+Simulador!$B$8)-(360-Simulador!$B$7))</f>
        <v>356.66666666666669</v>
      </c>
      <c r="C6" s="24">
        <f t="shared" si="0"/>
        <v>-5.8144828910475496E-2</v>
      </c>
      <c r="D6" s="24">
        <f t="shared" si="1"/>
        <v>0.99830815827126818</v>
      </c>
      <c r="E6" s="24">
        <f>(540+Simulador!$B$8)+$A6*((720-'Diagrama circular'!$B$9)-(540+Simulador!$B$8))</f>
        <v>598</v>
      </c>
      <c r="F6" s="24">
        <f t="shared" si="2"/>
        <v>-0.74628232461765487</v>
      </c>
      <c r="G6" s="24">
        <f t="shared" si="3"/>
        <v>-0.46632895252522039</v>
      </c>
      <c r="H6" s="24">
        <f>(720-'Diagrama circular'!$B$9)+$A6*((720)-(720-'Diagrama circular'!$B$9))</f>
        <v>710.66666666666663</v>
      </c>
      <c r="I6" s="24">
        <f t="shared" si="4"/>
        <v>-0.14271657233290028</v>
      </c>
      <c r="J6" s="24">
        <f t="shared" si="5"/>
        <v>0.86835014825906953</v>
      </c>
      <c r="K6" s="24">
        <f>(720)+$A6*((900-Simulador!$B$5)-(720))</f>
        <v>729</v>
      </c>
      <c r="L6" s="24">
        <f t="shared" si="6"/>
        <v>0.11889019343057528</v>
      </c>
      <c r="M6" s="24">
        <f t="shared" si="7"/>
        <v>0.75064313885230471</v>
      </c>
      <c r="N6" s="24">
        <f>(900-Simulador!$B$5)+$A6*((1080+Simulador!$B$6)-(900-Simulador!$B$5))</f>
        <v>871.33333333333337</v>
      </c>
      <c r="O6" s="24">
        <f t="shared" si="8"/>
        <v>0.30701639248015761</v>
      </c>
      <c r="P6" s="24">
        <f t="shared" si="9"/>
        <v>-0.5615522546909324</v>
      </c>
      <c r="Q6" s="24">
        <f>(360-Simulador!$B$7)+$A6*((360+Simulador!$B$6)-(360-Simulador!$B$7))</f>
        <v>342.66666666666669</v>
      </c>
      <c r="R6" s="24">
        <f t="shared" si="10"/>
        <v>-0.1251307180361623</v>
      </c>
      <c r="S6" s="24">
        <f t="shared" si="11"/>
        <v>0.40092680554404742</v>
      </c>
      <c r="V6" s="17" t="s">
        <v>49</v>
      </c>
      <c r="W6" s="17">
        <f>1080+Simulador!$B$6</f>
        <v>1100</v>
      </c>
      <c r="X6" s="17">
        <v>0</v>
      </c>
      <c r="Y6" s="17">
        <v>0</v>
      </c>
      <c r="Z6" s="17">
        <f>1.12*SIN(RADIANS(W6-360))</f>
        <v>0.38306256052474807</v>
      </c>
      <c r="AA6" s="17">
        <f>1.12*COS(RADIANS(W6-360))</f>
        <v>1.0524557352802177</v>
      </c>
      <c r="AB6" s="17">
        <f>1.24*SIN(RADIANS(W6-360))</f>
        <v>0.42410497772382816</v>
      </c>
      <c r="AC6" s="17">
        <f>1.24*COS(RADIANS(W6-360))</f>
        <v>1.1652188497745266</v>
      </c>
      <c r="AD6" s="17" t="str">
        <f>"RCE "&amp;Simulador!$B$6&amp;"°"</f>
        <v>RCE 20°</v>
      </c>
      <c r="AF6" t="s">
        <v>56</v>
      </c>
      <c r="AG6">
        <f>O32*1</f>
        <v>-0.62482944455675726</v>
      </c>
      <c r="AH6">
        <f>P32*1</f>
        <v>-0.1385213529203865</v>
      </c>
      <c r="AN6">
        <f t="shared" si="12"/>
        <v>0.20791169081775934</v>
      </c>
      <c r="AO6">
        <f t="shared" si="13"/>
        <v>0.97814760073380569</v>
      </c>
      <c r="AP6">
        <f t="shared" si="14"/>
        <v>-0.18712052173598356</v>
      </c>
      <c r="AQ6">
        <f t="shared" si="15"/>
        <v>-0.88033284066042505</v>
      </c>
      <c r="AR6">
        <f t="shared" si="16"/>
        <v>0.16632935265420751</v>
      </c>
      <c r="AS6">
        <f t="shared" si="17"/>
        <v>0.78251808058704453</v>
      </c>
      <c r="AT6">
        <f t="shared" si="18"/>
        <v>-0.14553818357243087</v>
      </c>
      <c r="AU6">
        <f t="shared" si="19"/>
        <v>-0.684703320513664</v>
      </c>
    </row>
    <row r="7" spans="1:47" x14ac:dyDescent="0.25">
      <c r="A7" s="17">
        <f>5/60</f>
        <v>8.3333333333333329E-2</v>
      </c>
      <c r="B7" s="24">
        <f>(360-Simulador!$B$7)+$A7*((540+Simulador!$B$8)-(360-Simulador!$B$7))</f>
        <v>360.83333333333331</v>
      </c>
      <c r="C7" s="24">
        <f t="shared" si="0"/>
        <v>1.4543897651582325E-2</v>
      </c>
      <c r="D7" s="24">
        <f t="shared" si="1"/>
        <v>0.99989423192710758</v>
      </c>
      <c r="E7" s="24">
        <f>(540+Simulador!$B$8)+$A7*((720-'Diagrama circular'!$B$9)-(540+Simulador!$B$8))</f>
        <v>600</v>
      </c>
      <c r="F7" s="24">
        <f t="shared" si="2"/>
        <v>-0.76210235533030579</v>
      </c>
      <c r="G7" s="24">
        <f t="shared" si="3"/>
        <v>-0.44000000000000039</v>
      </c>
      <c r="H7" s="24">
        <f>(720-'Diagrama circular'!$B$9)+$A7*((720)-(720-'Diagrama circular'!$B$9))</f>
        <v>710.83333333333337</v>
      </c>
      <c r="I7" s="24">
        <f t="shared" si="4"/>
        <v>-0.14019004389941966</v>
      </c>
      <c r="J7" s="24">
        <f t="shared" si="5"/>
        <v>0.86876161954328912</v>
      </c>
      <c r="K7" s="24">
        <f>(720)+$A7*((900-Simulador!$B$5)-(720))</f>
        <v>731.25</v>
      </c>
      <c r="L7" s="24">
        <f t="shared" si="6"/>
        <v>0.14826864473225748</v>
      </c>
      <c r="M7" s="24">
        <f t="shared" si="7"/>
        <v>0.74539681310645511</v>
      </c>
      <c r="N7" s="24">
        <f>(900-Simulador!$B$5)+$A7*((1080+Simulador!$B$6)-(900-Simulador!$B$5))</f>
        <v>875.41666666666663</v>
      </c>
      <c r="O7" s="24">
        <f t="shared" si="8"/>
        <v>0.26625042469703653</v>
      </c>
      <c r="P7" s="24">
        <f t="shared" si="9"/>
        <v>-0.58198858352088634</v>
      </c>
      <c r="Q7" s="24">
        <f>(360-Simulador!$B$7)+$A7*((360+Simulador!$B$6)-(360-Simulador!$B$7))</f>
        <v>343.33333333333331</v>
      </c>
      <c r="R7" s="24">
        <f t="shared" si="10"/>
        <v>-0.12045735773865802</v>
      </c>
      <c r="S7" s="24">
        <f t="shared" si="11"/>
        <v>0.4023555951725053</v>
      </c>
      <c r="AF7" t="str">
        <f>"Cruce "&amp;Simulador!$B$7+Simulador!$B$6&amp;"°"</f>
        <v>Cruce 40°</v>
      </c>
      <c r="AG7">
        <f>R32*1</f>
        <v>0</v>
      </c>
      <c r="AH7">
        <f>S32*1</f>
        <v>0.42</v>
      </c>
      <c r="AN7">
        <f t="shared" si="12"/>
        <v>0.25881904510252074</v>
      </c>
      <c r="AO7">
        <f t="shared" si="13"/>
        <v>0.96592582628906831</v>
      </c>
      <c r="AP7">
        <f t="shared" si="14"/>
        <v>-0.23293714059226872</v>
      </c>
      <c r="AQ7">
        <f t="shared" si="15"/>
        <v>-0.86933324366016151</v>
      </c>
      <c r="AR7">
        <f t="shared" si="16"/>
        <v>0.2070552360820162</v>
      </c>
      <c r="AS7">
        <f t="shared" si="17"/>
        <v>0.77274066103125483</v>
      </c>
      <c r="AT7">
        <f t="shared" si="18"/>
        <v>-0.18117333157176407</v>
      </c>
      <c r="AU7">
        <f t="shared" si="19"/>
        <v>-0.67614807840234781</v>
      </c>
    </row>
    <row r="8" spans="1:47" x14ac:dyDescent="0.25">
      <c r="A8" s="17">
        <f>6/60</f>
        <v>0.1</v>
      </c>
      <c r="B8" s="24">
        <f>(360-Simulador!$B$7)+$A8*((540+Simulador!$B$8)-(360-Simulador!$B$7))</f>
        <v>365</v>
      </c>
      <c r="C8" s="24">
        <f t="shared" si="0"/>
        <v>8.7155742747658166E-2</v>
      </c>
      <c r="D8" s="24">
        <f t="shared" si="1"/>
        <v>0.99619469809174555</v>
      </c>
      <c r="E8" s="24">
        <f>(540+Simulador!$B$8)+$A8*((720-'Diagrama circular'!$B$9)-(540+Simulador!$B$8))</f>
        <v>602</v>
      </c>
      <c r="F8" s="24">
        <f t="shared" si="2"/>
        <v>-0.77699388171585571</v>
      </c>
      <c r="G8" s="24">
        <f t="shared" si="3"/>
        <v>-0.41313497525158388</v>
      </c>
      <c r="H8" s="24">
        <f>(720-'Diagrama circular'!$B$9)+$A8*((720)-(720-'Diagrama circular'!$B$9))</f>
        <v>711</v>
      </c>
      <c r="I8" s="24">
        <f t="shared" si="4"/>
        <v>-0.13766232923540339</v>
      </c>
      <c r="J8" s="24">
        <f t="shared" si="5"/>
        <v>0.86916573972372113</v>
      </c>
      <c r="K8" s="24">
        <f>(720)+$A8*((900-Simulador!$B$5)-(720))</f>
        <v>733.5</v>
      </c>
      <c r="L8" s="24">
        <f t="shared" si="6"/>
        <v>0.17741847653048826</v>
      </c>
      <c r="M8" s="24">
        <f t="shared" si="7"/>
        <v>0.73900113950223423</v>
      </c>
      <c r="N8" s="24">
        <f>(900-Simulador!$B$5)+$A8*((1080+Simulador!$B$6)-(900-Simulador!$B$5))</f>
        <v>879.5</v>
      </c>
      <c r="O8" s="24">
        <f t="shared" si="8"/>
        <v>0.22413272400605885</v>
      </c>
      <c r="P8" s="24">
        <f t="shared" si="9"/>
        <v>-0.59947020111897464</v>
      </c>
      <c r="Q8" s="24">
        <f>(360-Simulador!$B$7)+$A8*((360+Simulador!$B$6)-(360-Simulador!$B$7))</f>
        <v>344</v>
      </c>
      <c r="R8" s="24">
        <f t="shared" si="10"/>
        <v>-0.11576768944313964</v>
      </c>
      <c r="S8" s="24">
        <f t="shared" si="11"/>
        <v>0.40372991229409394</v>
      </c>
      <c r="AN8">
        <f t="shared" si="12"/>
        <v>0.3090169943749474</v>
      </c>
      <c r="AO8">
        <f t="shared" si="13"/>
        <v>0.95105651629515353</v>
      </c>
      <c r="AP8">
        <f t="shared" si="14"/>
        <v>-0.27811529493745257</v>
      </c>
      <c r="AQ8">
        <f t="shared" si="15"/>
        <v>-0.8559508646656383</v>
      </c>
      <c r="AR8">
        <f t="shared" si="16"/>
        <v>0.24721359549995775</v>
      </c>
      <c r="AS8">
        <f t="shared" si="17"/>
        <v>0.76084521303612296</v>
      </c>
      <c r="AT8">
        <f t="shared" si="18"/>
        <v>-0.21631189606246293</v>
      </c>
      <c r="AU8">
        <f t="shared" si="19"/>
        <v>-0.66573956140660751</v>
      </c>
    </row>
    <row r="9" spans="1:47" x14ac:dyDescent="0.25">
      <c r="A9" s="17">
        <f>7/60</f>
        <v>0.11666666666666667</v>
      </c>
      <c r="B9" s="24">
        <f>(360-Simulador!$B$7)+$A9*((540+Simulador!$B$8)-(360-Simulador!$B$7))</f>
        <v>369.16666666666669</v>
      </c>
      <c r="C9" s="24">
        <f t="shared" si="0"/>
        <v>0.15930686806752289</v>
      </c>
      <c r="D9" s="24">
        <f t="shared" si="1"/>
        <v>0.98722911311737405</v>
      </c>
      <c r="E9" s="24">
        <f>(540+Simulador!$B$8)+$A9*((720-'Diagrama circular'!$B$9)-(540+Simulador!$B$8))</f>
        <v>604</v>
      </c>
      <c r="F9" s="24">
        <f t="shared" si="2"/>
        <v>-0.79093876074326686</v>
      </c>
      <c r="G9" s="24">
        <f t="shared" si="3"/>
        <v>-0.38576660917438843</v>
      </c>
      <c r="H9" s="24">
        <f>(720-'Diagrama circular'!$B$9)+$A9*((720)-(720-'Diagrama circular'!$B$9))</f>
        <v>711.16666666666663</v>
      </c>
      <c r="I9" s="24">
        <f t="shared" si="4"/>
        <v>-0.1351334497293325</v>
      </c>
      <c r="J9" s="24">
        <f t="shared" si="5"/>
        <v>0.86956250538086677</v>
      </c>
      <c r="K9" s="24">
        <f>(720)+$A9*((900-Simulador!$B$5)-(720))</f>
        <v>735.75</v>
      </c>
      <c r="L9" s="24">
        <f t="shared" si="6"/>
        <v>0.20629474189745611</v>
      </c>
      <c r="M9" s="24">
        <f t="shared" si="7"/>
        <v>0.73146597970477201</v>
      </c>
      <c r="N9" s="24">
        <f>(900-Simulador!$B$5)+$A9*((1080+Simulador!$B$6)-(900-Simulador!$B$5))</f>
        <v>883.58333333333337</v>
      </c>
      <c r="O9" s="24">
        <f t="shared" si="8"/>
        <v>0.18087711873103859</v>
      </c>
      <c r="P9" s="24">
        <f t="shared" si="9"/>
        <v>-0.61390835465854166</v>
      </c>
      <c r="Q9" s="24">
        <f>(360-Simulador!$B$7)+$A9*((360+Simulador!$B$6)-(360-Simulador!$B$7))</f>
        <v>344.66666666666669</v>
      </c>
      <c r="R9" s="24">
        <f t="shared" si="10"/>
        <v>-0.11106234805562482</v>
      </c>
      <c r="S9" s="24">
        <f t="shared" si="11"/>
        <v>0.40504957084827437</v>
      </c>
      <c r="AF9" t="s">
        <v>120</v>
      </c>
      <c r="AG9">
        <v>0</v>
      </c>
      <c r="AH9">
        <v>1.42</v>
      </c>
      <c r="AN9">
        <f t="shared" si="12"/>
        <v>0.35836794954530027</v>
      </c>
      <c r="AO9">
        <f t="shared" si="13"/>
        <v>0.93358042649720174</v>
      </c>
      <c r="AP9">
        <f t="shared" si="14"/>
        <v>-0.32253115459077042</v>
      </c>
      <c r="AQ9">
        <f t="shared" si="15"/>
        <v>-0.8402223838474816</v>
      </c>
      <c r="AR9">
        <f t="shared" si="16"/>
        <v>0.28669435963624029</v>
      </c>
      <c r="AS9">
        <f t="shared" si="17"/>
        <v>0.74686434119776146</v>
      </c>
      <c r="AT9">
        <f t="shared" si="18"/>
        <v>-0.25085756468171011</v>
      </c>
      <c r="AU9">
        <f t="shared" si="19"/>
        <v>-0.65350629854804121</v>
      </c>
    </row>
    <row r="10" spans="1:47" x14ac:dyDescent="0.25">
      <c r="A10" s="17">
        <f>8/60</f>
        <v>0.13333333333333333</v>
      </c>
      <c r="B10" s="24">
        <f>(360-Simulador!$B$7)+$A10*((540+Simulador!$B$8)-(360-Simulador!$B$7))</f>
        <v>373.33333333333331</v>
      </c>
      <c r="C10" s="24">
        <f t="shared" si="0"/>
        <v>0.23061587074243986</v>
      </c>
      <c r="D10" s="24">
        <f t="shared" si="1"/>
        <v>0.97304487057982392</v>
      </c>
      <c r="E10" s="24">
        <f>(540+Simulador!$B$8)+$A10*((720-'Diagrama circular'!$B$9)-(540+Simulador!$B$8))</f>
        <v>606</v>
      </c>
      <c r="F10" s="24">
        <f t="shared" si="2"/>
        <v>-0.80392000272548891</v>
      </c>
      <c r="G10" s="24">
        <f t="shared" si="3"/>
        <v>-0.35792824590670408</v>
      </c>
      <c r="H10" s="24">
        <f>(720-'Diagrama circular'!$B$9)+$A10*((720)-(720-'Diagrama circular'!$B$9))</f>
        <v>711.33333333333337</v>
      </c>
      <c r="I10" s="24">
        <f t="shared" si="4"/>
        <v>-0.13260342677954465</v>
      </c>
      <c r="J10" s="24">
        <f t="shared" si="5"/>
        <v>0.86995191315745835</v>
      </c>
      <c r="K10" s="24">
        <f>(720)+$A10*((900-Simulador!$B$5)-(720))</f>
        <v>738</v>
      </c>
      <c r="L10" s="24">
        <f t="shared" si="6"/>
        <v>0.23485291572495987</v>
      </c>
      <c r="M10" s="24">
        <f t="shared" si="7"/>
        <v>0.7228029523843168</v>
      </c>
      <c r="N10" s="24">
        <f>(900-Simulador!$B$5)+$A10*((1080+Simulador!$B$6)-(900-Simulador!$B$5))</f>
        <v>887.66666666666663</v>
      </c>
      <c r="O10" s="24">
        <f t="shared" si="8"/>
        <v>0.13670321424975398</v>
      </c>
      <c r="P10" s="24">
        <f t="shared" si="9"/>
        <v>-0.62522974274564536</v>
      </c>
      <c r="Q10" s="24">
        <f>(360-Simulador!$B$7)+$A10*((360+Simulador!$B$6)-(360-Simulador!$B$7))</f>
        <v>345.33333333333331</v>
      </c>
      <c r="R10" s="24">
        <f t="shared" si="10"/>
        <v>-0.10634197060401684</v>
      </c>
      <c r="S10" s="24">
        <f t="shared" si="11"/>
        <v>0.40631439217440285</v>
      </c>
      <c r="AF10" t="s">
        <v>121</v>
      </c>
      <c r="AG10">
        <v>0</v>
      </c>
      <c r="AH10">
        <v>-1.42</v>
      </c>
      <c r="AN10">
        <f t="shared" si="12"/>
        <v>0.40673664307580021</v>
      </c>
      <c r="AO10">
        <f t="shared" si="13"/>
        <v>0.91354545764260087</v>
      </c>
      <c r="AP10">
        <f t="shared" si="14"/>
        <v>-0.36606297876822019</v>
      </c>
      <c r="AQ10">
        <f t="shared" si="15"/>
        <v>-0.82219091187834081</v>
      </c>
      <c r="AR10">
        <f t="shared" si="16"/>
        <v>0.3253893144606404</v>
      </c>
      <c r="AS10">
        <f t="shared" si="17"/>
        <v>0.73083636611408065</v>
      </c>
      <c r="AT10">
        <f t="shared" si="18"/>
        <v>-0.28471565015306022</v>
      </c>
      <c r="AU10">
        <f t="shared" si="19"/>
        <v>-0.63948182034982048</v>
      </c>
    </row>
    <row r="11" spans="1:47" x14ac:dyDescent="0.25">
      <c r="A11" s="17">
        <f>9/60</f>
        <v>0.15</v>
      </c>
      <c r="B11" s="24">
        <f>(360-Simulador!$B$7)+$A11*((540+Simulador!$B$8)-(360-Simulador!$B$7))</f>
        <v>377.5</v>
      </c>
      <c r="C11" s="24">
        <f t="shared" si="0"/>
        <v>0.30070579950427312</v>
      </c>
      <c r="D11" s="24">
        <f t="shared" si="1"/>
        <v>0.95371695074822693</v>
      </c>
      <c r="E11" s="24">
        <f>(540+Simulador!$B$8)+$A11*((720-'Diagrama circular'!$B$9)-(540+Simulador!$B$8))</f>
        <v>608</v>
      </c>
      <c r="F11" s="24">
        <f t="shared" si="2"/>
        <v>-0.8159217920187728</v>
      </c>
      <c r="G11" s="24">
        <f t="shared" si="3"/>
        <v>-0.32965380220600282</v>
      </c>
      <c r="H11" s="24">
        <f>(720-'Diagrama circular'!$B$9)+$A11*((720)-(720-'Diagrama circular'!$B$9))</f>
        <v>711.5</v>
      </c>
      <c r="I11" s="24">
        <f t="shared" si="4"/>
        <v>-0.13007228179405725</v>
      </c>
      <c r="J11" s="24">
        <f t="shared" si="5"/>
        <v>0.87033395975848682</v>
      </c>
      <c r="K11" s="24">
        <f>(720)+$A11*((900-Simulador!$B$5)-(720))</f>
        <v>740.25</v>
      </c>
      <c r="L11" s="24">
        <f t="shared" si="6"/>
        <v>0.26304896337889466</v>
      </c>
      <c r="M11" s="24">
        <f t="shared" si="7"/>
        <v>0.71302541530108798</v>
      </c>
      <c r="N11" s="24">
        <f>(900-Simulador!$B$5)+$A11*((1080+Simulador!$B$6)-(900-Simulador!$B$5))</f>
        <v>891.75</v>
      </c>
      <c r="O11" s="24">
        <f t="shared" si="8"/>
        <v>9.1835278074354376E-2</v>
      </c>
      <c r="P11" s="24">
        <f t="shared" si="9"/>
        <v>-0.63337688756458899</v>
      </c>
      <c r="Q11" s="24">
        <f>(360-Simulador!$B$7)+$A11*((360+Simulador!$B$6)-(360-Simulador!$B$7))</f>
        <v>346</v>
      </c>
      <c r="R11" s="24">
        <f t="shared" si="10"/>
        <v>-0.10160719615186044</v>
      </c>
      <c r="S11" s="24">
        <f t="shared" si="11"/>
        <v>0.40752420503591852</v>
      </c>
      <c r="AN11">
        <f t="shared" si="12"/>
        <v>0.45399049973954675</v>
      </c>
      <c r="AO11">
        <f t="shared" si="13"/>
        <v>0.8910065241883679</v>
      </c>
      <c r="AP11">
        <f t="shared" si="14"/>
        <v>-0.40859144976559203</v>
      </c>
      <c r="AQ11">
        <f t="shared" si="15"/>
        <v>-0.8019058717695311</v>
      </c>
      <c r="AR11">
        <f t="shared" si="16"/>
        <v>0.36319239979163731</v>
      </c>
      <c r="AS11">
        <f t="shared" si="17"/>
        <v>0.71280521935069441</v>
      </c>
      <c r="AT11">
        <f t="shared" si="18"/>
        <v>-0.31779334981768304</v>
      </c>
      <c r="AU11">
        <f t="shared" si="19"/>
        <v>-0.62370456693185738</v>
      </c>
    </row>
    <row r="12" spans="1:47" x14ac:dyDescent="0.25">
      <c r="A12" s="17">
        <f>10/60</f>
        <v>0.16666666666666666</v>
      </c>
      <c r="B12" s="24">
        <f>(360-Simulador!$B$7)+$A12*((540+Simulador!$B$8)-(360-Simulador!$B$7))</f>
        <v>381.66666666666669</v>
      </c>
      <c r="C12" s="24">
        <f t="shared" si="0"/>
        <v>0.36920614731268475</v>
      </c>
      <c r="D12" s="24">
        <f t="shared" si="1"/>
        <v>0.92934752422682232</v>
      </c>
      <c r="E12" s="24">
        <f>(540+Simulador!$B$8)+$A12*((720-'Diagrama circular'!$B$9)-(540+Simulador!$B$8))</f>
        <v>610</v>
      </c>
      <c r="F12" s="24">
        <f t="shared" si="2"/>
        <v>-0.82692950629159945</v>
      </c>
      <c r="G12" s="24">
        <f t="shared" si="3"/>
        <v>-0.3009777261265883</v>
      </c>
      <c r="H12" s="24">
        <f>(720-'Diagrama circular'!$B$9)+$A12*((720)-(720-'Diagrama circular'!$B$9))</f>
        <v>711.66666666666663</v>
      </c>
      <c r="I12" s="24">
        <f t="shared" si="4"/>
        <v>-0.12754003619037746</v>
      </c>
      <c r="J12" s="24">
        <f t="shared" si="5"/>
        <v>0.8707086419512311</v>
      </c>
      <c r="K12" s="24">
        <f>(720)+$A12*((900-Simulador!$B$5)-(720))</f>
        <v>742.5</v>
      </c>
      <c r="L12" s="24">
        <f t="shared" si="6"/>
        <v>0.29083940859746837</v>
      </c>
      <c r="M12" s="24">
        <f t="shared" si="7"/>
        <v>0.70214844470857796</v>
      </c>
      <c r="N12" s="24">
        <f>(900-Simulador!$B$5)+$A12*((1080+Simulador!$B$6)-(900-Simulador!$B$5))</f>
        <v>895.83333333333337</v>
      </c>
      <c r="O12" s="24">
        <f t="shared" si="8"/>
        <v>4.6501101262470784E-2</v>
      </c>
      <c r="P12" s="24">
        <f t="shared" si="9"/>
        <v>-0.63830842668836629</v>
      </c>
      <c r="Q12" s="24">
        <f>(360-Simulador!$B$7)+$A12*((360+Simulador!$B$6)-(360-Simulador!$B$7))</f>
        <v>346.66666666666669</v>
      </c>
      <c r="R12" s="24">
        <f t="shared" si="10"/>
        <v>-9.6858665711824735E-2</v>
      </c>
      <c r="S12" s="24">
        <f t="shared" si="11"/>
        <v>0.40867884564352602</v>
      </c>
      <c r="AF12" t="s">
        <v>122</v>
      </c>
      <c r="AG12">
        <v>0</v>
      </c>
      <c r="AH12">
        <v>1.3</v>
      </c>
      <c r="AN12">
        <f t="shared" si="12"/>
        <v>0.49999999999999994</v>
      </c>
      <c r="AO12">
        <f t="shared" si="13"/>
        <v>0.86602540378443871</v>
      </c>
      <c r="AP12">
        <f t="shared" si="14"/>
        <v>-0.45000000000000012</v>
      </c>
      <c r="AQ12">
        <f t="shared" si="15"/>
        <v>-0.77942286340599476</v>
      </c>
      <c r="AR12">
        <f t="shared" si="16"/>
        <v>0.4</v>
      </c>
      <c r="AS12">
        <f t="shared" si="17"/>
        <v>0.69282032302755092</v>
      </c>
      <c r="AT12">
        <f t="shared" si="18"/>
        <v>-0.34999999999999942</v>
      </c>
      <c r="AU12">
        <f t="shared" si="19"/>
        <v>-0.60621778264910742</v>
      </c>
    </row>
    <row r="13" spans="1:47" x14ac:dyDescent="0.25">
      <c r="A13" s="17">
        <f>11/60</f>
        <v>0.18333333333333332</v>
      </c>
      <c r="B13" s="24">
        <f>(360-Simulador!$B$7)+$A13*((540+Simulador!$B$8)-(360-Simulador!$B$7))</f>
        <v>385.83333333333331</v>
      </c>
      <c r="C13" s="24">
        <f t="shared" si="0"/>
        <v>0.43575480991707904</v>
      </c>
      <c r="D13" s="24">
        <f t="shared" si="1"/>
        <v>0.90006541186412126</v>
      </c>
      <c r="E13" s="24">
        <f>(540+Simulador!$B$8)+$A13*((720-'Diagrama circular'!$B$9)-(540+Simulador!$B$8))</f>
        <v>612</v>
      </c>
      <c r="F13" s="24">
        <f t="shared" si="2"/>
        <v>-0.83692973433973517</v>
      </c>
      <c r="G13" s="24">
        <f t="shared" si="3"/>
        <v>-0.27193495504995385</v>
      </c>
      <c r="H13" s="24">
        <f>(720-'Diagrama circular'!$B$9)+$A13*((720)-(720-'Diagrama circular'!$B$9))</f>
        <v>711.83333333333337</v>
      </c>
      <c r="I13" s="24">
        <f t="shared" si="4"/>
        <v>-0.12500671139532529</v>
      </c>
      <c r="J13" s="24">
        <f t="shared" si="5"/>
        <v>0.8710759565652848</v>
      </c>
      <c r="K13" s="24">
        <f>(720)+$A13*((900-Simulador!$B$5)-(720))</f>
        <v>744.75</v>
      </c>
      <c r="L13" s="24">
        <f t="shared" si="6"/>
        <v>0.31818140052844501</v>
      </c>
      <c r="M13" s="24">
        <f t="shared" si="7"/>
        <v>0.69018881210706196</v>
      </c>
      <c r="N13" s="24">
        <f>(900-Simulador!$B$5)+$A13*((1080+Simulador!$B$6)-(900-Simulador!$B$5))</f>
        <v>899.91666666666663</v>
      </c>
      <c r="O13" s="24">
        <f t="shared" si="8"/>
        <v>9.3084193954694921E-4</v>
      </c>
      <c r="P13" s="24">
        <f t="shared" si="9"/>
        <v>-0.63999932307251983</v>
      </c>
      <c r="Q13" s="24">
        <f>(360-Simulador!$B$7)+$A13*((360+Simulador!$B$6)-(360-Simulador!$B$7))</f>
        <v>347.33333333333331</v>
      </c>
      <c r="R13" s="24">
        <f t="shared" si="10"/>
        <v>-9.2097022158919517E-2</v>
      </c>
      <c r="S13" s="24">
        <f t="shared" si="11"/>
        <v>0.40977815767736997</v>
      </c>
      <c r="AG13">
        <v>0</v>
      </c>
      <c r="AH13">
        <v>-1.3</v>
      </c>
      <c r="AN13">
        <f t="shared" si="12"/>
        <v>0.54463903501502708</v>
      </c>
      <c r="AO13">
        <f t="shared" si="13"/>
        <v>0.83867056794542405</v>
      </c>
      <c r="AP13">
        <f t="shared" si="14"/>
        <v>-0.49017513151352438</v>
      </c>
      <c r="AQ13">
        <f t="shared" si="15"/>
        <v>-0.75480351115088162</v>
      </c>
      <c r="AR13">
        <f t="shared" si="16"/>
        <v>0.43571122801202189</v>
      </c>
      <c r="AS13">
        <f t="shared" si="17"/>
        <v>0.67093645435633908</v>
      </c>
      <c r="AT13">
        <f t="shared" si="18"/>
        <v>-0.38124732451051857</v>
      </c>
      <c r="AU13">
        <f t="shared" si="19"/>
        <v>-0.58706939756179699</v>
      </c>
    </row>
    <row r="14" spans="1:47" x14ac:dyDescent="0.25">
      <c r="A14" s="17">
        <f>12/60</f>
        <v>0.2</v>
      </c>
      <c r="B14" s="24">
        <f>(360-Simulador!$B$7)+$A14*((540+Simulador!$B$8)-(360-Simulador!$B$7))</f>
        <v>390</v>
      </c>
      <c r="C14" s="24">
        <f t="shared" si="0"/>
        <v>0.49999999999999994</v>
      </c>
      <c r="D14" s="24">
        <f t="shared" si="1"/>
        <v>0.86602540378443871</v>
      </c>
      <c r="E14" s="24">
        <f>(540+Simulador!$B$8)+$A14*((720-'Diagrama circular'!$B$9)-(540+Simulador!$B$8))</f>
        <v>614</v>
      </c>
      <c r="F14" s="24">
        <f t="shared" si="2"/>
        <v>-0.84591029242572069</v>
      </c>
      <c r="G14" s="24">
        <f t="shared" si="3"/>
        <v>-0.24256087311895902</v>
      </c>
      <c r="H14" s="24">
        <f>(720-'Diagrama circular'!$B$9)+$A14*((720)-(720-'Diagrama circular'!$B$9))</f>
        <v>712</v>
      </c>
      <c r="I14" s="24">
        <f t="shared" si="4"/>
        <v>-0.12247232884485798</v>
      </c>
      <c r="J14" s="24">
        <f t="shared" si="5"/>
        <v>0.87143590049258179</v>
      </c>
      <c r="K14" s="24">
        <f>(720)+$A14*((900-Simulador!$B$5)-(720))</f>
        <v>747</v>
      </c>
      <c r="L14" s="24">
        <f t="shared" si="6"/>
        <v>0.34503277980205543</v>
      </c>
      <c r="M14" s="24">
        <f t="shared" si="7"/>
        <v>0.67716495838315971</v>
      </c>
      <c r="N14" s="24">
        <f>(900-Simulador!$B$5)+$A14*((1080+Simulador!$B$6)-(900-Simulador!$B$5))</f>
        <v>904</v>
      </c>
      <c r="O14" s="24">
        <f t="shared" si="8"/>
        <v>-4.4644143196240584E-2</v>
      </c>
      <c r="P14" s="24">
        <f t="shared" si="9"/>
        <v>-0.63844099216628747</v>
      </c>
      <c r="Q14" s="24">
        <f>(360-Simulador!$B$7)+$A14*((360+Simulador!$B$6)-(360-Simulador!$B$7))</f>
        <v>348</v>
      </c>
      <c r="R14" s="24">
        <f t="shared" si="10"/>
        <v>-8.7322910143458915E-2</v>
      </c>
      <c r="S14" s="24">
        <f t="shared" si="11"/>
        <v>0.41082199230819838</v>
      </c>
      <c r="AN14">
        <f t="shared" si="12"/>
        <v>0.58778525229247314</v>
      </c>
      <c r="AO14">
        <f t="shared" si="13"/>
        <v>0.80901699437494745</v>
      </c>
      <c r="AP14">
        <f t="shared" si="14"/>
        <v>-0.52900672706322571</v>
      </c>
      <c r="AQ14">
        <f t="shared" si="15"/>
        <v>-0.72811529493745286</v>
      </c>
      <c r="AR14">
        <f t="shared" si="16"/>
        <v>0.47022820183397834</v>
      </c>
      <c r="AS14">
        <f t="shared" si="17"/>
        <v>0.64721359549995805</v>
      </c>
      <c r="AT14">
        <f t="shared" si="18"/>
        <v>-0.41144967660473092</v>
      </c>
      <c r="AU14">
        <f t="shared" si="19"/>
        <v>-0.56631189606246335</v>
      </c>
    </row>
    <row r="15" spans="1:47" x14ac:dyDescent="0.25">
      <c r="A15" s="17">
        <f>13/60</f>
        <v>0.21666666666666667</v>
      </c>
      <c r="B15" s="24">
        <f>(360-Simulador!$B$7)+$A15*((540+Simulador!$B$8)-(360-Simulador!$B$7))</f>
        <v>394.16666666666669</v>
      </c>
      <c r="C15" s="24">
        <f t="shared" si="0"/>
        <v>0.5616021067834932</v>
      </c>
      <c r="D15" s="24">
        <f t="shared" si="1"/>
        <v>0.82740744114151032</v>
      </c>
      <c r="E15" s="24">
        <f>(540+Simulador!$B$8)+$A15*((720-'Diagrama circular'!$B$9)-(540+Simulador!$B$8))</f>
        <v>616</v>
      </c>
      <c r="F15" s="24">
        <f t="shared" si="2"/>
        <v>-0.8538602391228769</v>
      </c>
      <c r="G15" s="24">
        <f t="shared" si="3"/>
        <v>-0.21289126812770764</v>
      </c>
      <c r="H15" s="24">
        <f>(720-'Diagrama circular'!$B$9)+$A15*((720)-(720-'Diagrama circular'!$B$9))</f>
        <v>712.16666666666663</v>
      </c>
      <c r="I15" s="24">
        <f t="shared" si="4"/>
        <v>-0.11993690998387593</v>
      </c>
      <c r="J15" s="24">
        <f t="shared" si="5"/>
        <v>0.87178847068742515</v>
      </c>
      <c r="K15" s="24">
        <f>(720)+$A15*((900-Simulador!$B$5)-(720))</f>
        <v>749.25</v>
      </c>
      <c r="L15" s="24">
        <f t="shared" si="6"/>
        <v>0.37135214353768575</v>
      </c>
      <c r="M15" s="24">
        <f t="shared" si="7"/>
        <v>0.66309696537532581</v>
      </c>
      <c r="N15" s="24">
        <f>(900-Simulador!$B$5)+$A15*((1080+Simulador!$B$6)-(900-Simulador!$B$5))</f>
        <v>908.08333333333337</v>
      </c>
      <c r="O15" s="24">
        <f t="shared" si="8"/>
        <v>-8.9992473454123825E-2</v>
      </c>
      <c r="P15" s="24">
        <f t="shared" si="9"/>
        <v>-0.63364134549570617</v>
      </c>
      <c r="Q15" s="24">
        <f>(360-Simulador!$B$7)+$A15*((360+Simulador!$B$6)-(360-Simulador!$B$7))</f>
        <v>348.66666666666669</v>
      </c>
      <c r="R15" s="24">
        <f t="shared" si="10"/>
        <v>-8.2536976003788509E-2</v>
      </c>
      <c r="S15" s="24">
        <f t="shared" si="11"/>
        <v>0.41181020821751135</v>
      </c>
      <c r="AN15">
        <f t="shared" si="12"/>
        <v>0.62932039104983739</v>
      </c>
      <c r="AO15">
        <f t="shared" si="13"/>
        <v>0.7771459614569709</v>
      </c>
      <c r="AP15">
        <f t="shared" si="14"/>
        <v>-0.56638835194485382</v>
      </c>
      <c r="AQ15">
        <f t="shared" si="15"/>
        <v>-0.6994313653112737</v>
      </c>
      <c r="AR15">
        <f t="shared" si="16"/>
        <v>0.50345631283987002</v>
      </c>
      <c r="AS15">
        <f t="shared" si="17"/>
        <v>0.62171676916557672</v>
      </c>
      <c r="AT15">
        <f t="shared" si="18"/>
        <v>-0.44052427373488612</v>
      </c>
      <c r="AU15">
        <f t="shared" si="19"/>
        <v>-0.54400217301987963</v>
      </c>
    </row>
    <row r="16" spans="1:47" x14ac:dyDescent="0.25">
      <c r="A16" s="17">
        <f>14/60</f>
        <v>0.23333333333333334</v>
      </c>
      <c r="B16" s="24">
        <f>(360-Simulador!$B$7)+$A16*((540+Simulador!$B$8)-(360-Simulador!$B$7))</f>
        <v>398.33333333333331</v>
      </c>
      <c r="C16" s="24">
        <f t="shared" si="0"/>
        <v>0.62023549126825972</v>
      </c>
      <c r="D16" s="24">
        <f t="shared" si="1"/>
        <v>0.78441566491957593</v>
      </c>
      <c r="E16" s="24">
        <f>(540+Simulador!$B$8)+$A16*((720-'Diagrama circular'!$B$9)-(540+Simulador!$B$8))</f>
        <v>618</v>
      </c>
      <c r="F16" s="24">
        <f t="shared" si="2"/>
        <v>-0.86076988864574888</v>
      </c>
      <c r="G16" s="24">
        <f t="shared" si="3"/>
        <v>-0.18296228791962862</v>
      </c>
      <c r="H16" s="24">
        <f>(720-'Diagrama circular'!$B$9)+$A16*((720)-(720-'Diagrama circular'!$B$9))</f>
        <v>712.33333333333337</v>
      </c>
      <c r="I16" s="24">
        <f t="shared" si="4"/>
        <v>-0.11740047626605084</v>
      </c>
      <c r="J16" s="24">
        <f t="shared" si="5"/>
        <v>0.87213366416651095</v>
      </c>
      <c r="K16" s="24">
        <f>(720)+$A16*((900-Simulador!$B$5)-(720))</f>
        <v>751.5</v>
      </c>
      <c r="L16" s="24">
        <f t="shared" si="6"/>
        <v>0.39709890918412127</v>
      </c>
      <c r="M16" s="24">
        <f t="shared" si="7"/>
        <v>0.64800652490911004</v>
      </c>
      <c r="N16" s="24">
        <f>(900-Simulador!$B$5)+$A16*((1080+Simulador!$B$6)-(900-Simulador!$B$5))</f>
        <v>912.16666666666663</v>
      </c>
      <c r="O16" s="24">
        <f t="shared" si="8"/>
        <v>-0.13488391885270334</v>
      </c>
      <c r="P16" s="24">
        <f t="shared" si="9"/>
        <v>-0.62562475049740263</v>
      </c>
      <c r="Q16" s="24">
        <f>(360-Simulador!$B$7)+$A16*((360+Simulador!$B$6)-(360-Simulador!$B$7))</f>
        <v>349.33333333333331</v>
      </c>
      <c r="R16" s="24">
        <f t="shared" si="10"/>
        <v>-7.7739867678780258E-2</v>
      </c>
      <c r="S16" s="24">
        <f t="shared" si="11"/>
        <v>0.41274267161669353</v>
      </c>
      <c r="AN16">
        <f t="shared" si="12"/>
        <v>0.66913060635885824</v>
      </c>
      <c r="AO16">
        <f t="shared" si="13"/>
        <v>0.74314482547739424</v>
      </c>
      <c r="AP16">
        <f t="shared" si="14"/>
        <v>-0.60221754572297248</v>
      </c>
      <c r="AQ16">
        <f t="shared" si="15"/>
        <v>-0.66883034292965482</v>
      </c>
      <c r="AR16">
        <f t="shared" si="16"/>
        <v>0.53530448508708683</v>
      </c>
      <c r="AS16">
        <f t="shared" si="17"/>
        <v>0.59451586038191528</v>
      </c>
      <c r="AT16">
        <f t="shared" si="18"/>
        <v>-0.4683914244512008</v>
      </c>
      <c r="AU16">
        <f t="shared" si="19"/>
        <v>-0.52020137783417586</v>
      </c>
    </row>
    <row r="17" spans="1:47" x14ac:dyDescent="0.25">
      <c r="A17" s="17">
        <f>15/60</f>
        <v>0.25</v>
      </c>
      <c r="B17" s="24">
        <f>(360-Simulador!$B$7)+$A17*((540+Simulador!$B$8)-(360-Simulador!$B$7))</f>
        <v>402.5</v>
      </c>
      <c r="C17" s="24">
        <f t="shared" si="0"/>
        <v>0.67559020761566024</v>
      </c>
      <c r="D17" s="24">
        <f t="shared" si="1"/>
        <v>0.73727733681012397</v>
      </c>
      <c r="E17" s="24">
        <f>(540+Simulador!$B$8)+$A17*((720-'Diagrama circular'!$B$9)-(540+Simulador!$B$8))</f>
        <v>620</v>
      </c>
      <c r="F17" s="24">
        <f t="shared" si="2"/>
        <v>-0.86663082265074309</v>
      </c>
      <c r="G17" s="24">
        <f t="shared" si="3"/>
        <v>-0.15281039634689869</v>
      </c>
      <c r="H17" s="24">
        <f>(720-'Diagrama circular'!$B$9)+$A17*((720)-(720-'Diagrama circular'!$B$9))</f>
        <v>712.5</v>
      </c>
      <c r="I17" s="24">
        <f t="shared" si="4"/>
        <v>-0.11486304915364548</v>
      </c>
      <c r="J17" s="24">
        <f t="shared" si="5"/>
        <v>0.87247147800895319</v>
      </c>
      <c r="K17" s="24">
        <f>(720)+$A17*((900-Simulador!$B$5)-(720))</f>
        <v>753.75</v>
      </c>
      <c r="L17" s="24">
        <f t="shared" si="6"/>
        <v>0.42223337709489739</v>
      </c>
      <c r="M17" s="24">
        <f t="shared" si="7"/>
        <v>0.63191690534993461</v>
      </c>
      <c r="N17" s="24">
        <f>(900-Simulador!$B$5)+$A17*((1080+Simulador!$B$6)-(900-Simulador!$B$5))</f>
        <v>916.25</v>
      </c>
      <c r="O17" s="24">
        <f t="shared" si="8"/>
        <v>-0.1790905689798353</v>
      </c>
      <c r="P17" s="24">
        <f t="shared" si="9"/>
        <v>-0.61443190680699422</v>
      </c>
      <c r="Q17" s="24">
        <f>(360-Simulador!$B$7)+$A17*((360+Simulador!$B$6)-(360-Simulador!$B$7))</f>
        <v>350</v>
      </c>
      <c r="R17" s="24">
        <f t="shared" si="10"/>
        <v>-7.2932234620110739E-2</v>
      </c>
      <c r="S17" s="24">
        <f t="shared" si="11"/>
        <v>0.41361925626512736</v>
      </c>
      <c r="AN17">
        <f t="shared" si="12"/>
        <v>0.70710678118654746</v>
      </c>
      <c r="AO17">
        <f t="shared" si="13"/>
        <v>0.70710678118654757</v>
      </c>
      <c r="AP17">
        <f t="shared" si="14"/>
        <v>-0.63639610306789274</v>
      </c>
      <c r="AQ17">
        <f t="shared" si="15"/>
        <v>-0.63639610306789296</v>
      </c>
      <c r="AR17">
        <f t="shared" si="16"/>
        <v>0.5656854249492379</v>
      </c>
      <c r="AS17">
        <f t="shared" si="17"/>
        <v>0.56568542494923812</v>
      </c>
      <c r="AT17">
        <f t="shared" si="18"/>
        <v>-0.49497474683058351</v>
      </c>
      <c r="AU17">
        <f t="shared" si="19"/>
        <v>-0.49497474683058296</v>
      </c>
    </row>
    <row r="18" spans="1:47" x14ac:dyDescent="0.25">
      <c r="A18" s="17">
        <f>16/60</f>
        <v>0.26666666666666666</v>
      </c>
      <c r="B18" s="24">
        <f>(360-Simulador!$B$7)+$A18*((540+Simulador!$B$8)-(360-Simulador!$B$7))</f>
        <v>406.66666666666669</v>
      </c>
      <c r="C18" s="24">
        <f t="shared" si="0"/>
        <v>0.72737364157304896</v>
      </c>
      <c r="D18" s="24">
        <f t="shared" si="1"/>
        <v>0.68624163786873338</v>
      </c>
      <c r="E18" s="24">
        <f>(540+Simulador!$B$8)+$A18*((720-'Diagrama circular'!$B$9)-(540+Simulador!$B$8))</f>
        <v>622</v>
      </c>
      <c r="F18" s="24">
        <f t="shared" si="2"/>
        <v>-0.87143590049258179</v>
      </c>
      <c r="G18" s="24">
        <f t="shared" si="3"/>
        <v>-0.12247232884485793</v>
      </c>
      <c r="H18" s="24">
        <f>(720-'Diagrama circular'!$B$9)+$A18*((720)-(720-'Diagrama circular'!$B$9))</f>
        <v>712.66666666666663</v>
      </c>
      <c r="I18" s="24">
        <f t="shared" si="4"/>
        <v>-0.11232465011732376</v>
      </c>
      <c r="J18" s="24">
        <f t="shared" si="5"/>
        <v>0.8728019093563103</v>
      </c>
      <c r="K18" s="24">
        <f>(720)+$A18*((900-Simulador!$B$5)-(720))</f>
        <v>756</v>
      </c>
      <c r="L18" s="24">
        <f t="shared" si="6"/>
        <v>0.44671679174227941</v>
      </c>
      <c r="M18" s="24">
        <f t="shared" si="7"/>
        <v>0.61485291572496015</v>
      </c>
      <c r="N18" s="24">
        <f>(900-Simulador!$B$5)+$A18*((1080+Simulador!$B$6)-(900-Simulador!$B$5))</f>
        <v>920.33333333333337</v>
      </c>
      <c r="O18" s="24">
        <f t="shared" si="8"/>
        <v>-0.22238799007624413</v>
      </c>
      <c r="P18" s="24">
        <f t="shared" si="9"/>
        <v>-0.60011963963017279</v>
      </c>
      <c r="Q18" s="24">
        <f>(360-Simulador!$B$7)+$A18*((360+Simulador!$B$6)-(360-Simulador!$B$7))</f>
        <v>350.66666666666669</v>
      </c>
      <c r="R18" s="24">
        <f t="shared" si="10"/>
        <v>-6.8114727704338185E-2</v>
      </c>
      <c r="S18" s="24">
        <f t="shared" si="11"/>
        <v>0.41443984348728324</v>
      </c>
      <c r="AN18">
        <f t="shared" si="12"/>
        <v>0.74314482547739424</v>
      </c>
      <c r="AO18">
        <f t="shared" si="13"/>
        <v>0.66913060635885824</v>
      </c>
      <c r="AP18">
        <f t="shared" si="14"/>
        <v>-0.66883034292965493</v>
      </c>
      <c r="AQ18">
        <f t="shared" si="15"/>
        <v>-0.60221754572297237</v>
      </c>
      <c r="AR18">
        <f t="shared" si="16"/>
        <v>0.5945158603819154</v>
      </c>
      <c r="AS18">
        <f t="shared" si="17"/>
        <v>0.53530448508708661</v>
      </c>
      <c r="AT18">
        <f t="shared" si="18"/>
        <v>-0.52020137783417553</v>
      </c>
      <c r="AU18">
        <f t="shared" si="19"/>
        <v>-0.46839142445120119</v>
      </c>
    </row>
    <row r="19" spans="1:47" x14ac:dyDescent="0.25">
      <c r="A19" s="17">
        <f>17/60</f>
        <v>0.28333333333333333</v>
      </c>
      <c r="B19" s="24">
        <f>(360-Simulador!$B$7)+$A19*((540+Simulador!$B$8)-(360-Simulador!$B$7))</f>
        <v>410.83333333333331</v>
      </c>
      <c r="C19" s="24">
        <f t="shared" si="0"/>
        <v>0.77531205728146568</v>
      </c>
      <c r="D19" s="24">
        <f t="shared" si="1"/>
        <v>0.63157835130249784</v>
      </c>
      <c r="E19" s="24">
        <f>(540+Simulador!$B$8)+$A19*((720-'Diagrama circular'!$B$9)-(540+Simulador!$B$8))</f>
        <v>624</v>
      </c>
      <c r="F19" s="24">
        <f t="shared" si="2"/>
        <v>-0.87517926792408063</v>
      </c>
      <c r="G19" s="24">
        <f t="shared" si="3"/>
        <v>-9.1985047675534962E-2</v>
      </c>
      <c r="H19" s="24">
        <f>(720-'Diagrama circular'!$B$9)+$A19*((720)-(720-'Diagrama circular'!$B$9))</f>
        <v>712.83333333333337</v>
      </c>
      <c r="I19" s="24">
        <f t="shared" si="4"/>
        <v>-0.1097853006359735</v>
      </c>
      <c r="J19" s="24">
        <f t="shared" si="5"/>
        <v>0.87312495541260815</v>
      </c>
      <c r="K19" s="24">
        <f>(720)+$A19*((900-Simulador!$B$5)-(720))</f>
        <v>758.25</v>
      </c>
      <c r="L19" s="24">
        <f t="shared" si="6"/>
        <v>0.47051140147547382</v>
      </c>
      <c r="M19" s="24">
        <f t="shared" si="7"/>
        <v>0.59684086746936615</v>
      </c>
      <c r="N19" s="24">
        <f>(900-Simulador!$B$5)+$A19*((1080+Simulador!$B$6)-(900-Simulador!$B$5))</f>
        <v>924.41666666666663</v>
      </c>
      <c r="O19" s="24">
        <f t="shared" si="8"/>
        <v>-0.26455636446844588</v>
      </c>
      <c r="P19" s="24">
        <f t="shared" si="9"/>
        <v>-0.58276061124550871</v>
      </c>
      <c r="Q19" s="24">
        <f>(360-Simulador!$B$7)+$A19*((360+Simulador!$B$6)-(360-Simulador!$B$7))</f>
        <v>351.33333333333331</v>
      </c>
      <c r="R19" s="24">
        <f t="shared" si="10"/>
        <v>-6.3287999144783058E-2</v>
      </c>
      <c r="S19" s="24">
        <f t="shared" si="11"/>
        <v>0.41520432218878683</v>
      </c>
      <c r="AN19">
        <f t="shared" si="12"/>
        <v>0.7771459614569709</v>
      </c>
      <c r="AO19">
        <f t="shared" si="13"/>
        <v>0.6293203910498375</v>
      </c>
      <c r="AP19">
        <f t="shared" si="14"/>
        <v>-0.69943136531127348</v>
      </c>
      <c r="AQ19">
        <f t="shared" si="15"/>
        <v>-0.56638835194485404</v>
      </c>
      <c r="AR19">
        <f t="shared" si="16"/>
        <v>0.62171676916557694</v>
      </c>
      <c r="AS19">
        <f t="shared" si="17"/>
        <v>0.5034563128398698</v>
      </c>
      <c r="AT19">
        <f t="shared" si="18"/>
        <v>-0.5440021730198793</v>
      </c>
      <c r="AU19">
        <f t="shared" si="19"/>
        <v>-0.44052427373488651</v>
      </c>
    </row>
    <row r="20" spans="1:47" x14ac:dyDescent="0.25">
      <c r="A20" s="17">
        <f>18/60</f>
        <v>0.3</v>
      </c>
      <c r="B20" s="24">
        <f>(360-Simulador!$B$7)+$A20*((540+Simulador!$B$8)-(360-Simulador!$B$7))</f>
        <v>415</v>
      </c>
      <c r="C20" s="24">
        <f t="shared" si="0"/>
        <v>0.8191520442889918</v>
      </c>
      <c r="D20" s="24">
        <f t="shared" si="1"/>
        <v>0.57357643635104616</v>
      </c>
      <c r="E20" s="24">
        <f>(540+Simulador!$B$8)+$A20*((720-'Diagrama circular'!$B$9)-(540+Simulador!$B$8))</f>
        <v>626</v>
      </c>
      <c r="F20" s="24">
        <f t="shared" si="2"/>
        <v>-0.87785636422864533</v>
      </c>
      <c r="G20" s="24">
        <f t="shared" si="3"/>
        <v>-6.1385696894830512E-2</v>
      </c>
      <c r="H20" s="24">
        <f>(720-'Diagrama circular'!$B$9)+$A20*((720)-(720-'Diagrama circular'!$B$9))</f>
        <v>713</v>
      </c>
      <c r="I20" s="24">
        <f t="shared" si="4"/>
        <v>-0.10724502219652957</v>
      </c>
      <c r="J20" s="24">
        <f t="shared" si="5"/>
        <v>0.87344061344436341</v>
      </c>
      <c r="K20" s="24">
        <f>(720)+$A20*((900-Simulador!$B$5)-(720))</f>
        <v>760.5</v>
      </c>
      <c r="L20" s="24">
        <f t="shared" si="6"/>
        <v>0.49358051673093967</v>
      </c>
      <c r="M20" s="24">
        <f t="shared" si="7"/>
        <v>0.57790853385602348</v>
      </c>
      <c r="N20" s="24">
        <f>(900-Simulador!$B$5)+$A20*((1080+Simulador!$B$6)-(900-Simulador!$B$5))</f>
        <v>928.5</v>
      </c>
      <c r="O20" s="24">
        <f t="shared" si="8"/>
        <v>-0.30538160656614977</v>
      </c>
      <c r="P20" s="24">
        <f t="shared" si="9"/>
        <v>-0.56244295210365769</v>
      </c>
      <c r="Q20" s="24">
        <f>(360-Simulador!$B$7)+$A20*((360+Simulador!$B$6)-(360-Simulador!$B$7))</f>
        <v>352</v>
      </c>
      <c r="R20" s="24">
        <f t="shared" si="10"/>
        <v>-5.8452702403227481E-2</v>
      </c>
      <c r="S20" s="24">
        <f t="shared" si="11"/>
        <v>0.41591258887145954</v>
      </c>
      <c r="V20" t="s">
        <v>123</v>
      </c>
      <c r="X20">
        <v>0</v>
      </c>
      <c r="Y20">
        <v>0</v>
      </c>
      <c r="AN20">
        <f t="shared" si="12"/>
        <v>0.80901699437494745</v>
      </c>
      <c r="AO20">
        <f t="shared" si="13"/>
        <v>0.58778525229247314</v>
      </c>
      <c r="AP20">
        <f t="shared" si="14"/>
        <v>-0.72811529493745264</v>
      </c>
      <c r="AQ20">
        <f t="shared" si="15"/>
        <v>-0.52900672706322593</v>
      </c>
      <c r="AR20">
        <f t="shared" si="16"/>
        <v>0.64721359549995783</v>
      </c>
      <c r="AS20">
        <f t="shared" si="17"/>
        <v>0.47022820183397873</v>
      </c>
      <c r="AT20">
        <f t="shared" si="18"/>
        <v>-0.56631189606246302</v>
      </c>
      <c r="AU20">
        <f t="shared" si="19"/>
        <v>-0.41144967660473142</v>
      </c>
    </row>
    <row r="21" spans="1:47" x14ac:dyDescent="0.25">
      <c r="A21" s="17">
        <f>19/60</f>
        <v>0.31666666666666665</v>
      </c>
      <c r="B21" s="24">
        <f>(360-Simulador!$B$7)+$A21*((540+Simulador!$B$8)-(360-Simulador!$B$7))</f>
        <v>419.16666666666663</v>
      </c>
      <c r="C21" s="24">
        <f t="shared" si="0"/>
        <v>0.85866185712061283</v>
      </c>
      <c r="D21" s="24">
        <f t="shared" si="1"/>
        <v>0.51254250079986574</v>
      </c>
      <c r="E21" s="24">
        <f>(540+Simulador!$B$8)+$A21*((720-'Diagrama circular'!$B$9)-(540+Simulador!$B$8))</f>
        <v>628</v>
      </c>
      <c r="F21" s="24">
        <f t="shared" si="2"/>
        <v>-0.87946392777680427</v>
      </c>
      <c r="G21" s="24">
        <f t="shared" si="3"/>
        <v>-3.071155709820067E-2</v>
      </c>
      <c r="H21" s="24">
        <f>(720-'Diagrama circular'!$B$9)+$A21*((720)-(720-'Diagrama circular'!$B$9))</f>
        <v>713.16666666666663</v>
      </c>
      <c r="I21" s="24">
        <f t="shared" si="4"/>
        <v>-0.10470383629378333</v>
      </c>
      <c r="J21" s="24">
        <f t="shared" si="5"/>
        <v>0.87374888078060764</v>
      </c>
      <c r="K21" s="24">
        <f>(720)+$A21*((900-Simulador!$B$5)-(720))</f>
        <v>762.75</v>
      </c>
      <c r="L21" s="24">
        <f t="shared" si="6"/>
        <v>0.51588856660503546</v>
      </c>
      <c r="M21" s="24">
        <f t="shared" si="7"/>
        <v>0.55808510717112125</v>
      </c>
      <c r="N21" s="24">
        <f>(900-Simulador!$B$5)+$A21*((1080+Simulador!$B$6)-(900-Simulador!$B$5))</f>
        <v>932.58333333333337</v>
      </c>
      <c r="O21" s="24">
        <f t="shared" si="8"/>
        <v>-0.34465644975831472</v>
      </c>
      <c r="P21" s="24">
        <f t="shared" si="9"/>
        <v>-0.53926981339584945</v>
      </c>
      <c r="Q21" s="24">
        <f>(360-Simulador!$B$7)+$A21*((360+Simulador!$B$6)-(360-Simulador!$B$7))</f>
        <v>352.66666666666669</v>
      </c>
      <c r="R21" s="24">
        <f t="shared" si="10"/>
        <v>-5.3609492101449586E-2</v>
      </c>
      <c r="S21" s="24">
        <f t="shared" si="11"/>
        <v>0.41656454764732992</v>
      </c>
      <c r="X21">
        <f>Z2</f>
        <v>-0.38306256052474902</v>
      </c>
      <c r="Y21">
        <f>AA2</f>
        <v>1.0524557352802175</v>
      </c>
      <c r="AN21">
        <f t="shared" si="12"/>
        <v>0.83867056794542405</v>
      </c>
      <c r="AO21">
        <f t="shared" si="13"/>
        <v>0.54463903501502708</v>
      </c>
      <c r="AP21">
        <f t="shared" si="14"/>
        <v>-0.75480351115088162</v>
      </c>
      <c r="AQ21">
        <f t="shared" si="15"/>
        <v>-0.49017513151352426</v>
      </c>
      <c r="AR21">
        <f t="shared" si="16"/>
        <v>0.67093645435633931</v>
      </c>
      <c r="AS21">
        <f t="shared" si="17"/>
        <v>0.43571122801202167</v>
      </c>
      <c r="AT21">
        <f t="shared" si="18"/>
        <v>-0.58706939756179677</v>
      </c>
      <c r="AU21">
        <f t="shared" si="19"/>
        <v>-0.38124732451051901</v>
      </c>
    </row>
    <row r="22" spans="1:47" x14ac:dyDescent="0.25">
      <c r="A22" s="17">
        <f>20/60</f>
        <v>0.33333333333333331</v>
      </c>
      <c r="B22" s="24">
        <f>(360-Simulador!$B$7)+$A22*((540+Simulador!$B$8)-(360-Simulador!$B$7))</f>
        <v>423.33333333333331</v>
      </c>
      <c r="C22" s="24">
        <f t="shared" si="0"/>
        <v>0.89363264032341205</v>
      </c>
      <c r="D22" s="24">
        <f t="shared" si="1"/>
        <v>0.44879918020046244</v>
      </c>
      <c r="E22" s="24">
        <f>(540+Simulador!$B$8)+$A22*((720-'Diagrama circular'!$B$9)-(540+Simulador!$B$8))</f>
        <v>630</v>
      </c>
      <c r="F22" s="24">
        <f t="shared" si="2"/>
        <v>-0.88</v>
      </c>
      <c r="G22" s="24">
        <f t="shared" si="3"/>
        <v>-1.6171959604793783E-16</v>
      </c>
      <c r="H22" s="24">
        <f>(720-'Diagrama circular'!$B$9)+$A22*((720)-(720-'Diagrama circular'!$B$9))</f>
        <v>713.33333333333337</v>
      </c>
      <c r="I22" s="24">
        <f t="shared" si="4"/>
        <v>-0.10216176443020243</v>
      </c>
      <c r="J22" s="24">
        <f t="shared" si="5"/>
        <v>0.87404975481290992</v>
      </c>
      <c r="K22" s="24">
        <f>(720)+$A22*((900-Simulador!$B$5)-(720))</f>
        <v>765</v>
      </c>
      <c r="L22" s="24">
        <f t="shared" si="6"/>
        <v>0.53740115370177599</v>
      </c>
      <c r="M22" s="24">
        <f t="shared" si="7"/>
        <v>0.53740115370177621</v>
      </c>
      <c r="N22" s="24">
        <f>(900-Simulador!$B$5)+$A22*((1080+Simulador!$B$6)-(900-Simulador!$B$5))</f>
        <v>936.66666666666663</v>
      </c>
      <c r="O22" s="24">
        <f t="shared" si="8"/>
        <v>-0.38218149868978291</v>
      </c>
      <c r="P22" s="24">
        <f t="shared" si="9"/>
        <v>-0.51335884336322823</v>
      </c>
      <c r="Q22" s="24">
        <f>(360-Simulador!$B$7)+$A22*((360+Simulador!$B$6)-(360-Simulador!$B$7))</f>
        <v>353.33333333333331</v>
      </c>
      <c r="R22" s="24">
        <f t="shared" si="10"/>
        <v>-4.8759023932596832E-2</v>
      </c>
      <c r="S22" s="24">
        <f t="shared" si="11"/>
        <v>0.41716011025161603</v>
      </c>
      <c r="V22" t="s">
        <v>124</v>
      </c>
      <c r="X22">
        <v>0</v>
      </c>
      <c r="Y22">
        <v>0</v>
      </c>
      <c r="AN22">
        <f t="shared" si="12"/>
        <v>0.8660254037844386</v>
      </c>
      <c r="AO22">
        <f t="shared" si="13"/>
        <v>0.50000000000000011</v>
      </c>
      <c r="AP22">
        <f t="shared" si="14"/>
        <v>-0.77942286340599454</v>
      </c>
      <c r="AQ22">
        <f t="shared" si="15"/>
        <v>-0.4500000000000004</v>
      </c>
      <c r="AR22">
        <f t="shared" si="16"/>
        <v>0.69282032302755114</v>
      </c>
      <c r="AS22">
        <f t="shared" si="17"/>
        <v>0.3999999999999998</v>
      </c>
      <c r="AT22">
        <f t="shared" si="18"/>
        <v>-0.60621778264910708</v>
      </c>
      <c r="AU22">
        <f t="shared" si="19"/>
        <v>-0.34999999999999987</v>
      </c>
    </row>
    <row r="23" spans="1:47" x14ac:dyDescent="0.25">
      <c r="A23" s="17">
        <f>21/60</f>
        <v>0.35</v>
      </c>
      <c r="B23" s="24">
        <f>(360-Simulador!$B$7)+$A23*((540+Simulador!$B$8)-(360-Simulador!$B$7))</f>
        <v>427.5</v>
      </c>
      <c r="C23" s="24">
        <f t="shared" si="0"/>
        <v>0.92387953251128674</v>
      </c>
      <c r="D23" s="24">
        <f t="shared" si="1"/>
        <v>0.38268343236508984</v>
      </c>
      <c r="E23" s="24">
        <f>(540+Simulador!$B$8)+$A23*((720-'Diagrama circular'!$B$9)-(540+Simulador!$B$8))</f>
        <v>632</v>
      </c>
      <c r="F23" s="24">
        <f t="shared" si="2"/>
        <v>-0.87946392777680427</v>
      </c>
      <c r="G23" s="24">
        <f t="shared" si="3"/>
        <v>3.0711557098201128E-2</v>
      </c>
      <c r="H23" s="24">
        <f>(720-'Diagrama circular'!$B$9)+$A23*((720)-(720-'Diagrama circular'!$B$9))</f>
        <v>713.5</v>
      </c>
      <c r="I23" s="24">
        <f t="shared" si="4"/>
        <v>-9.9618828115758173E-2</v>
      </c>
      <c r="J23" s="24">
        <f t="shared" si="5"/>
        <v>0.87434323299539696</v>
      </c>
      <c r="K23" s="24">
        <f>(720)+$A23*((900-Simulador!$B$5)-(720))</f>
        <v>767.25</v>
      </c>
      <c r="L23" s="24">
        <f t="shared" si="6"/>
        <v>0.55808510717112092</v>
      </c>
      <c r="M23" s="24">
        <f t="shared" si="7"/>
        <v>0.51588856660503579</v>
      </c>
      <c r="N23" s="24">
        <f>(900-Simulador!$B$5)+$A23*((1080+Simulador!$B$6)-(900-Simulador!$B$5))</f>
        <v>940.75</v>
      </c>
      <c r="O23" s="24">
        <f t="shared" si="8"/>
        <v>-0.41776624157614273</v>
      </c>
      <c r="P23" s="24">
        <f t="shared" si="9"/>
        <v>-0.48484159000579147</v>
      </c>
      <c r="Q23" s="24">
        <f>(360-Simulador!$B$7)+$A23*((360+Simulador!$B$6)-(360-Simulador!$B$7))</f>
        <v>354</v>
      </c>
      <c r="R23" s="24">
        <f t="shared" si="10"/>
        <v>-4.3901954572414456E-2</v>
      </c>
      <c r="S23" s="24">
        <f t="shared" si="11"/>
        <v>0.41769919605467476</v>
      </c>
      <c r="X23">
        <f>Z3</f>
        <v>-0.85796977629325533</v>
      </c>
      <c r="Y23">
        <f>AA3</f>
        <v>-0.71992212284892432</v>
      </c>
      <c r="AN23">
        <f t="shared" si="12"/>
        <v>0.89100652418836779</v>
      </c>
      <c r="AO23">
        <f t="shared" si="13"/>
        <v>0.4539904997395468</v>
      </c>
      <c r="AP23">
        <f t="shared" si="14"/>
        <v>-0.80190587176953099</v>
      </c>
      <c r="AQ23">
        <f t="shared" si="15"/>
        <v>-0.40859144976559225</v>
      </c>
      <c r="AR23">
        <f t="shared" si="16"/>
        <v>0.71280521935069419</v>
      </c>
      <c r="AS23">
        <f t="shared" si="17"/>
        <v>0.36319239979163764</v>
      </c>
      <c r="AT23">
        <f t="shared" si="18"/>
        <v>-0.62370456693185761</v>
      </c>
      <c r="AU23">
        <f t="shared" si="19"/>
        <v>-0.31779334981768242</v>
      </c>
    </row>
    <row r="24" spans="1:47" x14ac:dyDescent="0.25">
      <c r="A24" s="17">
        <f>22/60</f>
        <v>0.36666666666666664</v>
      </c>
      <c r="B24" s="24">
        <f>(360-Simulador!$B$7)+$A24*((540+Simulador!$B$8)-(360-Simulador!$B$7))</f>
        <v>431.66666666666663</v>
      </c>
      <c r="C24" s="24">
        <f t="shared" si="0"/>
        <v>0.94924264357303367</v>
      </c>
      <c r="D24" s="24">
        <f t="shared" si="1"/>
        <v>0.31454475615161431</v>
      </c>
      <c r="E24" s="24">
        <f>(540+Simulador!$B$8)+$A24*((720-'Diagrama circular'!$B$9)-(540+Simulador!$B$8))</f>
        <v>634</v>
      </c>
      <c r="F24" s="24">
        <f t="shared" si="2"/>
        <v>-0.87785636422864544</v>
      </c>
      <c r="G24" s="24">
        <f t="shared" si="3"/>
        <v>6.1385696894830193E-2</v>
      </c>
      <c r="H24" s="24">
        <f>(720-'Diagrama circular'!$B$9)+$A24*((720)-(720-'Diagrama circular'!$B$9))</f>
        <v>713.66666666666663</v>
      </c>
      <c r="I24" s="24">
        <f t="shared" si="4"/>
        <v>-9.7075048867730981E-2</v>
      </c>
      <c r="J24" s="24">
        <f t="shared" si="5"/>
        <v>0.87462931284477752</v>
      </c>
      <c r="K24" s="24">
        <f>(720)+$A24*((900-Simulador!$B$5)-(720))</f>
        <v>769.5</v>
      </c>
      <c r="L24" s="24">
        <f t="shared" si="6"/>
        <v>0.57790853385602359</v>
      </c>
      <c r="M24" s="24">
        <f t="shared" si="7"/>
        <v>0.4935805167309395</v>
      </c>
      <c r="N24" s="24">
        <f>(900-Simulador!$B$5)+$A24*((1080+Simulador!$B$6)-(900-Simulador!$B$5))</f>
        <v>944.83333333333337</v>
      </c>
      <c r="O24" s="24">
        <f t="shared" si="8"/>
        <v>-0.45123001741738911</v>
      </c>
      <c r="P24" s="24">
        <f t="shared" si="9"/>
        <v>-0.45386283322332388</v>
      </c>
      <c r="Q24" s="24">
        <f>(360-Simulador!$B$7)+$A24*((360+Simulador!$B$6)-(360-Simulador!$B$7))</f>
        <v>354.66666666666669</v>
      </c>
      <c r="R24" s="24">
        <f t="shared" si="10"/>
        <v>-3.9038941590344586E-2</v>
      </c>
      <c r="S24" s="24">
        <f t="shared" si="11"/>
        <v>0.41818173207291787</v>
      </c>
      <c r="V24" t="s">
        <v>125</v>
      </c>
      <c r="X24">
        <v>0</v>
      </c>
      <c r="Y24">
        <v>0</v>
      </c>
      <c r="AN24">
        <f t="shared" si="12"/>
        <v>0.91354545764260087</v>
      </c>
      <c r="AO24">
        <f t="shared" si="13"/>
        <v>0.40673664307580021</v>
      </c>
      <c r="AP24">
        <f t="shared" si="14"/>
        <v>-0.82219091187834092</v>
      </c>
      <c r="AQ24">
        <f t="shared" si="15"/>
        <v>-0.36606297876822008</v>
      </c>
      <c r="AR24">
        <f t="shared" si="16"/>
        <v>0.73083636611408076</v>
      </c>
      <c r="AS24">
        <f t="shared" si="17"/>
        <v>0.32538931446064018</v>
      </c>
      <c r="AT24">
        <f t="shared" si="18"/>
        <v>-0.63948182034982037</v>
      </c>
      <c r="AU24">
        <f t="shared" si="19"/>
        <v>-0.28471565015306077</v>
      </c>
    </row>
    <row r="25" spans="1:47" x14ac:dyDescent="0.25">
      <c r="A25" s="17">
        <f>23/60</f>
        <v>0.38333333333333336</v>
      </c>
      <c r="B25" s="24">
        <f>(360-Simulador!$B$7)+$A25*((540+Simulador!$B$8)-(360-Simulador!$B$7))</f>
        <v>435.83333333333337</v>
      </c>
      <c r="C25" s="24">
        <f t="shared" si="0"/>
        <v>0.96958789987811622</v>
      </c>
      <c r="D25" s="24">
        <f t="shared" si="1"/>
        <v>0.24474334395432307</v>
      </c>
      <c r="E25" s="24">
        <f>(540+Simulador!$B$8)+$A25*((720-'Diagrama circular'!$B$9)-(540+Simulador!$B$8))</f>
        <v>636</v>
      </c>
      <c r="F25" s="24">
        <f t="shared" si="2"/>
        <v>-0.87517926792408063</v>
      </c>
      <c r="G25" s="24">
        <f t="shared" si="3"/>
        <v>9.1985047675534629E-2</v>
      </c>
      <c r="H25" s="24">
        <f>(720-'Diagrama circular'!$B$9)+$A25*((720)-(720-'Diagrama circular'!$B$9))</f>
        <v>713.83333333333337</v>
      </c>
      <c r="I25" s="24">
        <f t="shared" si="4"/>
        <v>-9.4530448210533885E-2</v>
      </c>
      <c r="J25" s="24">
        <f t="shared" si="5"/>
        <v>0.87490799194036151</v>
      </c>
      <c r="K25" s="24">
        <f>(720)+$A25*((900-Simulador!$B$5)-(720))</f>
        <v>771.75</v>
      </c>
      <c r="L25" s="24">
        <f t="shared" si="6"/>
        <v>0.59684086746936593</v>
      </c>
      <c r="M25" s="24">
        <f t="shared" si="7"/>
        <v>0.47051140147547416</v>
      </c>
      <c r="N25" s="24">
        <f>(900-Simulador!$B$5)+$A25*((1080+Simulador!$B$6)-(900-Simulador!$B$5))</f>
        <v>948.91666666666663</v>
      </c>
      <c r="O25" s="24">
        <f t="shared" si="8"/>
        <v>-0.48240293319991689</v>
      </c>
      <c r="P25" s="24">
        <f t="shared" si="9"/>
        <v>-0.42057984977898849</v>
      </c>
      <c r="Q25" s="24">
        <f>(360-Simulador!$B$7)+$A25*((360+Simulador!$B$6)-(360-Simulador!$B$7))</f>
        <v>355.33333333333331</v>
      </c>
      <c r="R25" s="24">
        <f t="shared" si="10"/>
        <v>-3.4170643360500616E-2</v>
      </c>
      <c r="S25" s="24">
        <f t="shared" si="11"/>
        <v>0.41860765297869251</v>
      </c>
      <c r="X25">
        <f>Z4</f>
        <v>-0.19448595898696205</v>
      </c>
      <c r="Y25">
        <f>AA4</f>
        <v>1.1029846833736732</v>
      </c>
      <c r="AN25">
        <f t="shared" si="12"/>
        <v>0.93358042649720174</v>
      </c>
      <c r="AO25">
        <f t="shared" si="13"/>
        <v>0.35836794954530038</v>
      </c>
      <c r="AP25">
        <f t="shared" si="14"/>
        <v>-0.84022238384748149</v>
      </c>
      <c r="AQ25">
        <f t="shared" si="15"/>
        <v>-0.32253115459077064</v>
      </c>
      <c r="AR25">
        <f t="shared" si="16"/>
        <v>0.74686434119776157</v>
      </c>
      <c r="AS25">
        <f t="shared" si="17"/>
        <v>0.28669435963624001</v>
      </c>
      <c r="AT25">
        <f t="shared" si="18"/>
        <v>-0.65350629854804099</v>
      </c>
      <c r="AU25">
        <f t="shared" si="19"/>
        <v>-0.25085756468171067</v>
      </c>
    </row>
    <row r="26" spans="1:47" x14ac:dyDescent="0.25">
      <c r="A26" s="17">
        <f>24/60</f>
        <v>0.4</v>
      </c>
      <c r="B26" s="24">
        <f>(360-Simulador!$B$7)+$A26*((540+Simulador!$B$8)-(360-Simulador!$B$7))</f>
        <v>440</v>
      </c>
      <c r="C26" s="24">
        <f t="shared" si="0"/>
        <v>0.98480775301220802</v>
      </c>
      <c r="D26" s="24">
        <f t="shared" si="1"/>
        <v>0.17364817766693041</v>
      </c>
      <c r="E26" s="24">
        <f>(540+Simulador!$B$8)+$A26*((720-'Diagrama circular'!$B$9)-(540+Simulador!$B$8))</f>
        <v>638</v>
      </c>
      <c r="F26" s="24">
        <f t="shared" si="2"/>
        <v>-0.87143590049258191</v>
      </c>
      <c r="G26" s="24">
        <f t="shared" si="3"/>
        <v>0.12247232884485761</v>
      </c>
      <c r="H26" s="24">
        <f>(720-'Diagrama circular'!$B$9)+$A26*((720)-(720-'Diagrama circular'!$B$9))</f>
        <v>714</v>
      </c>
      <c r="I26" s="24">
        <f t="shared" si="4"/>
        <v>-9.1985047675535003E-2</v>
      </c>
      <c r="J26" s="24">
        <f t="shared" si="5"/>
        <v>0.87517926792408052</v>
      </c>
      <c r="K26" s="24">
        <f>(720)+$A26*((900-Simulador!$B$5)-(720))</f>
        <v>774</v>
      </c>
      <c r="L26" s="24">
        <f t="shared" si="6"/>
        <v>0.61485291572495993</v>
      </c>
      <c r="M26" s="24">
        <f t="shared" si="7"/>
        <v>0.44671679174227974</v>
      </c>
      <c r="N26" s="24">
        <f>(900-Simulador!$B$5)+$A26*((1080+Simulador!$B$6)-(900-Simulador!$B$5))</f>
        <v>953</v>
      </c>
      <c r="O26" s="24">
        <f t="shared" si="8"/>
        <v>-0.51112672643026769</v>
      </c>
      <c r="P26" s="24">
        <f t="shared" si="9"/>
        <v>-0.38516161481731054</v>
      </c>
      <c r="Q26" s="24">
        <f>(360-Simulador!$B$7)+$A26*((360+Simulador!$B$6)-(360-Simulador!$B$7))</f>
        <v>356</v>
      </c>
      <c r="R26" s="24">
        <f t="shared" si="10"/>
        <v>-2.9297718972532624E-2</v>
      </c>
      <c r="S26" s="24">
        <f t="shared" si="11"/>
        <v>0.41897690110912617</v>
      </c>
      <c r="V26" t="s">
        <v>126</v>
      </c>
      <c r="X26">
        <v>0</v>
      </c>
      <c r="Y26">
        <v>0</v>
      </c>
      <c r="AN26">
        <f t="shared" si="12"/>
        <v>0.95105651629515353</v>
      </c>
      <c r="AO26">
        <f t="shared" si="13"/>
        <v>0.30901699437494745</v>
      </c>
      <c r="AP26">
        <f t="shared" si="14"/>
        <v>-0.85595086466563819</v>
      </c>
      <c r="AQ26">
        <f t="shared" si="15"/>
        <v>-0.27811529493745279</v>
      </c>
      <c r="AR26">
        <f t="shared" si="16"/>
        <v>0.76084521303612285</v>
      </c>
      <c r="AS26">
        <f t="shared" si="17"/>
        <v>0.24721359549995819</v>
      </c>
      <c r="AT26">
        <f t="shared" si="18"/>
        <v>-0.66573956140660739</v>
      </c>
      <c r="AU26">
        <f t="shared" si="19"/>
        <v>-0.21631189606246348</v>
      </c>
    </row>
    <row r="27" spans="1:47" x14ac:dyDescent="0.25">
      <c r="A27" s="17">
        <f>25/60</f>
        <v>0.41666666666666669</v>
      </c>
      <c r="B27" s="24">
        <f>(360-Simulador!$B$7)+$A27*((540+Simulador!$B$8)-(360-Simulador!$B$7))</f>
        <v>444.16666666666669</v>
      </c>
      <c r="C27" s="24">
        <f t="shared" si="0"/>
        <v>0.99482174829603309</v>
      </c>
      <c r="D27" s="24">
        <f t="shared" si="1"/>
        <v>0.10163507818280167</v>
      </c>
      <c r="E27" s="24">
        <f>(540+Simulador!$B$8)+$A27*((720-'Diagrama circular'!$B$9)-(540+Simulador!$B$8))</f>
        <v>640</v>
      </c>
      <c r="F27" s="24">
        <f t="shared" si="2"/>
        <v>-0.8666308226507432</v>
      </c>
      <c r="G27" s="24">
        <f t="shared" si="3"/>
        <v>0.15281039634689839</v>
      </c>
      <c r="H27" s="24">
        <f>(720-'Diagrama circular'!$B$9)+$A27*((720)-(720-'Diagrama circular'!$B$9))</f>
        <v>714.16666666666663</v>
      </c>
      <c r="I27" s="24">
        <f t="shared" si="4"/>
        <v>-8.9438868800866017E-2</v>
      </c>
      <c r="J27" s="24">
        <f t="shared" si="5"/>
        <v>0.87544313850050903</v>
      </c>
      <c r="K27" s="24">
        <f>(720)+$A27*((900-Simulador!$B$5)-(720))</f>
        <v>776.25</v>
      </c>
      <c r="L27" s="24">
        <f t="shared" si="6"/>
        <v>0.63191690534993439</v>
      </c>
      <c r="M27" s="24">
        <f t="shared" si="7"/>
        <v>0.42223337709489772</v>
      </c>
      <c r="N27" s="24">
        <f>(900-Simulador!$B$5)+$A27*((1080+Simulador!$B$6)-(900-Simulador!$B$5))</f>
        <v>957.08333333333337</v>
      </c>
      <c r="O27" s="24">
        <f t="shared" si="8"/>
        <v>-0.53725556862162327</v>
      </c>
      <c r="P27" s="24">
        <f t="shared" si="9"/>
        <v>-0.34778794399038077</v>
      </c>
      <c r="Q27" s="24">
        <f>(360-Simulador!$B$7)+$A27*((360+Simulador!$B$6)-(360-Simulador!$B$7))</f>
        <v>356.66666666666669</v>
      </c>
      <c r="R27" s="24">
        <f t="shared" si="10"/>
        <v>-2.4420828142399709E-2</v>
      </c>
      <c r="S27" s="24">
        <f t="shared" si="11"/>
        <v>0.41928942647393264</v>
      </c>
      <c r="X27">
        <f>Z5</f>
        <v>0.79195959492893286</v>
      </c>
      <c r="Y27">
        <f>AA5</f>
        <v>-0.79195959492893375</v>
      </c>
      <c r="AN27">
        <f t="shared" si="12"/>
        <v>0.96592582628906831</v>
      </c>
      <c r="AO27">
        <f t="shared" si="13"/>
        <v>0.25881904510252074</v>
      </c>
      <c r="AP27">
        <f t="shared" si="14"/>
        <v>-0.86933324366016151</v>
      </c>
      <c r="AQ27">
        <f t="shared" si="15"/>
        <v>-0.23293714059226858</v>
      </c>
      <c r="AR27">
        <f t="shared" si="16"/>
        <v>0.77274066103125472</v>
      </c>
      <c r="AS27">
        <f t="shared" si="17"/>
        <v>0.20705523608201659</v>
      </c>
      <c r="AT27">
        <f t="shared" si="18"/>
        <v>-0.6761480784023477</v>
      </c>
      <c r="AU27">
        <f t="shared" si="19"/>
        <v>-0.18117333157176463</v>
      </c>
    </row>
    <row r="28" spans="1:47" x14ac:dyDescent="0.25">
      <c r="A28" s="17">
        <f>26/60</f>
        <v>0.43333333333333335</v>
      </c>
      <c r="B28" s="24">
        <f>(360-Simulador!$B$7)+$A28*((540+Simulador!$B$8)-(360-Simulador!$B$7))</f>
        <v>448.33333333333337</v>
      </c>
      <c r="C28" s="24">
        <f t="shared" si="0"/>
        <v>0.9995769500822006</v>
      </c>
      <c r="D28" s="24">
        <f t="shared" si="1"/>
        <v>2.9084718743110693E-2</v>
      </c>
      <c r="E28" s="24">
        <f>(540+Simulador!$B$8)+$A28*((720-'Diagrama circular'!$B$9)-(540+Simulador!$B$8))</f>
        <v>642</v>
      </c>
      <c r="F28" s="24">
        <f t="shared" si="2"/>
        <v>-0.86076988864574888</v>
      </c>
      <c r="G28" s="24">
        <f t="shared" si="3"/>
        <v>0.18296228791962829</v>
      </c>
      <c r="H28" s="24">
        <f>(720-'Diagrama circular'!$B$9)+$A28*((720)-(720-'Diagrama circular'!$B$9))</f>
        <v>714.33333333333337</v>
      </c>
      <c r="I28" s="24">
        <f t="shared" si="4"/>
        <v>-8.6891933131244589E-2</v>
      </c>
      <c r="J28" s="24">
        <f t="shared" si="5"/>
        <v>0.87569960143688286</v>
      </c>
      <c r="K28" s="24">
        <f>(720)+$A28*((900-Simulador!$B$5)-(720))</f>
        <v>778.5</v>
      </c>
      <c r="L28" s="24">
        <f t="shared" si="6"/>
        <v>0.64800652490911015</v>
      </c>
      <c r="M28" s="24">
        <f t="shared" si="7"/>
        <v>0.397098909184121</v>
      </c>
      <c r="N28" s="24">
        <f>(900-Simulador!$B$5)+$A28*((1080+Simulador!$B$6)-(900-Simulador!$B$5))</f>
        <v>961.16666666666663</v>
      </c>
      <c r="O28" s="24">
        <f t="shared" si="8"/>
        <v>-0.56065680565381015</v>
      </c>
      <c r="P28" s="24">
        <f t="shared" si="9"/>
        <v>-0.30864858054762817</v>
      </c>
      <c r="Q28" s="24">
        <f>(360-Simulador!$B$7)+$A28*((360+Simulador!$B$6)-(360-Simulador!$B$7))</f>
        <v>357.33333333333331</v>
      </c>
      <c r="R28" s="24">
        <f t="shared" si="10"/>
        <v>-1.9540631123053733E-2</v>
      </c>
      <c r="S28" s="24">
        <f t="shared" si="11"/>
        <v>0.41954518676218028</v>
      </c>
      <c r="V28" t="s">
        <v>127</v>
      </c>
      <c r="X28">
        <v>0</v>
      </c>
      <c r="Y28">
        <v>0</v>
      </c>
      <c r="AN28">
        <f t="shared" si="12"/>
        <v>0.97814760073380558</v>
      </c>
      <c r="AO28">
        <f t="shared" si="13"/>
        <v>0.20791169081775945</v>
      </c>
      <c r="AP28">
        <f t="shared" si="14"/>
        <v>-0.88033284066042505</v>
      </c>
      <c r="AQ28">
        <f t="shared" si="15"/>
        <v>-0.18712052173598381</v>
      </c>
      <c r="AR28">
        <f t="shared" si="16"/>
        <v>0.78251808058704464</v>
      </c>
      <c r="AS28">
        <f t="shared" si="17"/>
        <v>0.16632935265420723</v>
      </c>
      <c r="AT28">
        <f t="shared" si="18"/>
        <v>-0.68470332051366389</v>
      </c>
      <c r="AU28">
        <f t="shared" si="19"/>
        <v>-0.14553818357243142</v>
      </c>
    </row>
    <row r="29" spans="1:47" x14ac:dyDescent="0.25">
      <c r="A29" s="17">
        <f>27/60</f>
        <v>0.45</v>
      </c>
      <c r="B29" s="24">
        <f>(360-Simulador!$B$7)+$A29*((540+Simulador!$B$8)-(360-Simulador!$B$7))</f>
        <v>452.5</v>
      </c>
      <c r="C29" s="24">
        <f t="shared" si="0"/>
        <v>0.9990482215818578</v>
      </c>
      <c r="D29" s="24">
        <f t="shared" si="1"/>
        <v>-4.3619387365335889E-2</v>
      </c>
      <c r="E29" s="24">
        <f>(540+Simulador!$B$8)+$A29*((720-'Diagrama circular'!$B$9)-(540+Simulador!$B$8))</f>
        <v>644</v>
      </c>
      <c r="F29" s="24">
        <f t="shared" si="2"/>
        <v>-0.85386023912287701</v>
      </c>
      <c r="G29" s="24">
        <f t="shared" si="3"/>
        <v>0.21289126812770737</v>
      </c>
      <c r="H29" s="24">
        <f>(720-'Diagrama circular'!$B$9)+$A29*((720)-(720-'Diagrama circular'!$B$9))</f>
        <v>714.5</v>
      </c>
      <c r="I29" s="24">
        <f t="shared" si="4"/>
        <v>-8.4344262217797547E-2</v>
      </c>
      <c r="J29" s="24">
        <f t="shared" si="5"/>
        <v>0.87594865456311732</v>
      </c>
      <c r="K29" s="24">
        <f>(720)+$A29*((900-Simulador!$B$5)-(720))</f>
        <v>780.75</v>
      </c>
      <c r="L29" s="24">
        <f t="shared" si="6"/>
        <v>0.66309696537532559</v>
      </c>
      <c r="M29" s="24">
        <f t="shared" si="7"/>
        <v>0.37135214353768609</v>
      </c>
      <c r="N29" s="24">
        <f>(900-Simulador!$B$5)+$A29*((1080+Simulador!$B$6)-(900-Simulador!$B$5))</f>
        <v>965.25</v>
      </c>
      <c r="O29" s="24">
        <f t="shared" si="8"/>
        <v>-0.5812116312480522</v>
      </c>
      <c r="P29" s="24">
        <f t="shared" si="9"/>
        <v>-0.26794223202395356</v>
      </c>
      <c r="Q29" s="24">
        <f>(360-Simulador!$B$7)+$A29*((360+Simulador!$B$6)-(360-Simulador!$B$7))</f>
        <v>358</v>
      </c>
      <c r="R29" s="24">
        <f t="shared" si="10"/>
        <v>-1.4657788615050406E-2</v>
      </c>
      <c r="S29" s="24">
        <f t="shared" si="11"/>
        <v>0.41974414734802018</v>
      </c>
      <c r="X29">
        <f>Z6</f>
        <v>0.38306256052474807</v>
      </c>
      <c r="Y29">
        <f>AA6</f>
        <v>1.0524557352802177</v>
      </c>
      <c r="AN29">
        <f t="shared" si="12"/>
        <v>0.98768834059513777</v>
      </c>
      <c r="AO29">
        <f t="shared" si="13"/>
        <v>0.15643446504023092</v>
      </c>
      <c r="AP29">
        <f t="shared" si="14"/>
        <v>-0.8889195065356239</v>
      </c>
      <c r="AQ29">
        <f t="shared" si="15"/>
        <v>-0.14079101853620793</v>
      </c>
      <c r="AR29">
        <f t="shared" si="16"/>
        <v>0.79015067247611015</v>
      </c>
      <c r="AS29">
        <f t="shared" si="17"/>
        <v>0.12514757203218493</v>
      </c>
      <c r="AT29">
        <f t="shared" si="18"/>
        <v>-0.69138183841659639</v>
      </c>
      <c r="AU29">
        <f t="shared" si="19"/>
        <v>-0.10950412552816127</v>
      </c>
    </row>
    <row r="30" spans="1:47" x14ac:dyDescent="0.25">
      <c r="A30" s="17">
        <f>28/60</f>
        <v>0.46666666666666667</v>
      </c>
      <c r="B30" s="24">
        <f>(360-Simulador!$B$7)+$A30*((540+Simulador!$B$8)-(360-Simulador!$B$7))</f>
        <v>456.66666666666669</v>
      </c>
      <c r="C30" s="24">
        <f t="shared" si="0"/>
        <v>0.99323835774194291</v>
      </c>
      <c r="D30" s="24">
        <f t="shared" si="1"/>
        <v>-0.11609291412523062</v>
      </c>
      <c r="E30" s="24">
        <f>(540+Simulador!$B$8)+$A30*((720-'Diagrama circular'!$B$9)-(540+Simulador!$B$8))</f>
        <v>646</v>
      </c>
      <c r="F30" s="24">
        <f t="shared" si="2"/>
        <v>-0.84591029242572058</v>
      </c>
      <c r="G30" s="24">
        <f t="shared" si="3"/>
        <v>0.24256087311895946</v>
      </c>
      <c r="H30" s="24">
        <f>(720-'Diagrama circular'!$B$9)+$A30*((720)-(720-'Diagrama circular'!$B$9))</f>
        <v>714.66666666666663</v>
      </c>
      <c r="I30" s="24">
        <f t="shared" si="4"/>
        <v>-8.1795877617865984E-2</v>
      </c>
      <c r="J30" s="24">
        <f t="shared" si="5"/>
        <v>0.87619029577182783</v>
      </c>
      <c r="K30" s="24">
        <f>(720)+$A30*((900-Simulador!$B$5)-(720))</f>
        <v>783</v>
      </c>
      <c r="L30" s="24">
        <f t="shared" si="6"/>
        <v>0.67716495838315949</v>
      </c>
      <c r="M30" s="24">
        <f t="shared" si="7"/>
        <v>0.34503277980205577</v>
      </c>
      <c r="N30" s="24">
        <f>(900-Simulador!$B$5)+$A30*((1080+Simulador!$B$6)-(900-Simulador!$B$5))</f>
        <v>969.33333333333337</v>
      </c>
      <c r="O30" s="24">
        <f t="shared" si="8"/>
        <v>-0.59881569013730018</v>
      </c>
      <c r="P30" s="24">
        <f t="shared" si="9"/>
        <v>-0.22587556141687604</v>
      </c>
      <c r="Q30" s="24">
        <f>(360-Simulador!$B$7)+$A30*((360+Simulador!$B$6)-(360-Simulador!$B$7))</f>
        <v>358.66666666666669</v>
      </c>
      <c r="R30" s="24">
        <f t="shared" si="10"/>
        <v>-9.7729616771035158E-3</v>
      </c>
      <c r="S30" s="24">
        <f t="shared" si="11"/>
        <v>0.41988628129537392</v>
      </c>
      <c r="AN30">
        <f t="shared" si="12"/>
        <v>0.99452189536827329</v>
      </c>
      <c r="AO30">
        <f t="shared" si="13"/>
        <v>0.10452846326765346</v>
      </c>
      <c r="AP30">
        <f t="shared" si="14"/>
        <v>-0.89506970583144607</v>
      </c>
      <c r="AQ30">
        <f t="shared" si="15"/>
        <v>-9.4075616940888021E-2</v>
      </c>
      <c r="AR30">
        <f t="shared" si="16"/>
        <v>0.79561751629461863</v>
      </c>
      <c r="AS30">
        <f t="shared" si="17"/>
        <v>8.3622770614122779E-2</v>
      </c>
      <c r="AT30">
        <f t="shared" si="18"/>
        <v>-0.69616532675779119</v>
      </c>
      <c r="AU30">
        <f t="shared" si="19"/>
        <v>-7.3169924287358135E-2</v>
      </c>
    </row>
    <row r="31" spans="1:47" x14ac:dyDescent="0.25">
      <c r="A31" s="17">
        <f>29/60</f>
        <v>0.48333333333333334</v>
      </c>
      <c r="B31" s="24">
        <f>(360-Simulador!$B$7)+$A31*((540+Simulador!$B$8)-(360-Simulador!$B$7))</f>
        <v>460.83333333333331</v>
      </c>
      <c r="C31" s="24">
        <f t="shared" si="0"/>
        <v>0.98217807047063077</v>
      </c>
      <c r="D31" s="24">
        <f t="shared" si="1"/>
        <v>-0.18795275440011144</v>
      </c>
      <c r="E31" s="24">
        <f>(540+Simulador!$B$8)+$A31*((720-'Diagrama circular'!$B$9)-(540+Simulador!$B$8))</f>
        <v>648</v>
      </c>
      <c r="F31" s="24">
        <f t="shared" si="2"/>
        <v>-0.83692973433973517</v>
      </c>
      <c r="G31" s="24">
        <f t="shared" si="3"/>
        <v>0.27193495504995358</v>
      </c>
      <c r="H31" s="24">
        <f>(720-'Diagrama circular'!$B$9)+$A31*((720)-(720-'Diagrama circular'!$B$9))</f>
        <v>714.83333333333337</v>
      </c>
      <c r="I31" s="24">
        <f t="shared" si="4"/>
        <v>-7.9246800894832339E-2</v>
      </c>
      <c r="J31" s="24">
        <f t="shared" si="5"/>
        <v>0.87642452301834572</v>
      </c>
      <c r="K31" s="24">
        <f>(720)+$A31*((900-Simulador!$B$5)-(720))</f>
        <v>785.25</v>
      </c>
      <c r="L31" s="24">
        <f t="shared" si="6"/>
        <v>0.69018881210706173</v>
      </c>
      <c r="M31" s="24">
        <f t="shared" si="7"/>
        <v>0.3181814005284454</v>
      </c>
      <c r="N31" s="24">
        <f>(900-Simulador!$B$5)+$A31*((1080+Simulador!$B$6)-(900-Simulador!$B$5))</f>
        <v>973.41666666666663</v>
      </c>
      <c r="O31" s="24">
        <f t="shared" si="8"/>
        <v>-0.61337960786989121</v>
      </c>
      <c r="P31" s="24">
        <f t="shared" si="9"/>
        <v>-0.1826621379743994</v>
      </c>
      <c r="Q31" s="24">
        <f>(360-Simulador!$B$7)+$A31*((360+Simulador!$B$6)-(360-Simulador!$B$7))</f>
        <v>359.33333333333331</v>
      </c>
      <c r="R31" s="24">
        <f t="shared" si="10"/>
        <v>-4.8868116365868844E-3</v>
      </c>
      <c r="S31" s="24">
        <f t="shared" si="11"/>
        <v>0.41997156936158009</v>
      </c>
      <c r="AN31">
        <f t="shared" si="12"/>
        <v>0.99862953475457383</v>
      </c>
      <c r="AO31">
        <f t="shared" si="13"/>
        <v>5.2335956242943966E-2</v>
      </c>
      <c r="AP31">
        <f t="shared" si="14"/>
        <v>-0.89876658127911646</v>
      </c>
      <c r="AQ31">
        <f t="shared" si="15"/>
        <v>-4.7102360618649877E-2</v>
      </c>
      <c r="AR31">
        <f t="shared" si="16"/>
        <v>0.7989036278036592</v>
      </c>
      <c r="AS31">
        <f t="shared" si="17"/>
        <v>4.1868764994354837E-2</v>
      </c>
      <c r="AT31">
        <f t="shared" si="18"/>
        <v>-0.69904067432820161</v>
      </c>
      <c r="AU31">
        <f t="shared" si="19"/>
        <v>-3.6635169370061185E-2</v>
      </c>
    </row>
    <row r="32" spans="1:47" x14ac:dyDescent="0.25">
      <c r="A32" s="17">
        <f>30/60</f>
        <v>0.5</v>
      </c>
      <c r="B32" s="24">
        <f>(360-Simulador!$B$7)+$A32*((540+Simulador!$B$8)-(360-Simulador!$B$7))</f>
        <v>465</v>
      </c>
      <c r="C32" s="24">
        <f t="shared" si="0"/>
        <v>0.96592582628906831</v>
      </c>
      <c r="D32" s="24">
        <f t="shared" si="1"/>
        <v>-0.25881904510252085</v>
      </c>
      <c r="E32" s="24">
        <f>(540+Simulador!$B$8)+$A32*((720-'Diagrama circular'!$B$9)-(540+Simulador!$B$8))</f>
        <v>650</v>
      </c>
      <c r="F32" s="24">
        <f t="shared" si="2"/>
        <v>-0.82692950629159934</v>
      </c>
      <c r="G32" s="24">
        <f t="shared" si="3"/>
        <v>0.30097772612658874</v>
      </c>
      <c r="H32" s="24">
        <f>(720-'Diagrama circular'!$B$9)+$A32*((720)-(720-'Diagrama circular'!$B$9))</f>
        <v>715</v>
      </c>
      <c r="I32" s="24">
        <f t="shared" si="4"/>
        <v>-7.6697053617939326E-2</v>
      </c>
      <c r="J32" s="24">
        <f t="shared" si="5"/>
        <v>0.87665133432073605</v>
      </c>
      <c r="K32" s="24">
        <f>(720)+$A32*((900-Simulador!$B$5)-(720))</f>
        <v>787.5</v>
      </c>
      <c r="L32" s="24">
        <f t="shared" si="6"/>
        <v>0.70214844470857807</v>
      </c>
      <c r="M32" s="24">
        <f t="shared" si="7"/>
        <v>0.2908394085974681</v>
      </c>
      <c r="N32" s="24">
        <f>(900-Simulador!$B$5)+$A32*((1080+Simulador!$B$6)-(900-Simulador!$B$5))</f>
        <v>977.5</v>
      </c>
      <c r="O32" s="24">
        <f t="shared" si="8"/>
        <v>-0.62482944455675726</v>
      </c>
      <c r="P32" s="24">
        <f t="shared" si="9"/>
        <v>-0.1385213529203865</v>
      </c>
      <c r="Q32" s="24">
        <f>(360-Simulador!$B$7)+$A32*((360+Simulador!$B$6)-(360-Simulador!$B$7))</f>
        <v>360</v>
      </c>
      <c r="R32" s="24">
        <f t="shared" si="10"/>
        <v>0</v>
      </c>
      <c r="S32" s="24">
        <f t="shared" si="11"/>
        <v>0.42</v>
      </c>
      <c r="AN32">
        <f t="shared" si="12"/>
        <v>1</v>
      </c>
      <c r="AO32">
        <f t="shared" si="13"/>
        <v>6.1257422745431001E-17</v>
      </c>
      <c r="AP32">
        <f t="shared" si="14"/>
        <v>-0.9</v>
      </c>
      <c r="AQ32">
        <f t="shared" si="15"/>
        <v>-1.653950414126637E-16</v>
      </c>
      <c r="AR32">
        <f t="shared" si="16"/>
        <v>0.8</v>
      </c>
      <c r="AS32">
        <f t="shared" si="17"/>
        <v>2.45029690981724E-16</v>
      </c>
      <c r="AT32">
        <f t="shared" si="18"/>
        <v>-0.7</v>
      </c>
      <c r="AU32">
        <f t="shared" si="19"/>
        <v>-3.001613714526119E-16</v>
      </c>
    </row>
    <row r="33" spans="1:47" x14ac:dyDescent="0.25">
      <c r="A33" s="17">
        <f>31/60</f>
        <v>0.51666666666666672</v>
      </c>
      <c r="B33" s="24">
        <f>(360-Simulador!$B$7)+$A33*((540+Simulador!$B$8)-(360-Simulador!$B$7))</f>
        <v>469.16666666666669</v>
      </c>
      <c r="C33" s="24">
        <f t="shared" si="0"/>
        <v>0.94456753726760456</v>
      </c>
      <c r="D33" s="24">
        <f t="shared" si="1"/>
        <v>-0.32831717521356141</v>
      </c>
      <c r="E33" s="24">
        <f>(540+Simulador!$B$8)+$A33*((720-'Diagrama circular'!$B$9)-(540+Simulador!$B$8))</f>
        <v>652</v>
      </c>
      <c r="F33" s="24">
        <f t="shared" si="2"/>
        <v>-0.81592179201877291</v>
      </c>
      <c r="G33" s="24">
        <f t="shared" si="3"/>
        <v>0.32965380220600254</v>
      </c>
      <c r="H33" s="24">
        <f>(720-'Diagrama circular'!$B$9)+$A33*((720)-(720-'Diagrama circular'!$B$9))</f>
        <v>715.16666666666663</v>
      </c>
      <c r="I33" s="24">
        <f t="shared" si="4"/>
        <v>-7.4146657362098967E-2</v>
      </c>
      <c r="J33" s="24">
        <f t="shared" si="5"/>
        <v>0.87687072775981501</v>
      </c>
      <c r="K33" s="24">
        <f>(720)+$A33*((900-Simulador!$B$5)-(720))</f>
        <v>789.75</v>
      </c>
      <c r="L33" s="24">
        <f t="shared" si="6"/>
        <v>0.71302541530108776</v>
      </c>
      <c r="M33" s="24">
        <f t="shared" si="7"/>
        <v>0.26304896337889505</v>
      </c>
      <c r="N33" s="24">
        <f>(900-Simulador!$B$5)+$A33*((1080+Simulador!$B$6)-(900-Simulador!$B$5))</f>
        <v>981.58333333333337</v>
      </c>
      <c r="O33" s="24">
        <f t="shared" si="8"/>
        <v>-0.63310707025854973</v>
      </c>
      <c r="P33" s="24">
        <f t="shared" si="9"/>
        <v>-9.3677305622204332E-2</v>
      </c>
      <c r="Q33" s="24">
        <f>(360-Simulador!$B$7)+$A33*((360+Simulador!$B$6)-(360-Simulador!$B$7))</f>
        <v>360.66666666666669</v>
      </c>
      <c r="R33" s="24">
        <f t="shared" si="10"/>
        <v>4.8868116365868844E-3</v>
      </c>
      <c r="S33" s="24">
        <f t="shared" si="11"/>
        <v>0.41997156936158009</v>
      </c>
      <c r="AN33">
        <f t="shared" si="12"/>
        <v>0.99862953475457383</v>
      </c>
      <c r="AO33">
        <f t="shared" si="13"/>
        <v>-5.2335956242943842E-2</v>
      </c>
      <c r="AP33">
        <f t="shared" si="14"/>
        <v>-0.89876658127911646</v>
      </c>
      <c r="AQ33">
        <f t="shared" si="15"/>
        <v>4.7102360618649551E-2</v>
      </c>
      <c r="AR33">
        <f t="shared" si="16"/>
        <v>0.79890362780365909</v>
      </c>
      <c r="AS33">
        <f t="shared" si="17"/>
        <v>-4.1868764994355059E-2</v>
      </c>
      <c r="AT33">
        <f t="shared" si="18"/>
        <v>-0.69904067432820161</v>
      </c>
      <c r="AU33">
        <f t="shared" si="19"/>
        <v>3.6635169370060582E-2</v>
      </c>
    </row>
    <row r="34" spans="1:47" x14ac:dyDescent="0.25">
      <c r="A34" s="17">
        <f>32/60</f>
        <v>0.53333333333333333</v>
      </c>
      <c r="B34" s="24">
        <f>(360-Simulador!$B$7)+$A34*((540+Simulador!$B$8)-(360-Simulador!$B$7))</f>
        <v>473.33333333333337</v>
      </c>
      <c r="C34" s="24">
        <f t="shared" ref="C34:C65" si="20">1*SIN(RADIANS(B34-360))</f>
        <v>0.91821610688027377</v>
      </c>
      <c r="D34" s="24">
        <f t="shared" ref="D34:D62" si="21">1*COS(RADIANS(B34-360))</f>
        <v>-0.3960797660391574</v>
      </c>
      <c r="E34" s="24">
        <f>(540+Simulador!$B$8)+$A34*((720-'Diagrama circular'!$B$9)-(540+Simulador!$B$8))</f>
        <v>654</v>
      </c>
      <c r="F34" s="24">
        <f t="shared" ref="F34:F65" si="22">0.88*SIN(RADIANS(E34-360))</f>
        <v>-0.80392000272548891</v>
      </c>
      <c r="G34" s="24">
        <f t="shared" ref="G34:G62" si="23">0.88*COS(RADIANS(E34-360))</f>
        <v>0.3579282459067038</v>
      </c>
      <c r="H34" s="24">
        <f>(720-'Diagrama circular'!$B$9)+$A34*((720)-(720-'Diagrama circular'!$B$9))</f>
        <v>715.33333333333337</v>
      </c>
      <c r="I34" s="24">
        <f t="shared" ref="I34:I65" si="24">0.88*SIN(RADIANS(H34-360))</f>
        <v>-7.1595633707714698E-2</v>
      </c>
      <c r="J34" s="24">
        <f t="shared" ref="J34:J62" si="25">0.88*COS(RADIANS(H34-360))</f>
        <v>0.87708270147916545</v>
      </c>
      <c r="K34" s="24">
        <f>(720)+$A34*((900-Simulador!$B$5)-(720))</f>
        <v>792</v>
      </c>
      <c r="L34" s="24">
        <f t="shared" ref="L34:L65" si="26">0.76*SIN(RADIANS(K34-360))</f>
        <v>0.72280295238431669</v>
      </c>
      <c r="M34" s="24">
        <f t="shared" ref="M34:M62" si="27">0.76*COS(RADIANS(K34-360))</f>
        <v>0.23485291572496028</v>
      </c>
      <c r="N34" s="24">
        <f>(900-Simulador!$B$5)+$A34*((1080+Simulador!$B$6)-(900-Simulador!$B$5))</f>
        <v>985.66666666666663</v>
      </c>
      <c r="O34" s="24">
        <f t="shared" ref="O34:O65" si="28">0.64*SIN(RADIANS(N34-360))</f>
        <v>-0.63817046010686551</v>
      </c>
      <c r="P34" s="24">
        <f t="shared" ref="P34:P62" si="29">0.64*COS(RADIANS(N34-360))</f>
        <v>-4.8357665855493476E-2</v>
      </c>
      <c r="Q34" s="24">
        <f>(360-Simulador!$B$7)+$A34*((360+Simulador!$B$6)-(360-Simulador!$B$7))</f>
        <v>361.33333333333331</v>
      </c>
      <c r="R34" s="24">
        <f t="shared" ref="R34:R65" si="30">0.42*SIN(RADIANS(Q34-360))</f>
        <v>9.7729616771035158E-3</v>
      </c>
      <c r="S34" s="24">
        <f t="shared" ref="S34:S62" si="31">0.42*COS(RADIANS(Q34-360))</f>
        <v>0.41988628129537392</v>
      </c>
      <c r="AN34">
        <f t="shared" ref="AN34:AN62" si="32">1*SIN(RADIANS((360+$A34*180)-360))</f>
        <v>0.99452189536827329</v>
      </c>
      <c r="AO34">
        <f t="shared" ref="AO34:AO62" si="33">1*COS(RADIANS((360+$A34*180)-360))</f>
        <v>-0.10452846326765355</v>
      </c>
      <c r="AP34">
        <f t="shared" ref="AP34:AP62" si="34">0.9*SIN(RADIANS((540+$A34*180)-360))</f>
        <v>-0.89506970583144607</v>
      </c>
      <c r="AQ34">
        <f t="shared" ref="AQ34:AQ62" si="35">0.9*COS(RADIANS((540+$A34*180)-360))</f>
        <v>9.4075616940887688E-2</v>
      </c>
      <c r="AR34">
        <f t="shared" ref="AR34:AR62" si="36">0.8*SIN(RADIANS((720+$A34*180)-360))</f>
        <v>0.79561751629461863</v>
      </c>
      <c r="AS34">
        <f t="shared" ref="AS34:AS62" si="37">0.8*COS(RADIANS((720+$A34*180)-360))</f>
        <v>-8.3622770614123001E-2</v>
      </c>
      <c r="AT34">
        <f t="shared" ref="AT34:AT62" si="38">0.7*SIN(RADIANS((900+$A34*180)-360))</f>
        <v>-0.6961653267577913</v>
      </c>
      <c r="AU34">
        <f t="shared" ref="AU34:AU62" si="39">0.7*COS(RADIANS((900+$A34*180)-360))</f>
        <v>7.3169924287357538E-2</v>
      </c>
    </row>
    <row r="35" spans="1:47" x14ac:dyDescent="0.25">
      <c r="A35" s="17">
        <f>33/60</f>
        <v>0.55000000000000004</v>
      </c>
      <c r="B35" s="24">
        <f>(360-Simulador!$B$7)+$A35*((540+Simulador!$B$8)-(360-Simulador!$B$7))</f>
        <v>477.5</v>
      </c>
      <c r="C35" s="24">
        <f t="shared" si="20"/>
        <v>0.88701083317822182</v>
      </c>
      <c r="D35" s="24">
        <f t="shared" si="21"/>
        <v>-0.46174861323503374</v>
      </c>
      <c r="E35" s="24">
        <f>(540+Simulador!$B$8)+$A35*((720-'Diagrama circular'!$B$9)-(540+Simulador!$B$8))</f>
        <v>656</v>
      </c>
      <c r="F35" s="24">
        <f t="shared" si="22"/>
        <v>-0.79093876074326697</v>
      </c>
      <c r="G35" s="24">
        <f t="shared" si="23"/>
        <v>0.3857666091743881</v>
      </c>
      <c r="H35" s="24">
        <f>(720-'Diagrama circular'!$B$9)+$A35*((720)-(720-'Diagrama circular'!$B$9))</f>
        <v>715.5</v>
      </c>
      <c r="I35" s="24">
        <f t="shared" si="24"/>
        <v>-6.9044004240503373E-2</v>
      </c>
      <c r="J35" s="24">
        <f t="shared" si="25"/>
        <v>0.87728725368515259</v>
      </c>
      <c r="K35" s="24">
        <f>(720)+$A35*((900-Simulador!$B$5)-(720))</f>
        <v>794.25</v>
      </c>
      <c r="L35" s="24">
        <f t="shared" si="26"/>
        <v>0.7314659797047719</v>
      </c>
      <c r="M35" s="24">
        <f t="shared" si="27"/>
        <v>0.20629474189745647</v>
      </c>
      <c r="N35" s="24">
        <f>(900-Simulador!$B$5)+$A35*((1080+Simulador!$B$6)-(900-Simulador!$B$5))</f>
        <v>989.75</v>
      </c>
      <c r="O35" s="24">
        <f t="shared" si="28"/>
        <v>-0.63999390766127007</v>
      </c>
      <c r="P35" s="24">
        <f t="shared" si="29"/>
        <v>-2.7925179422384743E-3</v>
      </c>
      <c r="Q35" s="24">
        <f>(360-Simulador!$B$7)+$A35*((360+Simulador!$B$6)-(360-Simulador!$B$7))</f>
        <v>362</v>
      </c>
      <c r="R35" s="24">
        <f t="shared" si="30"/>
        <v>1.4657788615050406E-2</v>
      </c>
      <c r="S35" s="24">
        <f t="shared" si="31"/>
        <v>0.41974414734802018</v>
      </c>
      <c r="AN35">
        <f t="shared" si="32"/>
        <v>0.98768834059513777</v>
      </c>
      <c r="AO35">
        <f t="shared" si="33"/>
        <v>-0.15643446504023081</v>
      </c>
      <c r="AP35">
        <f t="shared" si="34"/>
        <v>-0.88891950653562402</v>
      </c>
      <c r="AQ35">
        <f t="shared" si="35"/>
        <v>0.14079101853620762</v>
      </c>
      <c r="AR35">
        <f t="shared" si="36"/>
        <v>0.79015067247611015</v>
      </c>
      <c r="AS35">
        <f t="shared" si="37"/>
        <v>-0.12514757203218516</v>
      </c>
      <c r="AT35">
        <f t="shared" si="38"/>
        <v>-0.69138183841659628</v>
      </c>
      <c r="AU35">
        <f t="shared" si="39"/>
        <v>0.10950412552816191</v>
      </c>
    </row>
    <row r="36" spans="1:47" x14ac:dyDescent="0.25">
      <c r="A36" s="17">
        <f>34/60</f>
        <v>0.56666666666666665</v>
      </c>
      <c r="B36" s="24">
        <f>(360-Simulador!$B$7)+$A36*((540+Simulador!$B$8)-(360-Simulador!$B$7))</f>
        <v>481.66666666666663</v>
      </c>
      <c r="C36" s="24">
        <f t="shared" si="20"/>
        <v>0.85111667243700007</v>
      </c>
      <c r="D36" s="24">
        <f t="shared" si="21"/>
        <v>-0.52497658033455974</v>
      </c>
      <c r="E36" s="24">
        <f>(540+Simulador!$B$8)+$A36*((720-'Diagrama circular'!$B$9)-(540+Simulador!$B$8))</f>
        <v>658</v>
      </c>
      <c r="F36" s="24">
        <f t="shared" si="22"/>
        <v>-0.77699388171585582</v>
      </c>
      <c r="G36" s="24">
        <f t="shared" si="23"/>
        <v>0.41313497525158355</v>
      </c>
      <c r="H36" s="24">
        <f>(720-'Diagrama circular'!$B$9)+$A36*((720)-(720-'Diagrama circular'!$B$9))</f>
        <v>715.66666666666663</v>
      </c>
      <c r="I36" s="24">
        <f t="shared" si="24"/>
        <v>-6.6491790551304136E-2</v>
      </c>
      <c r="J36" s="24">
        <f t="shared" si="25"/>
        <v>0.87748438264694006</v>
      </c>
      <c r="K36" s="24">
        <f>(720)+$A36*((900-Simulador!$B$5)-(720))</f>
        <v>796.5</v>
      </c>
      <c r="L36" s="24">
        <f t="shared" si="26"/>
        <v>0.73900113950223423</v>
      </c>
      <c r="M36" s="24">
        <f t="shared" si="27"/>
        <v>0.17741847653048801</v>
      </c>
      <c r="N36" s="24">
        <f>(900-Simulador!$B$5)+$A36*((1080+Simulador!$B$6)-(900-Simulador!$B$5))</f>
        <v>993.83333333333337</v>
      </c>
      <c r="O36" s="24">
        <f t="shared" si="28"/>
        <v>-0.63856815541891476</v>
      </c>
      <c r="P36" s="24">
        <f t="shared" si="29"/>
        <v>4.2786807369617472E-2</v>
      </c>
      <c r="Q36" s="24">
        <f>(360-Simulador!$B$7)+$A36*((360+Simulador!$B$6)-(360-Simulador!$B$7))</f>
        <v>362.66666666666669</v>
      </c>
      <c r="R36" s="24">
        <f t="shared" si="30"/>
        <v>1.9540631123053733E-2</v>
      </c>
      <c r="S36" s="24">
        <f t="shared" si="31"/>
        <v>0.41954518676218028</v>
      </c>
      <c r="AN36">
        <f t="shared" si="32"/>
        <v>0.97814760073380569</v>
      </c>
      <c r="AO36">
        <f t="shared" si="33"/>
        <v>-0.20791169081775934</v>
      </c>
      <c r="AP36">
        <f t="shared" si="34"/>
        <v>-0.88033284066042505</v>
      </c>
      <c r="AQ36">
        <f t="shared" si="35"/>
        <v>0.18712052173598348</v>
      </c>
      <c r="AR36">
        <f t="shared" si="36"/>
        <v>0.78251808058704464</v>
      </c>
      <c r="AS36">
        <f t="shared" si="37"/>
        <v>-0.16632935265420679</v>
      </c>
      <c r="AT36">
        <f t="shared" si="38"/>
        <v>-0.684703320513664</v>
      </c>
      <c r="AU36">
        <f t="shared" si="39"/>
        <v>0.14553818357243084</v>
      </c>
    </row>
    <row r="37" spans="1:47" x14ac:dyDescent="0.25">
      <c r="A37" s="17">
        <f>35/60</f>
        <v>0.58333333333333337</v>
      </c>
      <c r="B37" s="24">
        <f>(360-Simulador!$B$7)+$A37*((540+Simulador!$B$8)-(360-Simulador!$B$7))</f>
        <v>485.83333333333337</v>
      </c>
      <c r="C37" s="24">
        <f t="shared" si="20"/>
        <v>0.81072336717021176</v>
      </c>
      <c r="D37" s="24">
        <f t="shared" si="21"/>
        <v>-0.58542943376994117</v>
      </c>
      <c r="E37" s="24">
        <f>(540+Simulador!$B$8)+$A37*((720-'Diagrama circular'!$B$9)-(540+Simulador!$B$8))</f>
        <v>660</v>
      </c>
      <c r="F37" s="24">
        <f t="shared" si="22"/>
        <v>-0.76210235533030601</v>
      </c>
      <c r="G37" s="24">
        <f t="shared" si="23"/>
        <v>0.44000000000000011</v>
      </c>
      <c r="H37" s="24">
        <f>(720-'Diagrama circular'!$B$9)+$A37*((720)-(720-'Diagrama circular'!$B$9))</f>
        <v>715.83333333333337</v>
      </c>
      <c r="I37" s="24">
        <f t="shared" si="24"/>
        <v>-6.3939014235897221E-2</v>
      </c>
      <c r="J37" s="24">
        <f t="shared" si="25"/>
        <v>0.8776740866965036</v>
      </c>
      <c r="K37" s="24">
        <f>(720)+$A37*((900-Simulador!$B$5)-(720))</f>
        <v>798.75</v>
      </c>
      <c r="L37" s="24">
        <f t="shared" si="26"/>
        <v>0.745396813106455</v>
      </c>
      <c r="M37" s="24">
        <f t="shared" si="27"/>
        <v>0.14826864473225787</v>
      </c>
      <c r="N37" s="24">
        <f>(900-Simulador!$B$5)+$A37*((1080+Simulador!$B$6)-(900-Simulador!$B$5))</f>
        <v>997.91666666666674</v>
      </c>
      <c r="O37" s="24">
        <f t="shared" si="28"/>
        <v>-0.63390044181416683</v>
      </c>
      <c r="P37" s="24">
        <f t="shared" si="29"/>
        <v>8.8148907354567735E-2</v>
      </c>
      <c r="Q37" s="24">
        <f>(360-Simulador!$B$7)+$A37*((360+Simulador!$B$6)-(360-Simulador!$B$7))</f>
        <v>363.33333333333331</v>
      </c>
      <c r="R37" s="24">
        <f t="shared" si="30"/>
        <v>2.4420828142399709E-2</v>
      </c>
      <c r="S37" s="24">
        <f t="shared" si="31"/>
        <v>0.41928942647393264</v>
      </c>
      <c r="AN37">
        <f t="shared" si="32"/>
        <v>0.96592582628906831</v>
      </c>
      <c r="AO37">
        <f t="shared" si="33"/>
        <v>-0.25881904510252085</v>
      </c>
      <c r="AP37">
        <f t="shared" si="34"/>
        <v>-0.86933324366016163</v>
      </c>
      <c r="AQ37">
        <f t="shared" si="35"/>
        <v>0.23293714059226828</v>
      </c>
      <c r="AR37">
        <f t="shared" si="36"/>
        <v>0.77274066103125483</v>
      </c>
      <c r="AS37">
        <f t="shared" si="37"/>
        <v>-0.20705523608201615</v>
      </c>
      <c r="AT37">
        <f t="shared" si="38"/>
        <v>-0.67614807840234781</v>
      </c>
      <c r="AU37">
        <f t="shared" si="39"/>
        <v>0.18117333157176405</v>
      </c>
    </row>
    <row r="38" spans="1:47" x14ac:dyDescent="0.25">
      <c r="A38" s="17">
        <f>36/60</f>
        <v>0.6</v>
      </c>
      <c r="B38" s="24">
        <f>(360-Simulador!$B$7)+$A38*((540+Simulador!$B$8)-(360-Simulador!$B$7))</f>
        <v>490</v>
      </c>
      <c r="C38" s="24">
        <f t="shared" si="20"/>
        <v>0.76604444311897801</v>
      </c>
      <c r="D38" s="24">
        <f t="shared" si="21"/>
        <v>-0.64278760968653936</v>
      </c>
      <c r="E38" s="24">
        <f>(540+Simulador!$B$8)+$A38*((720-'Diagrama circular'!$B$9)-(540+Simulador!$B$8))</f>
        <v>662</v>
      </c>
      <c r="F38" s="24">
        <f t="shared" si="22"/>
        <v>-0.74628232461765509</v>
      </c>
      <c r="G38" s="24">
        <f t="shared" si="23"/>
        <v>0.46632895252522011</v>
      </c>
      <c r="H38" s="24">
        <f>(720-'Diagrama circular'!$B$9)+$A38*((720)-(720-'Diagrama circular'!$B$9))</f>
        <v>716</v>
      </c>
      <c r="I38" s="24">
        <f t="shared" si="24"/>
        <v>-6.138569689483056E-2</v>
      </c>
      <c r="J38" s="24">
        <f t="shared" si="25"/>
        <v>0.87785636422864533</v>
      </c>
      <c r="K38" s="24">
        <f>(720)+$A38*((900-Simulador!$B$5)-(720))</f>
        <v>801</v>
      </c>
      <c r="L38" s="24">
        <f t="shared" si="26"/>
        <v>0.7506431388523046</v>
      </c>
      <c r="M38" s="24">
        <f t="shared" si="27"/>
        <v>0.11889019343057569</v>
      </c>
      <c r="N38" s="24">
        <f>(900-Simulador!$B$5)+$A38*((1080+Simulador!$B$6)-(900-Simulador!$B$5))</f>
        <v>1002</v>
      </c>
      <c r="O38" s="24">
        <f t="shared" si="28"/>
        <v>-0.62601446446963571</v>
      </c>
      <c r="P38" s="24">
        <f t="shared" si="29"/>
        <v>0.13306348212336533</v>
      </c>
      <c r="Q38" s="24">
        <f>(360-Simulador!$B$7)+$A38*((360+Simulador!$B$6)-(360-Simulador!$B$7))</f>
        <v>364</v>
      </c>
      <c r="R38" s="24">
        <f t="shared" si="30"/>
        <v>2.9297718972532624E-2</v>
      </c>
      <c r="S38" s="24">
        <f t="shared" si="31"/>
        <v>0.41897690110912617</v>
      </c>
      <c r="AN38">
        <f t="shared" si="32"/>
        <v>0.95105651629515364</v>
      </c>
      <c r="AO38">
        <f t="shared" si="33"/>
        <v>-0.30901699437494734</v>
      </c>
      <c r="AP38">
        <f t="shared" si="34"/>
        <v>-0.8559508646656383</v>
      </c>
      <c r="AQ38">
        <f t="shared" si="35"/>
        <v>0.27811529493745252</v>
      </c>
      <c r="AR38">
        <f t="shared" si="36"/>
        <v>0.76084521303612296</v>
      </c>
      <c r="AS38">
        <f t="shared" si="37"/>
        <v>-0.24721359549995769</v>
      </c>
      <c r="AT38">
        <f t="shared" si="38"/>
        <v>-0.66573956140660762</v>
      </c>
      <c r="AU38">
        <f t="shared" si="39"/>
        <v>0.2163118960624629</v>
      </c>
    </row>
    <row r="39" spans="1:47" x14ac:dyDescent="0.25">
      <c r="A39" s="17">
        <f>37/60</f>
        <v>0.6166666666666667</v>
      </c>
      <c r="B39" s="24">
        <f>(360-Simulador!$B$7)+$A39*((540+Simulador!$B$8)-(360-Simulador!$B$7))</f>
        <v>494.16666666666669</v>
      </c>
      <c r="C39" s="24">
        <f t="shared" si="20"/>
        <v>0.71731608051928941</v>
      </c>
      <c r="D39" s="24">
        <f t="shared" si="21"/>
        <v>-0.69674790321065505</v>
      </c>
      <c r="E39" s="24">
        <f>(540+Simulador!$B$8)+$A39*((720-'Diagrama circular'!$B$9)-(540+Simulador!$B$8))</f>
        <v>664</v>
      </c>
      <c r="F39" s="24">
        <f t="shared" si="22"/>
        <v>-0.72955306384843666</v>
      </c>
      <c r="G39" s="24">
        <f t="shared" si="23"/>
        <v>0.49208975505425739</v>
      </c>
      <c r="H39" s="24">
        <f>(720-'Diagrama circular'!$B$9)+$A39*((720)-(720-'Diagrama circular'!$B$9))</f>
        <v>716.16666666666663</v>
      </c>
      <c r="I39" s="24">
        <f t="shared" si="24"/>
        <v>-5.8831860133224625E-2</v>
      </c>
      <c r="J39" s="24">
        <f t="shared" si="25"/>
        <v>0.87803121370100778</v>
      </c>
      <c r="K39" s="24">
        <f>(720)+$A39*((900-Simulador!$B$5)-(720))</f>
        <v>803.25</v>
      </c>
      <c r="L39" s="24">
        <f t="shared" si="26"/>
        <v>0.75473202728574396</v>
      </c>
      <c r="M39" s="24">
        <f t="shared" si="27"/>
        <v>8.9328422067956673E-2</v>
      </c>
      <c r="N39" s="24">
        <f>(900-Simulador!$B$5)+$A39*((1080+Simulador!$B$6)-(900-Simulador!$B$5))</f>
        <v>1006.0833333333334</v>
      </c>
      <c r="O39" s="24">
        <f t="shared" si="28"/>
        <v>-0.61495025988516627</v>
      </c>
      <c r="P39" s="24">
        <f t="shared" si="29"/>
        <v>0.17730250383783791</v>
      </c>
      <c r="Q39" s="24">
        <f>(360-Simulador!$B$7)+$A39*((360+Simulador!$B$6)-(360-Simulador!$B$7))</f>
        <v>364.66666666666669</v>
      </c>
      <c r="R39" s="24">
        <f t="shared" si="30"/>
        <v>3.4170643360500616E-2</v>
      </c>
      <c r="S39" s="24">
        <f t="shared" si="31"/>
        <v>0.41860765297869251</v>
      </c>
      <c r="AN39">
        <f t="shared" si="32"/>
        <v>0.93358042649720174</v>
      </c>
      <c r="AO39">
        <f t="shared" si="33"/>
        <v>-0.35836794954530027</v>
      </c>
      <c r="AP39">
        <f t="shared" si="34"/>
        <v>-0.8402223838474816</v>
      </c>
      <c r="AQ39">
        <f t="shared" si="35"/>
        <v>0.32253115459077036</v>
      </c>
      <c r="AR39">
        <f t="shared" si="36"/>
        <v>0.74686434119776146</v>
      </c>
      <c r="AS39">
        <f t="shared" si="37"/>
        <v>-0.28669435963624024</v>
      </c>
      <c r="AT39">
        <f t="shared" si="38"/>
        <v>-0.65350629854804121</v>
      </c>
      <c r="AU39">
        <f t="shared" si="39"/>
        <v>0.25085756468171011</v>
      </c>
    </row>
    <row r="40" spans="1:47" x14ac:dyDescent="0.25">
      <c r="A40" s="17">
        <f>38/60</f>
        <v>0.6333333333333333</v>
      </c>
      <c r="B40" s="24">
        <f>(360-Simulador!$B$7)+$A40*((540+Simulador!$B$8)-(360-Simulador!$B$7))</f>
        <v>498.33333333333331</v>
      </c>
      <c r="C40" s="24">
        <f t="shared" si="20"/>
        <v>0.66479586561393811</v>
      </c>
      <c r="D40" s="24">
        <f t="shared" si="21"/>
        <v>-0.74702507124099582</v>
      </c>
      <c r="E40" s="24">
        <f>(540+Simulador!$B$8)+$A40*((720-'Diagrama circular'!$B$9)-(540+Simulador!$B$8))</f>
        <v>666</v>
      </c>
      <c r="F40" s="24">
        <f t="shared" si="22"/>
        <v>-0.71193495504995385</v>
      </c>
      <c r="G40" s="24">
        <f t="shared" si="23"/>
        <v>0.51725102201737616</v>
      </c>
      <c r="H40" s="24">
        <f>(720-'Diagrama circular'!$B$9)+$A40*((720)-(720-'Diagrama circular'!$B$9))</f>
        <v>716.33333333333337</v>
      </c>
      <c r="I40" s="24">
        <f t="shared" si="24"/>
        <v>-5.6277525560594947E-2</v>
      </c>
      <c r="J40" s="24">
        <f t="shared" si="25"/>
        <v>0.87819863363408657</v>
      </c>
      <c r="K40" s="24">
        <f>(720)+$A40*((900-Simulador!$B$5)-(720))</f>
        <v>805.5</v>
      </c>
      <c r="L40" s="24">
        <f t="shared" si="26"/>
        <v>0.75765717363717722</v>
      </c>
      <c r="M40" s="24">
        <f t="shared" si="27"/>
        <v>5.9628912753162053E-2</v>
      </c>
      <c r="N40" s="24">
        <f>(900-Simulador!$B$5)+$A40*((1080+Simulador!$B$6)-(900-Simulador!$B$5))</f>
        <v>1010.1666666666666</v>
      </c>
      <c r="O40" s="24">
        <f t="shared" si="28"/>
        <v>-0.60076400017561316</v>
      </c>
      <c r="P40" s="24">
        <f t="shared" si="29"/>
        <v>0.22064137439065207</v>
      </c>
      <c r="Q40" s="24">
        <f>(360-Simulador!$B$7)+$A40*((360+Simulador!$B$6)-(360-Simulador!$B$7))</f>
        <v>365.33333333333331</v>
      </c>
      <c r="R40" s="24">
        <f t="shared" si="30"/>
        <v>3.9038941590344586E-2</v>
      </c>
      <c r="S40" s="24">
        <f t="shared" si="31"/>
        <v>0.41818173207291787</v>
      </c>
      <c r="AN40">
        <f t="shared" si="32"/>
        <v>0.91354545764260087</v>
      </c>
      <c r="AO40">
        <f t="shared" si="33"/>
        <v>-0.40673664307580026</v>
      </c>
      <c r="AP40">
        <f t="shared" si="34"/>
        <v>-0.82219091187834104</v>
      </c>
      <c r="AQ40">
        <f t="shared" si="35"/>
        <v>0.3660629787682198</v>
      </c>
      <c r="AR40">
        <f t="shared" si="36"/>
        <v>0.73083636611408065</v>
      </c>
      <c r="AS40">
        <f t="shared" si="37"/>
        <v>-0.32538931446064034</v>
      </c>
      <c r="AT40">
        <f t="shared" si="38"/>
        <v>-0.6394818203498206</v>
      </c>
      <c r="AU40">
        <f t="shared" si="39"/>
        <v>0.28471565015306022</v>
      </c>
    </row>
    <row r="41" spans="1:47" x14ac:dyDescent="0.25">
      <c r="A41" s="17">
        <f>39/60</f>
        <v>0.65</v>
      </c>
      <c r="B41" s="24">
        <f>(360-Simulador!$B$7)+$A41*((540+Simulador!$B$8)-(360-Simulador!$B$7))</f>
        <v>502.5</v>
      </c>
      <c r="C41" s="24">
        <f t="shared" si="20"/>
        <v>0.60876142900872088</v>
      </c>
      <c r="D41" s="24">
        <f t="shared" si="21"/>
        <v>-0.79335334029123505</v>
      </c>
      <c r="E41" s="24">
        <f>(540+Simulador!$B$8)+$A41*((720-'Diagrama circular'!$B$9)-(540+Simulador!$B$8))</f>
        <v>668</v>
      </c>
      <c r="F41" s="24">
        <f t="shared" si="22"/>
        <v>-0.6934494631739152</v>
      </c>
      <c r="G41" s="24">
        <f t="shared" si="23"/>
        <v>0.54178209828657953</v>
      </c>
      <c r="H41" s="24">
        <f>(720-'Diagrama circular'!$B$9)+$A41*((720)-(720-'Diagrama circular'!$B$9))</f>
        <v>716.5</v>
      </c>
      <c r="I41" s="24">
        <f t="shared" si="24"/>
        <v>-5.3722714790674045E-2</v>
      </c>
      <c r="J41" s="24">
        <f t="shared" si="25"/>
        <v>0.87835862261124287</v>
      </c>
      <c r="K41" s="24">
        <f>(720)+$A41*((900-Simulador!$B$5)-(720))</f>
        <v>807.75</v>
      </c>
      <c r="L41" s="24">
        <f t="shared" si="26"/>
        <v>0.75941406754294938</v>
      </c>
      <c r="M41" s="24">
        <f t="shared" si="27"/>
        <v>2.9837459976892546E-2</v>
      </c>
      <c r="N41" s="24">
        <f>(900-Simulador!$B$5)+$A41*((1080+Simulador!$B$6)-(900-Simulador!$B$5))</f>
        <v>1014.25</v>
      </c>
      <c r="O41" s="24">
        <f t="shared" si="28"/>
        <v>-0.58352770788933694</v>
      </c>
      <c r="P41" s="24">
        <f t="shared" si="29"/>
        <v>0.26286006567262488</v>
      </c>
      <c r="Q41" s="24">
        <f>(360-Simulador!$B$7)+$A41*((360+Simulador!$B$6)-(360-Simulador!$B$7))</f>
        <v>366</v>
      </c>
      <c r="R41" s="24">
        <f t="shared" si="30"/>
        <v>4.3901954572414456E-2</v>
      </c>
      <c r="S41" s="24">
        <f t="shared" si="31"/>
        <v>0.41769919605467476</v>
      </c>
      <c r="AN41">
        <f t="shared" si="32"/>
        <v>0.8910065241883679</v>
      </c>
      <c r="AO41">
        <f t="shared" si="33"/>
        <v>-0.45399049973954669</v>
      </c>
      <c r="AP41">
        <f t="shared" si="34"/>
        <v>-0.8019058717695311</v>
      </c>
      <c r="AQ41">
        <f t="shared" si="35"/>
        <v>0.40859144976559197</v>
      </c>
      <c r="AR41">
        <f t="shared" si="36"/>
        <v>0.71280521935069407</v>
      </c>
      <c r="AS41">
        <f t="shared" si="37"/>
        <v>-0.36319239979163787</v>
      </c>
      <c r="AT41">
        <f t="shared" si="38"/>
        <v>-0.62370456693185738</v>
      </c>
      <c r="AU41">
        <f t="shared" si="39"/>
        <v>0.31779334981768304</v>
      </c>
    </row>
    <row r="42" spans="1:47" x14ac:dyDescent="0.25">
      <c r="A42" s="17">
        <f>40/60</f>
        <v>0.66666666666666663</v>
      </c>
      <c r="B42" s="24">
        <f>(360-Simulador!$B$7)+$A42*((540+Simulador!$B$8)-(360-Simulador!$B$7))</f>
        <v>506.66666666666663</v>
      </c>
      <c r="C42" s="24">
        <f t="shared" si="20"/>
        <v>0.54950897807080656</v>
      </c>
      <c r="D42" s="24">
        <f t="shared" si="21"/>
        <v>-0.83548781141293604</v>
      </c>
      <c r="E42" s="24">
        <f>(540+Simulador!$B$8)+$A42*((720-'Diagrama circular'!$B$9)-(540+Simulador!$B$8))</f>
        <v>670</v>
      </c>
      <c r="F42" s="24">
        <f t="shared" si="22"/>
        <v>-0.6741191099447007</v>
      </c>
      <c r="G42" s="24">
        <f t="shared" si="23"/>
        <v>0.56565309652415452</v>
      </c>
      <c r="H42" s="24">
        <f>(720-'Diagrama circular'!$B$9)+$A42*((720)-(720-'Diagrama circular'!$B$9))</f>
        <v>716.66666666666663</v>
      </c>
      <c r="I42" s="24">
        <f t="shared" si="24"/>
        <v>-5.1167449441219148E-2</v>
      </c>
      <c r="J42" s="24">
        <f t="shared" si="25"/>
        <v>0.87851117927871603</v>
      </c>
      <c r="K42" s="24">
        <f>(720)+$A42*((900-Simulador!$B$5)-(720))</f>
        <v>810</v>
      </c>
      <c r="L42" s="24">
        <f t="shared" si="26"/>
        <v>0.76</v>
      </c>
      <c r="M42" s="24">
        <f t="shared" si="27"/>
        <v>2.327782064326378E-16</v>
      </c>
      <c r="N42" s="24">
        <f>(900-Simulador!$B$5)+$A42*((1080+Simulador!$B$6)-(900-Simulador!$B$5))</f>
        <v>1018.3333333333333</v>
      </c>
      <c r="O42" s="24">
        <f t="shared" si="28"/>
        <v>-0.56332889035527156</v>
      </c>
      <c r="P42" s="24">
        <f t="shared" si="29"/>
        <v>0.30374423663848893</v>
      </c>
      <c r="Q42" s="24">
        <f>(360-Simulador!$B$7)+$A42*((360+Simulador!$B$6)-(360-Simulador!$B$7))</f>
        <v>366.66666666666669</v>
      </c>
      <c r="R42" s="24">
        <f t="shared" si="30"/>
        <v>4.8759023932596832E-2</v>
      </c>
      <c r="S42" s="24">
        <f t="shared" si="31"/>
        <v>0.41716011025161603</v>
      </c>
      <c r="AN42">
        <f t="shared" si="32"/>
        <v>0.86602540378443871</v>
      </c>
      <c r="AO42">
        <f t="shared" si="33"/>
        <v>-0.49999999999999978</v>
      </c>
      <c r="AP42">
        <f t="shared" si="34"/>
        <v>-0.77942286340599476</v>
      </c>
      <c r="AQ42">
        <f t="shared" si="35"/>
        <v>0.45000000000000012</v>
      </c>
      <c r="AR42">
        <f t="shared" si="36"/>
        <v>0.69282032302755137</v>
      </c>
      <c r="AS42">
        <f t="shared" si="37"/>
        <v>-0.39999999999999941</v>
      </c>
      <c r="AT42">
        <f t="shared" si="38"/>
        <v>-0.60621778264910742</v>
      </c>
      <c r="AU42">
        <f t="shared" si="39"/>
        <v>0.34999999999999937</v>
      </c>
    </row>
    <row r="43" spans="1:47" x14ac:dyDescent="0.25">
      <c r="A43" s="17">
        <f>41/60</f>
        <v>0.68333333333333335</v>
      </c>
      <c r="B43" s="24">
        <f>(360-Simulador!$B$7)+$A43*((540+Simulador!$B$8)-(360-Simulador!$B$7))</f>
        <v>510.83333333333337</v>
      </c>
      <c r="C43" s="24">
        <f t="shared" si="20"/>
        <v>0.48735173112724167</v>
      </c>
      <c r="D43" s="24">
        <f t="shared" si="21"/>
        <v>-0.87320575477219609</v>
      </c>
      <c r="E43" s="24">
        <f>(540+Simulador!$B$8)+$A43*((720-'Diagrama circular'!$B$9)-(540+Simulador!$B$8))</f>
        <v>672</v>
      </c>
      <c r="F43" s="24">
        <f t="shared" si="22"/>
        <v>-0.65396744642010718</v>
      </c>
      <c r="G43" s="24">
        <f t="shared" si="23"/>
        <v>0.58883493359579486</v>
      </c>
      <c r="H43" s="24">
        <f>(720-'Diagrama circular'!$B$9)+$A43*((720)-(720-'Diagrama circular'!$B$9))</f>
        <v>716.83333333333337</v>
      </c>
      <c r="I43" s="24">
        <f t="shared" si="24"/>
        <v>-4.8611751133833925E-2</v>
      </c>
      <c r="J43" s="24">
        <f t="shared" si="25"/>
        <v>0.87865630234563408</v>
      </c>
      <c r="K43" s="24">
        <f>(720)+$A43*((900-Simulador!$B$5)-(720))</f>
        <v>812.25</v>
      </c>
      <c r="L43" s="24">
        <f t="shared" si="26"/>
        <v>0.75941406754294938</v>
      </c>
      <c r="M43" s="24">
        <f t="shared" si="27"/>
        <v>-2.9837459976892081E-2</v>
      </c>
      <c r="N43" s="24">
        <f>(900-Simulador!$B$5)+$A43*((1080+Simulador!$B$6)-(900-Simulador!$B$5))</f>
        <v>1022.4166666666666</v>
      </c>
      <c r="O43" s="24">
        <f t="shared" si="28"/>
        <v>-0.54027009541495197</v>
      </c>
      <c r="P43" s="24">
        <f t="shared" si="29"/>
        <v>0.34308632149987955</v>
      </c>
      <c r="Q43" s="24">
        <f>(360-Simulador!$B$7)+$A43*((360+Simulador!$B$6)-(360-Simulador!$B$7))</f>
        <v>367.33333333333331</v>
      </c>
      <c r="R43" s="24">
        <f t="shared" si="30"/>
        <v>5.3609492101449586E-2</v>
      </c>
      <c r="S43" s="24">
        <f t="shared" si="31"/>
        <v>0.41656454764732992</v>
      </c>
      <c r="AN43">
        <f t="shared" si="32"/>
        <v>0.83867056794542394</v>
      </c>
      <c r="AO43">
        <f t="shared" si="33"/>
        <v>-0.54463903501502708</v>
      </c>
      <c r="AP43">
        <f t="shared" si="34"/>
        <v>-0.75480351115088185</v>
      </c>
      <c r="AQ43">
        <f t="shared" si="35"/>
        <v>0.49017513151352399</v>
      </c>
      <c r="AR43">
        <f t="shared" si="36"/>
        <v>0.67093645435633953</v>
      </c>
      <c r="AS43">
        <f t="shared" si="37"/>
        <v>-0.43571122801202122</v>
      </c>
      <c r="AT43">
        <f t="shared" si="38"/>
        <v>-0.58706939756179699</v>
      </c>
      <c r="AU43">
        <f t="shared" si="39"/>
        <v>0.38124732451051846</v>
      </c>
    </row>
    <row r="44" spans="1:47" x14ac:dyDescent="0.25">
      <c r="A44" s="17">
        <f>42/60</f>
        <v>0.7</v>
      </c>
      <c r="B44" s="24">
        <f>(360-Simulador!$B$7)+$A44*((540+Simulador!$B$8)-(360-Simulador!$B$7))</f>
        <v>515</v>
      </c>
      <c r="C44" s="24">
        <f t="shared" si="20"/>
        <v>0.4226182617406995</v>
      </c>
      <c r="D44" s="24">
        <f t="shared" si="21"/>
        <v>-0.90630778703664994</v>
      </c>
      <c r="E44" s="24">
        <f>(540+Simulador!$B$8)+$A44*((720-'Diagrama circular'!$B$9)-(540+Simulador!$B$8))</f>
        <v>674</v>
      </c>
      <c r="F44" s="24">
        <f t="shared" si="22"/>
        <v>-0.63301902429801304</v>
      </c>
      <c r="G44" s="24">
        <f t="shared" si="23"/>
        <v>0.61129936600391754</v>
      </c>
      <c r="H44" s="24">
        <f>(720-'Diagrama circular'!$B$9)+$A44*((720)-(720-'Diagrama circular'!$B$9))</f>
        <v>717</v>
      </c>
      <c r="I44" s="24">
        <f t="shared" si="24"/>
        <v>-4.6055641493791044E-2</v>
      </c>
      <c r="J44" s="24">
        <f t="shared" si="25"/>
        <v>0.87879399058402496</v>
      </c>
      <c r="K44" s="24">
        <f>(720)+$A44*((900-Simulador!$B$5)-(720))</f>
        <v>814.5</v>
      </c>
      <c r="L44" s="24">
        <f t="shared" si="26"/>
        <v>0.75765717363717722</v>
      </c>
      <c r="M44" s="24">
        <f t="shared" si="27"/>
        <v>-5.9628912753162261E-2</v>
      </c>
      <c r="N44" s="24">
        <f>(900-Simulador!$B$5)+$A44*((1080+Simulador!$B$6)-(900-Simulador!$B$5))</f>
        <v>1026.5</v>
      </c>
      <c r="O44" s="24">
        <f t="shared" si="28"/>
        <v>-0.51446839079501949</v>
      </c>
      <c r="P44" s="24">
        <f t="shared" si="29"/>
        <v>0.38068658352085794</v>
      </c>
      <c r="Q44" s="24">
        <f>(360-Simulador!$B$7)+$A44*((360+Simulador!$B$6)-(360-Simulador!$B$7))</f>
        <v>368</v>
      </c>
      <c r="R44" s="24">
        <f t="shared" si="30"/>
        <v>5.8452702403227481E-2</v>
      </c>
      <c r="S44" s="24">
        <f t="shared" si="31"/>
        <v>0.41591258887145954</v>
      </c>
      <c r="AN44">
        <f t="shared" si="32"/>
        <v>0.80901699437494745</v>
      </c>
      <c r="AO44">
        <f t="shared" si="33"/>
        <v>-0.58778525229247303</v>
      </c>
      <c r="AP44">
        <f t="shared" si="34"/>
        <v>-0.72811529493745286</v>
      </c>
      <c r="AQ44">
        <f t="shared" si="35"/>
        <v>0.5290067270632256</v>
      </c>
      <c r="AR44">
        <f t="shared" si="36"/>
        <v>0.64721359549995816</v>
      </c>
      <c r="AS44">
        <f t="shared" si="37"/>
        <v>-0.47022820183397834</v>
      </c>
      <c r="AT44">
        <f t="shared" si="38"/>
        <v>-0.56631189606246335</v>
      </c>
      <c r="AU44">
        <f t="shared" si="39"/>
        <v>0.41144967660473092</v>
      </c>
    </row>
    <row r="45" spans="1:47" x14ac:dyDescent="0.25">
      <c r="A45" s="17">
        <f>43/60</f>
        <v>0.71666666666666667</v>
      </c>
      <c r="B45" s="24">
        <f>(360-Simulador!$B$7)+$A45*((540+Simulador!$B$8)-(360-Simulador!$B$7))</f>
        <v>519.16666666666663</v>
      </c>
      <c r="C45" s="24">
        <f t="shared" si="20"/>
        <v>0.35565076181487731</v>
      </c>
      <c r="D45" s="24">
        <f t="shared" si="21"/>
        <v>-0.93461892534898816</v>
      </c>
      <c r="E45" s="24">
        <f>(540+Simulador!$B$8)+$A45*((720-'Diagrama circular'!$B$9)-(540+Simulador!$B$8))</f>
        <v>676</v>
      </c>
      <c r="F45" s="24">
        <f t="shared" si="22"/>
        <v>-0.61129936600391788</v>
      </c>
      <c r="G45" s="24">
        <f t="shared" si="23"/>
        <v>0.63301902429801271</v>
      </c>
      <c r="H45" s="24">
        <f>(720-'Diagrama circular'!$B$9)+$A45*((720)-(720-'Diagrama circular'!$B$9))</f>
        <v>717.16666666666663</v>
      </c>
      <c r="I45" s="24">
        <f t="shared" si="24"/>
        <v>-4.3499142149836661E-2</v>
      </c>
      <c r="J45" s="24">
        <f t="shared" si="25"/>
        <v>0.87892424282882775</v>
      </c>
      <c r="K45" s="24">
        <f>(720)+$A45*((900-Simulador!$B$5)-(720))</f>
        <v>816.75</v>
      </c>
      <c r="L45" s="24">
        <f t="shared" si="26"/>
        <v>0.75473202728574407</v>
      </c>
      <c r="M45" s="24">
        <f t="shared" si="27"/>
        <v>-8.9328422067956215E-2</v>
      </c>
      <c r="N45" s="24">
        <f>(900-Simulador!$B$5)+$A45*((1080+Simulador!$B$6)-(900-Simulador!$B$5))</f>
        <v>1030.5833333333333</v>
      </c>
      <c r="O45" s="24">
        <f t="shared" si="28"/>
        <v>-0.4860547697633838</v>
      </c>
      <c r="P45" s="24">
        <f t="shared" si="29"/>
        <v>0.41635412906594782</v>
      </c>
      <c r="Q45" s="24">
        <f>(360-Simulador!$B$7)+$A45*((360+Simulador!$B$6)-(360-Simulador!$B$7))</f>
        <v>368.66666666666669</v>
      </c>
      <c r="R45" s="24">
        <f t="shared" si="30"/>
        <v>6.3287999144783058E-2</v>
      </c>
      <c r="S45" s="24">
        <f t="shared" si="31"/>
        <v>0.41520432218878683</v>
      </c>
      <c r="AN45">
        <f t="shared" si="32"/>
        <v>0.77714596145697101</v>
      </c>
      <c r="AO45">
        <f t="shared" si="33"/>
        <v>-0.62932039104983728</v>
      </c>
      <c r="AP45">
        <f t="shared" si="34"/>
        <v>-0.6994313653112737</v>
      </c>
      <c r="AQ45">
        <f t="shared" si="35"/>
        <v>0.56638835194485382</v>
      </c>
      <c r="AR45">
        <f t="shared" si="36"/>
        <v>0.62171676916557672</v>
      </c>
      <c r="AS45">
        <f t="shared" si="37"/>
        <v>-0.50345631283986991</v>
      </c>
      <c r="AT45">
        <f t="shared" si="38"/>
        <v>-0.54400217301987963</v>
      </c>
      <c r="AU45">
        <f t="shared" si="39"/>
        <v>0.44052427373488606</v>
      </c>
    </row>
    <row r="46" spans="1:47" x14ac:dyDescent="0.25">
      <c r="A46" s="17">
        <f>44/60</f>
        <v>0.73333333333333328</v>
      </c>
      <c r="B46" s="24">
        <f>(360-Simulador!$B$7)+$A46*((540+Simulador!$B$8)-(360-Simulador!$B$7))</f>
        <v>523.33333333333326</v>
      </c>
      <c r="C46" s="24">
        <f t="shared" si="20"/>
        <v>0.28680323271109148</v>
      </c>
      <c r="D46" s="24">
        <f t="shared" si="21"/>
        <v>-0.95798951231548857</v>
      </c>
      <c r="E46" s="24">
        <f>(540+Simulador!$B$8)+$A46*((720-'Diagrama circular'!$B$9)-(540+Simulador!$B$8))</f>
        <v>678</v>
      </c>
      <c r="F46" s="24">
        <f t="shared" si="22"/>
        <v>-0.5888349335957952</v>
      </c>
      <c r="G46" s="24">
        <f t="shared" si="23"/>
        <v>0.65396744642010696</v>
      </c>
      <c r="H46" s="24">
        <f>(720-'Diagrama circular'!$B$9)+$A46*((720)-(720-'Diagrama circular'!$B$9))</f>
        <v>717.33333333333337</v>
      </c>
      <c r="I46" s="24">
        <f t="shared" si="24"/>
        <v>-4.0942274734016806E-2</v>
      </c>
      <c r="J46" s="24">
        <f t="shared" si="25"/>
        <v>0.87904705797790161</v>
      </c>
      <c r="K46" s="24">
        <f>(720)+$A46*((900-Simulador!$B$5)-(720))</f>
        <v>819</v>
      </c>
      <c r="L46" s="24">
        <f t="shared" si="26"/>
        <v>0.7506431388523046</v>
      </c>
      <c r="M46" s="24">
        <f t="shared" si="27"/>
        <v>-0.11889019343057589</v>
      </c>
      <c r="N46" s="24">
        <f>(900-Simulador!$B$5)+$A46*((1080+Simulador!$B$6)-(900-Simulador!$B$5))</f>
        <v>1034.6666666666667</v>
      </c>
      <c r="O46" s="24">
        <f t="shared" si="28"/>
        <v>-0.45517348608648717</v>
      </c>
      <c r="P46" s="24">
        <f t="shared" si="29"/>
        <v>0.44990787675242416</v>
      </c>
      <c r="Q46" s="24">
        <f>(360-Simulador!$B$7)+$A46*((360+Simulador!$B$6)-(360-Simulador!$B$7))</f>
        <v>369.33333333333331</v>
      </c>
      <c r="R46" s="24">
        <f t="shared" si="30"/>
        <v>6.8114727704338185E-2</v>
      </c>
      <c r="S46" s="24">
        <f t="shared" si="31"/>
        <v>0.41443984348728324</v>
      </c>
      <c r="AN46">
        <f t="shared" si="32"/>
        <v>0.74314482547739424</v>
      </c>
      <c r="AO46">
        <f t="shared" si="33"/>
        <v>-0.66913060635885824</v>
      </c>
      <c r="AP46">
        <f t="shared" si="34"/>
        <v>-0.66883034292965515</v>
      </c>
      <c r="AQ46">
        <f t="shared" si="35"/>
        <v>0.60221754572297204</v>
      </c>
      <c r="AR46">
        <f t="shared" si="36"/>
        <v>0.59451586038191528</v>
      </c>
      <c r="AS46">
        <f t="shared" si="37"/>
        <v>-0.53530448508708683</v>
      </c>
      <c r="AT46">
        <f t="shared" si="38"/>
        <v>-0.52020137783417586</v>
      </c>
      <c r="AU46">
        <f t="shared" si="39"/>
        <v>0.4683914244512008</v>
      </c>
    </row>
    <row r="47" spans="1:47" x14ac:dyDescent="0.25">
      <c r="A47" s="17">
        <f>45/60</f>
        <v>0.75</v>
      </c>
      <c r="B47" s="24">
        <f>(360-Simulador!$B$7)+$A47*((540+Simulador!$B$8)-(360-Simulador!$B$7))</f>
        <v>527.5</v>
      </c>
      <c r="C47" s="24">
        <f t="shared" si="20"/>
        <v>0.21643961393810274</v>
      </c>
      <c r="D47" s="24">
        <f t="shared" si="21"/>
        <v>-0.97629600711993336</v>
      </c>
      <c r="E47" s="24">
        <f>(540+Simulador!$B$8)+$A47*((720-'Diagrama circular'!$B$9)-(540+Simulador!$B$8))</f>
        <v>680</v>
      </c>
      <c r="F47" s="24">
        <f t="shared" si="22"/>
        <v>-0.56565309652415485</v>
      </c>
      <c r="G47" s="24">
        <f t="shared" si="23"/>
        <v>0.67411910994470048</v>
      </c>
      <c r="H47" s="24">
        <f>(720-'Diagrama circular'!$B$9)+$A47*((720)-(720-'Diagrama circular'!$B$9))</f>
        <v>717.5</v>
      </c>
      <c r="I47" s="24">
        <f t="shared" si="24"/>
        <v>-3.8385060881495854E-2</v>
      </c>
      <c r="J47" s="24">
        <f t="shared" si="25"/>
        <v>0.87916243499203484</v>
      </c>
      <c r="K47" s="24">
        <f>(720)+$A47*((900-Simulador!$B$5)-(720))</f>
        <v>821.25</v>
      </c>
      <c r="L47" s="24">
        <f t="shared" si="26"/>
        <v>0.74539681310645534</v>
      </c>
      <c r="M47" s="24">
        <f t="shared" si="27"/>
        <v>-0.14826864473225676</v>
      </c>
      <c r="N47" s="24">
        <f>(900-Simulador!$B$5)+$A47*((1080+Simulador!$B$6)-(900-Simulador!$B$5))</f>
        <v>1038.75</v>
      </c>
      <c r="O47" s="24">
        <f t="shared" si="28"/>
        <v>-0.42198132166404456</v>
      </c>
      <c r="P47" s="24">
        <f t="shared" si="29"/>
        <v>0.4811774767865451</v>
      </c>
      <c r="Q47" s="24">
        <f>(360-Simulador!$B$7)+$A47*((360+Simulador!$B$6)-(360-Simulador!$B$7))</f>
        <v>370</v>
      </c>
      <c r="R47" s="24">
        <f t="shared" si="30"/>
        <v>7.2932234620110739E-2</v>
      </c>
      <c r="S47" s="24">
        <f t="shared" si="31"/>
        <v>0.41361925626512736</v>
      </c>
      <c r="AN47">
        <f t="shared" si="32"/>
        <v>0.70710678118654757</v>
      </c>
      <c r="AO47">
        <f t="shared" si="33"/>
        <v>-0.70710678118654746</v>
      </c>
      <c r="AP47">
        <f t="shared" si="34"/>
        <v>-0.63639610306789296</v>
      </c>
      <c r="AQ47">
        <f t="shared" si="35"/>
        <v>0.63639610306789263</v>
      </c>
      <c r="AR47">
        <f t="shared" si="36"/>
        <v>0.56568542494923768</v>
      </c>
      <c r="AS47">
        <f t="shared" si="37"/>
        <v>-0.56568542494923835</v>
      </c>
      <c r="AT47">
        <f t="shared" si="38"/>
        <v>-0.49497474683058301</v>
      </c>
      <c r="AU47">
        <f t="shared" si="39"/>
        <v>0.4949747468305834</v>
      </c>
    </row>
    <row r="48" spans="1:47" x14ac:dyDescent="0.25">
      <c r="A48" s="17">
        <f>46/60</f>
        <v>0.76666666666666672</v>
      </c>
      <c r="B48" s="24">
        <f>(360-Simulador!$B$7)+$A48*((540+Simulador!$B$8)-(360-Simulador!$B$7))</f>
        <v>531.66666666666674</v>
      </c>
      <c r="C48" s="24">
        <f t="shared" si="20"/>
        <v>0.14493185930724567</v>
      </c>
      <c r="D48" s="24">
        <f t="shared" si="21"/>
        <v>-0.98944163858094469</v>
      </c>
      <c r="E48" s="24">
        <f>(540+Simulador!$B$8)+$A48*((720-'Diagrama circular'!$B$9)-(540+Simulador!$B$8))</f>
        <v>682</v>
      </c>
      <c r="F48" s="24">
        <f t="shared" si="22"/>
        <v>-0.54178209828657919</v>
      </c>
      <c r="G48" s="24">
        <f t="shared" si="23"/>
        <v>0.69344946317391543</v>
      </c>
      <c r="H48" s="24">
        <f>(720-'Diagrama circular'!$B$9)+$A48*((720)-(720-'Diagrama circular'!$B$9))</f>
        <v>717.66666666666663</v>
      </c>
      <c r="I48" s="24">
        <f t="shared" si="24"/>
        <v>-3.5827522230364922E-2</v>
      </c>
      <c r="J48" s="24">
        <f t="shared" si="25"/>
        <v>0.87927037289495469</v>
      </c>
      <c r="K48" s="24">
        <f>(720)+$A48*((900-Simulador!$B$5)-(720))</f>
        <v>823.5</v>
      </c>
      <c r="L48" s="24">
        <f t="shared" si="26"/>
        <v>0.73900113950223434</v>
      </c>
      <c r="M48" s="24">
        <f t="shared" si="27"/>
        <v>-0.17741847653048756</v>
      </c>
      <c r="N48" s="24">
        <f>(900-Simulador!$B$5)+$A48*((1080+Simulador!$B$6)-(900-Simulador!$B$5))</f>
        <v>1042.8333333333333</v>
      </c>
      <c r="O48" s="24">
        <f t="shared" si="28"/>
        <v>-0.38664679055939682</v>
      </c>
      <c r="P48" s="24">
        <f t="shared" si="29"/>
        <v>0.51000417581635338</v>
      </c>
      <c r="Q48" s="24">
        <f>(360-Simulador!$B$7)+$A48*((360+Simulador!$B$6)-(360-Simulador!$B$7))</f>
        <v>370.66666666666669</v>
      </c>
      <c r="R48" s="24">
        <f t="shared" si="30"/>
        <v>7.7739867678780258E-2</v>
      </c>
      <c r="S48" s="24">
        <f t="shared" si="31"/>
        <v>0.41274267161669353</v>
      </c>
      <c r="AN48">
        <f t="shared" si="32"/>
        <v>0.66913060635885835</v>
      </c>
      <c r="AO48">
        <f t="shared" si="33"/>
        <v>-0.74314482547739402</v>
      </c>
      <c r="AP48">
        <f t="shared" si="34"/>
        <v>-0.60221754572297237</v>
      </c>
      <c r="AQ48">
        <f t="shared" si="35"/>
        <v>0.66883034292965482</v>
      </c>
      <c r="AR48">
        <f t="shared" si="36"/>
        <v>0.53530448508708717</v>
      </c>
      <c r="AS48">
        <f t="shared" si="37"/>
        <v>-0.59451586038191484</v>
      </c>
      <c r="AT48">
        <f t="shared" si="38"/>
        <v>-0.4683914244512013</v>
      </c>
      <c r="AU48">
        <f t="shared" si="39"/>
        <v>0.52020137783417553</v>
      </c>
    </row>
    <row r="49" spans="1:47" x14ac:dyDescent="0.25">
      <c r="A49" s="17">
        <f>47/60</f>
        <v>0.78333333333333333</v>
      </c>
      <c r="B49" s="24">
        <f>(360-Simulador!$B$7)+$A49*((540+Simulador!$B$8)-(360-Simulador!$B$7))</f>
        <v>535.83333333333337</v>
      </c>
      <c r="C49" s="24">
        <f t="shared" si="20"/>
        <v>7.2657970722609905E-2</v>
      </c>
      <c r="D49" s="24">
        <f t="shared" si="21"/>
        <v>-0.99735691670057236</v>
      </c>
      <c r="E49" s="24">
        <f>(540+Simulador!$B$8)+$A49*((720-'Diagrama circular'!$B$9)-(540+Simulador!$B$8))</f>
        <v>684</v>
      </c>
      <c r="F49" s="24">
        <f t="shared" si="22"/>
        <v>-0.5172510220173766</v>
      </c>
      <c r="G49" s="24">
        <f t="shared" si="23"/>
        <v>0.71193495504995363</v>
      </c>
      <c r="H49" s="24">
        <f>(720-'Diagrama circular'!$B$9)+$A49*((720)-(720-'Diagrama circular'!$B$9))</f>
        <v>717.83333333333337</v>
      </c>
      <c r="I49" s="24">
        <f t="shared" si="24"/>
        <v>-3.3269680421463443E-2</v>
      </c>
      <c r="J49" s="24">
        <f t="shared" si="25"/>
        <v>0.87937087077333509</v>
      </c>
      <c r="K49" s="24">
        <f>(720)+$A49*((900-Simulador!$B$5)-(720))</f>
        <v>825.75</v>
      </c>
      <c r="L49" s="24">
        <f t="shared" si="26"/>
        <v>0.73146597970477201</v>
      </c>
      <c r="M49" s="24">
        <f t="shared" si="27"/>
        <v>-0.20629474189745603</v>
      </c>
      <c r="N49" s="24">
        <f>(900-Simulador!$B$5)+$A49*((1080+Simulador!$B$6)-(900-Simulador!$B$5))</f>
        <v>1046.9166666666667</v>
      </c>
      <c r="O49" s="24">
        <f t="shared" si="28"/>
        <v>-0.349349283466594</v>
      </c>
      <c r="P49" s="24">
        <f t="shared" si="29"/>
        <v>0.53624162291021149</v>
      </c>
      <c r="Q49" s="24">
        <f>(360-Simulador!$B$7)+$A49*((360+Simulador!$B$6)-(360-Simulador!$B$7))</f>
        <v>371.33333333333331</v>
      </c>
      <c r="R49" s="24">
        <f t="shared" si="30"/>
        <v>8.2536976003788509E-2</v>
      </c>
      <c r="S49" s="24">
        <f t="shared" si="31"/>
        <v>0.41181020821751135</v>
      </c>
      <c r="AN49">
        <f t="shared" si="32"/>
        <v>0.62932039104983739</v>
      </c>
      <c r="AO49">
        <f t="shared" si="33"/>
        <v>-0.7771459614569709</v>
      </c>
      <c r="AP49">
        <f t="shared" si="34"/>
        <v>-0.56638835194485404</v>
      </c>
      <c r="AQ49">
        <f t="shared" si="35"/>
        <v>0.69943136531127348</v>
      </c>
      <c r="AR49">
        <f t="shared" si="36"/>
        <v>0.50345631283987036</v>
      </c>
      <c r="AS49">
        <f t="shared" si="37"/>
        <v>-0.62171676916557639</v>
      </c>
      <c r="AT49">
        <f t="shared" si="38"/>
        <v>-0.44052427373488662</v>
      </c>
      <c r="AU49">
        <f t="shared" si="39"/>
        <v>0.54400217301987919</v>
      </c>
    </row>
    <row r="50" spans="1:47" x14ac:dyDescent="0.25">
      <c r="A50" s="17">
        <f>48/60</f>
        <v>0.8</v>
      </c>
      <c r="B50" s="24">
        <f>(360-Simulador!$B$7)+$A50*((540+Simulador!$B$8)-(360-Simulador!$B$7))</f>
        <v>540</v>
      </c>
      <c r="C50" s="24">
        <f t="shared" si="20"/>
        <v>1.22514845490862E-16</v>
      </c>
      <c r="D50" s="24">
        <f t="shared" si="21"/>
        <v>-1</v>
      </c>
      <c r="E50" s="24">
        <f>(540+Simulador!$B$8)+$A50*((720-'Diagrama circular'!$B$9)-(540+Simulador!$B$8))</f>
        <v>686</v>
      </c>
      <c r="F50" s="24">
        <f t="shared" si="22"/>
        <v>-0.49208975505425701</v>
      </c>
      <c r="G50" s="24">
        <f t="shared" si="23"/>
        <v>0.72955306384843688</v>
      </c>
      <c r="H50" s="24">
        <f>(720-'Diagrama circular'!$B$9)+$A50*((720)-(720-'Diagrama circular'!$B$9))</f>
        <v>718</v>
      </c>
      <c r="I50" s="24">
        <f t="shared" si="24"/>
        <v>-3.0711557098200726E-2</v>
      </c>
      <c r="J50" s="24">
        <f t="shared" si="25"/>
        <v>0.87946392777680427</v>
      </c>
      <c r="K50" s="24">
        <f>(720)+$A50*((900-Simulador!$B$5)-(720))</f>
        <v>828</v>
      </c>
      <c r="L50" s="24">
        <f t="shared" si="26"/>
        <v>0.7228029523843168</v>
      </c>
      <c r="M50" s="24">
        <f t="shared" si="27"/>
        <v>-0.23485291572495981</v>
      </c>
      <c r="N50" s="24">
        <f>(900-Simulador!$B$5)+$A50*((1080+Simulador!$B$6)-(900-Simulador!$B$5))</f>
        <v>1051</v>
      </c>
      <c r="O50" s="24">
        <f t="shared" si="28"/>
        <v>-0.31027815695765626</v>
      </c>
      <c r="P50" s="24">
        <f t="shared" si="29"/>
        <v>0.55975661256921305</v>
      </c>
      <c r="Q50" s="24">
        <f>(360-Simulador!$B$7)+$A50*((360+Simulador!$B$6)-(360-Simulador!$B$7))</f>
        <v>372</v>
      </c>
      <c r="R50" s="24">
        <f t="shared" si="30"/>
        <v>8.7322910143458915E-2</v>
      </c>
      <c r="S50" s="24">
        <f t="shared" si="31"/>
        <v>0.41082199230819838</v>
      </c>
      <c r="AN50">
        <f t="shared" si="32"/>
        <v>0.58778525229247325</v>
      </c>
      <c r="AO50">
        <f t="shared" si="33"/>
        <v>-0.80901699437494734</v>
      </c>
      <c r="AP50">
        <f t="shared" si="34"/>
        <v>-0.52900672706322605</v>
      </c>
      <c r="AQ50">
        <f t="shared" si="35"/>
        <v>0.72811529493745264</v>
      </c>
      <c r="AR50">
        <f t="shared" si="36"/>
        <v>0.47022820183397873</v>
      </c>
      <c r="AS50">
        <f t="shared" si="37"/>
        <v>-0.64721359549995783</v>
      </c>
      <c r="AT50">
        <f t="shared" si="38"/>
        <v>-0.41144967660473142</v>
      </c>
      <c r="AU50">
        <f t="shared" si="39"/>
        <v>0.56631189606246291</v>
      </c>
    </row>
    <row r="51" spans="1:47" x14ac:dyDescent="0.25">
      <c r="A51" s="17">
        <f>49/60</f>
        <v>0.81666666666666665</v>
      </c>
      <c r="B51" s="24">
        <f>(360-Simulador!$B$7)+$A51*((540+Simulador!$B$8)-(360-Simulador!$B$7))</f>
        <v>544.16666666666663</v>
      </c>
      <c r="C51" s="24">
        <f t="shared" si="20"/>
        <v>-7.2657970722610113E-2</v>
      </c>
      <c r="D51" s="24">
        <f t="shared" si="21"/>
        <v>-0.99735691670057236</v>
      </c>
      <c r="E51" s="24">
        <f>(540+Simulador!$B$8)+$A51*((720-'Diagrama circular'!$B$9)-(540+Simulador!$B$8))</f>
        <v>688</v>
      </c>
      <c r="F51" s="24">
        <f t="shared" si="22"/>
        <v>-0.46632895252522039</v>
      </c>
      <c r="G51" s="24">
        <f t="shared" si="23"/>
        <v>0.74628232461765487</v>
      </c>
      <c r="H51" s="24">
        <f>(720-'Diagrama circular'!$B$9)+$A51*((720)-(720-'Diagrama circular'!$B$9))</f>
        <v>718.16666666666663</v>
      </c>
      <c r="I51" s="24">
        <f t="shared" si="24"/>
        <v>-2.8153173906363439E-2</v>
      </c>
      <c r="J51" s="24">
        <f t="shared" si="25"/>
        <v>0.87954954311795197</v>
      </c>
      <c r="K51" s="24">
        <f>(720)+$A51*((900-Simulador!$B$5)-(720))</f>
        <v>830.25</v>
      </c>
      <c r="L51" s="24">
        <f t="shared" si="26"/>
        <v>0.71302541530108798</v>
      </c>
      <c r="M51" s="24">
        <f t="shared" si="27"/>
        <v>-0.26304896337889461</v>
      </c>
      <c r="N51" s="24">
        <f>(900-Simulador!$B$5)+$A51*((1080+Simulador!$B$6)-(900-Simulador!$B$5))</f>
        <v>1055.0833333333333</v>
      </c>
      <c r="O51" s="24">
        <f t="shared" si="28"/>
        <v>-0.26963177213382217</v>
      </c>
      <c r="P51" s="24">
        <f t="shared" si="29"/>
        <v>0.58042976100125554</v>
      </c>
      <c r="Q51" s="24">
        <f>(360-Simulador!$B$7)+$A51*((360+Simulador!$B$6)-(360-Simulador!$B$7))</f>
        <v>372.66666666666669</v>
      </c>
      <c r="R51" s="24">
        <f t="shared" si="30"/>
        <v>9.2097022158919517E-2</v>
      </c>
      <c r="S51" s="24">
        <f t="shared" si="31"/>
        <v>0.40977815767736997</v>
      </c>
      <c r="AN51">
        <f t="shared" si="32"/>
        <v>0.54463903501502731</v>
      </c>
      <c r="AO51">
        <f t="shared" si="33"/>
        <v>-0.83867056794542394</v>
      </c>
      <c r="AP51">
        <f t="shared" si="34"/>
        <v>-0.49017513151352426</v>
      </c>
      <c r="AQ51">
        <f t="shared" si="35"/>
        <v>0.75480351115088162</v>
      </c>
      <c r="AR51">
        <f t="shared" si="36"/>
        <v>0.43571122801202167</v>
      </c>
      <c r="AS51">
        <f t="shared" si="37"/>
        <v>-0.67093645435633931</v>
      </c>
      <c r="AT51">
        <f t="shared" si="38"/>
        <v>-0.38124732451051901</v>
      </c>
      <c r="AU51">
        <f t="shared" si="39"/>
        <v>0.58706939756179677</v>
      </c>
    </row>
    <row r="52" spans="1:47" x14ac:dyDescent="0.25">
      <c r="A52" s="17">
        <f>50/60</f>
        <v>0.83333333333333337</v>
      </c>
      <c r="B52" s="24">
        <f>(360-Simulador!$B$7)+$A52*((540+Simulador!$B$8)-(360-Simulador!$B$7))</f>
        <v>548.33333333333337</v>
      </c>
      <c r="C52" s="24">
        <f t="shared" si="20"/>
        <v>-0.14493185930724717</v>
      </c>
      <c r="D52" s="24">
        <f t="shared" si="21"/>
        <v>-0.98944163858094447</v>
      </c>
      <c r="E52" s="24">
        <f>(540+Simulador!$B$8)+$A52*((720-'Diagrama circular'!$B$9)-(540+Simulador!$B$8))</f>
        <v>690</v>
      </c>
      <c r="F52" s="24">
        <f t="shared" si="22"/>
        <v>-0.44000000000000039</v>
      </c>
      <c r="G52" s="24">
        <f t="shared" si="23"/>
        <v>0.76210235533030579</v>
      </c>
      <c r="H52" s="24">
        <f>(720-'Diagrama circular'!$B$9)+$A52*((720)-(720-'Diagrama circular'!$B$9))</f>
        <v>718.33333333333337</v>
      </c>
      <c r="I52" s="24">
        <f t="shared" si="24"/>
        <v>-2.5594552493937182E-2</v>
      </c>
      <c r="J52" s="24">
        <f t="shared" si="25"/>
        <v>0.87962771607233659</v>
      </c>
      <c r="K52" s="24">
        <f>(720)+$A52*((900-Simulador!$B$5)-(720))</f>
        <v>832.5</v>
      </c>
      <c r="L52" s="24">
        <f t="shared" si="26"/>
        <v>0.70214844470857796</v>
      </c>
      <c r="M52" s="24">
        <f t="shared" si="27"/>
        <v>-0.29083940859746832</v>
      </c>
      <c r="N52" s="24">
        <f>(900-Simulador!$B$5)+$A52*((1080+Simulador!$B$6)-(900-Simulador!$B$5))</f>
        <v>1059.1666666666667</v>
      </c>
      <c r="O52" s="24">
        <f t="shared" si="28"/>
        <v>-0.22761648756152009</v>
      </c>
      <c r="P52" s="24">
        <f t="shared" si="29"/>
        <v>0.59815611222335296</v>
      </c>
      <c r="Q52" s="24">
        <f>(360-Simulador!$B$7)+$A52*((360+Simulador!$B$6)-(360-Simulador!$B$7))</f>
        <v>373.33333333333331</v>
      </c>
      <c r="R52" s="24">
        <f t="shared" si="30"/>
        <v>9.6858665711824735E-2</v>
      </c>
      <c r="S52" s="24">
        <f t="shared" si="31"/>
        <v>0.40867884564352602</v>
      </c>
      <c r="AN52">
        <f t="shared" si="32"/>
        <v>0.49999999999999994</v>
      </c>
      <c r="AO52">
        <f t="shared" si="33"/>
        <v>-0.86602540378443871</v>
      </c>
      <c r="AP52">
        <f t="shared" si="34"/>
        <v>-0.4500000000000004</v>
      </c>
      <c r="AQ52">
        <f t="shared" si="35"/>
        <v>0.77942286340599454</v>
      </c>
      <c r="AR52">
        <f t="shared" si="36"/>
        <v>0.39999999999999986</v>
      </c>
      <c r="AS52">
        <f t="shared" si="37"/>
        <v>-0.69282032302755114</v>
      </c>
      <c r="AT52">
        <f t="shared" si="38"/>
        <v>-0.34999999999999992</v>
      </c>
      <c r="AU52">
        <f t="shared" si="39"/>
        <v>0.60621778264910708</v>
      </c>
    </row>
    <row r="53" spans="1:47" x14ac:dyDescent="0.25">
      <c r="A53" s="17">
        <f>51/60</f>
        <v>0.85</v>
      </c>
      <c r="B53" s="24">
        <f>(360-Simulador!$B$7)+$A53*((540+Simulador!$B$8)-(360-Simulador!$B$7))</f>
        <v>552.5</v>
      </c>
      <c r="C53" s="24">
        <f t="shared" si="20"/>
        <v>-0.21643961393810293</v>
      </c>
      <c r="D53" s="24">
        <f t="shared" si="21"/>
        <v>-0.97629600711993336</v>
      </c>
      <c r="E53" s="24">
        <f>(540+Simulador!$B$8)+$A53*((720-'Diagrama circular'!$B$9)-(540+Simulador!$B$8))</f>
        <v>692</v>
      </c>
      <c r="F53" s="24">
        <f t="shared" si="22"/>
        <v>-0.41313497525158394</v>
      </c>
      <c r="G53" s="24">
        <f t="shared" si="23"/>
        <v>0.77699388171585571</v>
      </c>
      <c r="H53" s="24">
        <f>(720-'Diagrama circular'!$B$9)+$A53*((720)-(720-'Diagrama circular'!$B$9))</f>
        <v>718.5</v>
      </c>
      <c r="I53" s="24">
        <f t="shared" si="24"/>
        <v>-2.3035714510928718E-2</v>
      </c>
      <c r="J53" s="24">
        <f t="shared" si="25"/>
        <v>0.87969844597849034</v>
      </c>
      <c r="K53" s="24">
        <f>(720)+$A53*((900-Simulador!$B$5)-(720))</f>
        <v>834.75</v>
      </c>
      <c r="L53" s="24">
        <f t="shared" si="26"/>
        <v>0.69018881210706162</v>
      </c>
      <c r="M53" s="24">
        <f t="shared" si="27"/>
        <v>-0.31818140052844562</v>
      </c>
      <c r="N53" s="24">
        <f>(900-Simulador!$B$5)+$A53*((1080+Simulador!$B$6)-(900-Simulador!$B$5))</f>
        <v>1063.25</v>
      </c>
      <c r="O53" s="24">
        <f t="shared" si="28"/>
        <v>-0.18444561160581774</v>
      </c>
      <c r="P53" s="24">
        <f t="shared" si="29"/>
        <v>0.61284567091508113</v>
      </c>
      <c r="Q53" s="24">
        <f>(360-Simulador!$B$7)+$A53*((360+Simulador!$B$6)-(360-Simulador!$B$7))</f>
        <v>374</v>
      </c>
      <c r="R53" s="24">
        <f t="shared" si="30"/>
        <v>0.10160719615186044</v>
      </c>
      <c r="S53" s="24">
        <f t="shared" si="31"/>
        <v>0.40752420503591852</v>
      </c>
      <c r="AN53">
        <f t="shared" si="32"/>
        <v>0.45399049973954686</v>
      </c>
      <c r="AO53">
        <f t="shared" si="33"/>
        <v>-0.89100652418836779</v>
      </c>
      <c r="AP53">
        <f t="shared" si="34"/>
        <v>-0.40859144976559231</v>
      </c>
      <c r="AQ53">
        <f t="shared" si="35"/>
        <v>0.80190587176953099</v>
      </c>
      <c r="AR53">
        <f t="shared" si="36"/>
        <v>0.36319239979163709</v>
      </c>
      <c r="AS53">
        <f t="shared" si="37"/>
        <v>-0.71280521935069452</v>
      </c>
      <c r="AT53">
        <f t="shared" si="38"/>
        <v>-0.31779334981768248</v>
      </c>
      <c r="AU53">
        <f t="shared" si="39"/>
        <v>0.62370456693185761</v>
      </c>
    </row>
    <row r="54" spans="1:47" x14ac:dyDescent="0.25">
      <c r="A54" s="17">
        <f>52/60</f>
        <v>0.8666666666666667</v>
      </c>
      <c r="B54" s="24">
        <f>(360-Simulador!$B$7)+$A54*((540+Simulador!$B$8)-(360-Simulador!$B$7))</f>
        <v>556.66666666666674</v>
      </c>
      <c r="C54" s="24">
        <f t="shared" si="20"/>
        <v>-0.28680323271109165</v>
      </c>
      <c r="D54" s="24">
        <f t="shared" si="21"/>
        <v>-0.95798951231548846</v>
      </c>
      <c r="E54" s="24">
        <f>(540+Simulador!$B$8)+$A54*((720-'Diagrama circular'!$B$9)-(540+Simulador!$B$8))</f>
        <v>694</v>
      </c>
      <c r="F54" s="24">
        <f t="shared" si="22"/>
        <v>-0.38576660917438849</v>
      </c>
      <c r="G54" s="24">
        <f t="shared" si="23"/>
        <v>0.79093876074326686</v>
      </c>
      <c r="H54" s="24">
        <f>(720-'Diagrama circular'!$B$9)+$A54*((720)-(720-'Diagrama circular'!$B$9))</f>
        <v>718.66666666666663</v>
      </c>
      <c r="I54" s="24">
        <f t="shared" si="24"/>
        <v>-2.0476681609170329E-2</v>
      </c>
      <c r="J54" s="24">
        <f t="shared" si="25"/>
        <v>0.87976173223792631</v>
      </c>
      <c r="K54" s="24">
        <f>(720)+$A54*((900-Simulador!$B$5)-(720))</f>
        <v>837</v>
      </c>
      <c r="L54" s="24">
        <f t="shared" si="26"/>
        <v>0.67716495838315938</v>
      </c>
      <c r="M54" s="24">
        <f t="shared" si="27"/>
        <v>-0.34503277980205593</v>
      </c>
      <c r="N54" s="24">
        <f>(900-Simulador!$B$5)+$A54*((1080+Simulador!$B$6)-(900-Simulador!$B$5))</f>
        <v>1067.3333333333333</v>
      </c>
      <c r="O54" s="24">
        <f t="shared" si="28"/>
        <v>-0.14033831948025907</v>
      </c>
      <c r="P54" s="24">
        <f t="shared" si="29"/>
        <v>0.6244238593178969</v>
      </c>
      <c r="Q54" s="24">
        <f>(360-Simulador!$B$7)+$A54*((360+Simulador!$B$6)-(360-Simulador!$B$7))</f>
        <v>374.66666666666669</v>
      </c>
      <c r="R54" s="24">
        <f t="shared" si="30"/>
        <v>0.10634197060401684</v>
      </c>
      <c r="S54" s="24">
        <f t="shared" si="31"/>
        <v>0.40631439217440285</v>
      </c>
      <c r="AN54">
        <f t="shared" si="32"/>
        <v>0.40673664307580043</v>
      </c>
      <c r="AO54">
        <f t="shared" si="33"/>
        <v>-0.91354545764260076</v>
      </c>
      <c r="AP54">
        <f t="shared" si="34"/>
        <v>-0.36606297876822014</v>
      </c>
      <c r="AQ54">
        <f t="shared" si="35"/>
        <v>0.82219091187834092</v>
      </c>
      <c r="AR54">
        <f t="shared" si="36"/>
        <v>0.3253893144606409</v>
      </c>
      <c r="AS54">
        <f t="shared" si="37"/>
        <v>-0.73083636611408043</v>
      </c>
      <c r="AT54">
        <f t="shared" si="38"/>
        <v>-0.28471565015306083</v>
      </c>
      <c r="AU54">
        <f t="shared" si="39"/>
        <v>0.63948182034982026</v>
      </c>
    </row>
    <row r="55" spans="1:47" x14ac:dyDescent="0.25">
      <c r="A55" s="17">
        <f>53/60</f>
        <v>0.8833333333333333</v>
      </c>
      <c r="B55" s="24">
        <f>(360-Simulador!$B$7)+$A55*((540+Simulador!$B$8)-(360-Simulador!$B$7))</f>
        <v>560.83333333333326</v>
      </c>
      <c r="C55" s="24">
        <f t="shared" si="20"/>
        <v>-0.35565076181487504</v>
      </c>
      <c r="D55" s="24">
        <f t="shared" si="21"/>
        <v>-0.93461892534898894</v>
      </c>
      <c r="E55" s="24">
        <f>(540+Simulador!$B$8)+$A55*((720-'Diagrama circular'!$B$9)-(540+Simulador!$B$8))</f>
        <v>696</v>
      </c>
      <c r="F55" s="24">
        <f t="shared" si="22"/>
        <v>-0.35792824590670413</v>
      </c>
      <c r="G55" s="24">
        <f t="shared" si="23"/>
        <v>0.80392000272548891</v>
      </c>
      <c r="H55" s="24">
        <f>(720-'Diagrama circular'!$B$9)+$A55*((720)-(720-'Diagrama circular'!$B$9))</f>
        <v>718.83333333333337</v>
      </c>
      <c r="I55" s="24">
        <f t="shared" si="24"/>
        <v>-1.791747544214595E-2</v>
      </c>
      <c r="J55" s="24">
        <f t="shared" si="25"/>
        <v>0.87981757431514185</v>
      </c>
      <c r="K55" s="24">
        <f>(720)+$A55*((900-Simulador!$B$5)-(720))</f>
        <v>839.25</v>
      </c>
      <c r="L55" s="24">
        <f t="shared" si="26"/>
        <v>0.66309696537532625</v>
      </c>
      <c r="M55" s="24">
        <f t="shared" si="27"/>
        <v>-0.37135214353768509</v>
      </c>
      <c r="N55" s="24">
        <f>(900-Simulador!$B$5)+$A55*((1080+Simulador!$B$6)-(900-Simulador!$B$5))</f>
        <v>1071.4166666666667</v>
      </c>
      <c r="O55" s="24">
        <f t="shared" si="28"/>
        <v>-9.551854051119181E-2</v>
      </c>
      <c r="P55" s="24">
        <f t="shared" si="29"/>
        <v>0.63283189586067157</v>
      </c>
      <c r="Q55" s="24">
        <f>(360-Simulador!$B$7)+$A55*((360+Simulador!$B$6)-(360-Simulador!$B$7))</f>
        <v>375.33333333333331</v>
      </c>
      <c r="R55" s="24">
        <f t="shared" si="30"/>
        <v>0.11106234805562482</v>
      </c>
      <c r="S55" s="24">
        <f t="shared" si="31"/>
        <v>0.40504957084827437</v>
      </c>
      <c r="AN55">
        <f t="shared" si="32"/>
        <v>0.35836794954530021</v>
      </c>
      <c r="AO55">
        <f t="shared" si="33"/>
        <v>-0.93358042649720174</v>
      </c>
      <c r="AP55">
        <f t="shared" si="34"/>
        <v>-0.3225311545907707</v>
      </c>
      <c r="AQ55">
        <f t="shared" si="35"/>
        <v>0.84022238384748138</v>
      </c>
      <c r="AR55">
        <f t="shared" si="36"/>
        <v>0.28669435963624074</v>
      </c>
      <c r="AS55">
        <f t="shared" si="37"/>
        <v>-0.74686434119776124</v>
      </c>
      <c r="AT55">
        <f t="shared" si="38"/>
        <v>-0.25085756468171067</v>
      </c>
      <c r="AU55">
        <f t="shared" si="39"/>
        <v>0.65350629854804099</v>
      </c>
    </row>
    <row r="56" spans="1:47" x14ac:dyDescent="0.25">
      <c r="A56" s="17">
        <f>54/60</f>
        <v>0.9</v>
      </c>
      <c r="B56" s="24">
        <f>(360-Simulador!$B$7)+$A56*((540+Simulador!$B$8)-(360-Simulador!$B$7))</f>
        <v>565</v>
      </c>
      <c r="C56" s="24">
        <f t="shared" si="20"/>
        <v>-0.42261826174069927</v>
      </c>
      <c r="D56" s="24">
        <f t="shared" si="21"/>
        <v>-0.90630778703665005</v>
      </c>
      <c r="E56" s="24">
        <f>(540+Simulador!$B$8)+$A56*((720-'Diagrama circular'!$B$9)-(540+Simulador!$B$8))</f>
        <v>698</v>
      </c>
      <c r="F56" s="24">
        <f t="shared" si="22"/>
        <v>-0.32965380220600288</v>
      </c>
      <c r="G56" s="24">
        <f t="shared" si="23"/>
        <v>0.8159217920187728</v>
      </c>
      <c r="H56" s="24">
        <f>(720-'Diagrama circular'!$B$9)+$A56*((720)-(720-'Diagrama circular'!$B$9))</f>
        <v>719</v>
      </c>
      <c r="I56" s="24">
        <f t="shared" si="24"/>
        <v>-1.5358117664809533E-2</v>
      </c>
      <c r="J56" s="24">
        <f t="shared" si="25"/>
        <v>0.87986597173762437</v>
      </c>
      <c r="K56" s="24">
        <f>(720)+$A56*((900-Simulador!$B$5)-(720))</f>
        <v>841.5</v>
      </c>
      <c r="L56" s="24">
        <f t="shared" si="26"/>
        <v>0.64800652490911037</v>
      </c>
      <c r="M56" s="24">
        <f t="shared" si="27"/>
        <v>-0.39709890918412066</v>
      </c>
      <c r="N56" s="24">
        <f>(900-Simulador!$B$5)+$A56*((1080+Simulador!$B$6)-(900-Simulador!$B$5))</f>
        <v>1075.5</v>
      </c>
      <c r="O56" s="24">
        <f t="shared" si="28"/>
        <v>-5.0213821265821357E-2</v>
      </c>
      <c r="P56" s="24">
        <f t="shared" si="29"/>
        <v>0.63802709358920184</v>
      </c>
      <c r="Q56" s="24">
        <f>(360-Simulador!$B$7)+$A56*((360+Simulador!$B$6)-(360-Simulador!$B$7))</f>
        <v>376</v>
      </c>
      <c r="R56" s="24">
        <f t="shared" si="30"/>
        <v>0.11576768944313964</v>
      </c>
      <c r="S56" s="24">
        <f t="shared" si="31"/>
        <v>0.40372991229409394</v>
      </c>
      <c r="AN56">
        <f t="shared" si="32"/>
        <v>0.30901699437494751</v>
      </c>
      <c r="AO56">
        <f t="shared" si="33"/>
        <v>-0.95105651629515353</v>
      </c>
      <c r="AP56">
        <f t="shared" si="34"/>
        <v>-0.27811529493745285</v>
      </c>
      <c r="AQ56">
        <f t="shared" si="35"/>
        <v>0.85595086466563819</v>
      </c>
      <c r="AR56">
        <f t="shared" si="36"/>
        <v>0.24721359549995825</v>
      </c>
      <c r="AS56">
        <f t="shared" si="37"/>
        <v>-0.76084521303612274</v>
      </c>
      <c r="AT56">
        <f t="shared" si="38"/>
        <v>-0.21631189606246351</v>
      </c>
      <c r="AU56">
        <f t="shared" si="39"/>
        <v>0.66573956140660739</v>
      </c>
    </row>
    <row r="57" spans="1:47" x14ac:dyDescent="0.25">
      <c r="A57" s="17">
        <f>55/60</f>
        <v>0.91666666666666663</v>
      </c>
      <c r="B57" s="24">
        <f>(360-Simulador!$B$7)+$A57*((540+Simulador!$B$8)-(360-Simulador!$B$7))</f>
        <v>569.16666666666663</v>
      </c>
      <c r="C57" s="24">
        <f t="shared" si="20"/>
        <v>-0.48735173112724184</v>
      </c>
      <c r="D57" s="24">
        <f t="shared" si="21"/>
        <v>-0.87320575477219609</v>
      </c>
      <c r="E57" s="24">
        <f>(540+Simulador!$B$8)+$A57*((720-'Diagrama circular'!$B$9)-(540+Simulador!$B$8))</f>
        <v>700</v>
      </c>
      <c r="F57" s="24">
        <f t="shared" si="22"/>
        <v>-0.30097772612658835</v>
      </c>
      <c r="G57" s="24">
        <f t="shared" si="23"/>
        <v>0.82692950629159945</v>
      </c>
      <c r="H57" s="24">
        <f>(720-'Diagrama circular'!$B$9)+$A57*((720)-(720-'Diagrama circular'!$B$9))</f>
        <v>719.16666666666663</v>
      </c>
      <c r="I57" s="24">
        <f t="shared" si="24"/>
        <v>-1.27986299333932E-2</v>
      </c>
      <c r="J57" s="24">
        <f t="shared" si="25"/>
        <v>0.87990692409585458</v>
      </c>
      <c r="K57" s="24">
        <f>(720)+$A57*((900-Simulador!$B$5)-(720))</f>
        <v>843.75</v>
      </c>
      <c r="L57" s="24">
        <f t="shared" si="26"/>
        <v>0.63191690534993461</v>
      </c>
      <c r="M57" s="24">
        <f t="shared" si="27"/>
        <v>-0.42223337709489733</v>
      </c>
      <c r="N57" s="24">
        <f>(900-Simulador!$B$5)+$A57*((1080+Simulador!$B$6)-(900-Simulador!$B$5))</f>
        <v>1079.5833333333333</v>
      </c>
      <c r="O57" s="24">
        <f t="shared" si="28"/>
        <v>-4.6541703157908206E-3</v>
      </c>
      <c r="P57" s="24">
        <f t="shared" si="29"/>
        <v>0.63998307688459355</v>
      </c>
      <c r="Q57" s="24">
        <f>(360-Simulador!$B$7)+$A57*((360+Simulador!$B$6)-(360-Simulador!$B$7))</f>
        <v>376.66666666666669</v>
      </c>
      <c r="R57" s="24">
        <f t="shared" si="30"/>
        <v>0.12045735773865802</v>
      </c>
      <c r="S57" s="24">
        <f t="shared" si="31"/>
        <v>0.4023555951725053</v>
      </c>
      <c r="AN57">
        <f t="shared" si="32"/>
        <v>0.25881904510252102</v>
      </c>
      <c r="AO57">
        <f t="shared" si="33"/>
        <v>-0.9659258262890682</v>
      </c>
      <c r="AP57">
        <f t="shared" si="34"/>
        <v>-0.23293714059226861</v>
      </c>
      <c r="AQ57">
        <f t="shared" si="35"/>
        <v>0.86933324366016151</v>
      </c>
      <c r="AR57">
        <f t="shared" si="36"/>
        <v>0.20705523608201665</v>
      </c>
      <c r="AS57">
        <f t="shared" si="37"/>
        <v>-0.77274066103125472</v>
      </c>
      <c r="AT57">
        <f t="shared" si="38"/>
        <v>-0.18117333157176466</v>
      </c>
      <c r="AU57">
        <f t="shared" si="39"/>
        <v>0.6761480784023477</v>
      </c>
    </row>
    <row r="58" spans="1:47" x14ac:dyDescent="0.25">
      <c r="A58" s="17">
        <f>56/60</f>
        <v>0.93333333333333335</v>
      </c>
      <c r="B58" s="24">
        <f>(360-Simulador!$B$7)+$A58*((540+Simulador!$B$8)-(360-Simulador!$B$7))</f>
        <v>573.33333333333337</v>
      </c>
      <c r="C58" s="24">
        <f t="shared" si="20"/>
        <v>-0.54950897807080634</v>
      </c>
      <c r="D58" s="24">
        <f t="shared" si="21"/>
        <v>-0.83548781141293627</v>
      </c>
      <c r="E58" s="24">
        <f>(540+Simulador!$B$8)+$A58*((720-'Diagrama circular'!$B$9)-(540+Simulador!$B$8))</f>
        <v>702</v>
      </c>
      <c r="F58" s="24">
        <f t="shared" si="22"/>
        <v>-0.27193495504995391</v>
      </c>
      <c r="G58" s="24">
        <f t="shared" si="23"/>
        <v>0.83692973433973517</v>
      </c>
      <c r="H58" s="24">
        <f>(720-'Diagrama circular'!$B$9)+$A58*((720)-(720-'Diagrama circular'!$B$9))</f>
        <v>719.33333333333337</v>
      </c>
      <c r="I58" s="24">
        <f t="shared" si="24"/>
        <v>-1.023903390522869E-2</v>
      </c>
      <c r="J58" s="24">
        <f t="shared" si="25"/>
        <v>0.87994043104331077</v>
      </c>
      <c r="K58" s="24">
        <f>(720)+$A58*((900-Simulador!$B$5)-(720))</f>
        <v>846</v>
      </c>
      <c r="L58" s="24">
        <f t="shared" si="26"/>
        <v>0.61485291572496026</v>
      </c>
      <c r="M58" s="24">
        <f t="shared" si="27"/>
        <v>-0.44671679174227941</v>
      </c>
      <c r="N58" s="24">
        <f>(900-Simulador!$B$5)+$A58*((1080+Simulador!$B$6)-(900-Simulador!$B$5))</f>
        <v>1083.6666666666667</v>
      </c>
      <c r="O58" s="24">
        <f t="shared" si="28"/>
        <v>4.092910949861573E-2</v>
      </c>
      <c r="P58" s="24">
        <f t="shared" si="29"/>
        <v>0.63868991537024467</v>
      </c>
      <c r="Q58" s="24">
        <f>(360-Simulador!$B$7)+$A58*((360+Simulador!$B$6)-(360-Simulador!$B$7))</f>
        <v>377.33333333333331</v>
      </c>
      <c r="R58" s="24">
        <f t="shared" si="30"/>
        <v>0.1251307180361623</v>
      </c>
      <c r="S58" s="24">
        <f t="shared" si="31"/>
        <v>0.40092680554404742</v>
      </c>
      <c r="AN58">
        <f t="shared" si="32"/>
        <v>0.20791169081775931</v>
      </c>
      <c r="AO58">
        <f t="shared" si="33"/>
        <v>-0.97814760073380569</v>
      </c>
      <c r="AP58">
        <f t="shared" si="34"/>
        <v>-0.1871205217359839</v>
      </c>
      <c r="AQ58">
        <f t="shared" si="35"/>
        <v>0.88033284066042505</v>
      </c>
      <c r="AR58">
        <f t="shared" si="36"/>
        <v>0.16632935265420731</v>
      </c>
      <c r="AS58">
        <f t="shared" si="37"/>
        <v>-0.78251808058704464</v>
      </c>
      <c r="AT58">
        <f t="shared" si="38"/>
        <v>-0.14553818357243145</v>
      </c>
      <c r="AU58">
        <f t="shared" si="39"/>
        <v>0.68470332051366389</v>
      </c>
    </row>
    <row r="59" spans="1:47" x14ac:dyDescent="0.25">
      <c r="A59" s="17">
        <f>57/60</f>
        <v>0.95</v>
      </c>
      <c r="B59" s="24">
        <f>(360-Simulador!$B$7)+$A59*((540+Simulador!$B$8)-(360-Simulador!$B$7))</f>
        <v>577.5</v>
      </c>
      <c r="C59" s="24">
        <f t="shared" si="20"/>
        <v>-0.60876142900872066</v>
      </c>
      <c r="D59" s="24">
        <f t="shared" si="21"/>
        <v>-0.79335334029123517</v>
      </c>
      <c r="E59" s="24">
        <f>(540+Simulador!$B$8)+$A59*((720-'Diagrama circular'!$B$9)-(540+Simulador!$B$8))</f>
        <v>704</v>
      </c>
      <c r="F59" s="24">
        <f t="shared" si="22"/>
        <v>-0.24256087311895907</v>
      </c>
      <c r="G59" s="24">
        <f t="shared" si="23"/>
        <v>0.84591029242572058</v>
      </c>
      <c r="H59" s="24">
        <f>(720-'Diagrama circular'!$B$9)+$A59*((720)-(720-'Diagrama circular'!$B$9))</f>
        <v>719.5</v>
      </c>
      <c r="I59" s="24">
        <f t="shared" si="24"/>
        <v>-7.6793512385688002E-3</v>
      </c>
      <c r="J59" s="24">
        <f t="shared" si="25"/>
        <v>0.87996649229647073</v>
      </c>
      <c r="K59" s="24">
        <f>(720)+$A59*((900-Simulador!$B$5)-(720))</f>
        <v>848.25</v>
      </c>
      <c r="L59" s="24">
        <f t="shared" si="26"/>
        <v>0.59684086746936615</v>
      </c>
      <c r="M59" s="24">
        <f t="shared" si="27"/>
        <v>-0.47051140147547371</v>
      </c>
      <c r="N59" s="24">
        <f>(900-Simulador!$B$5)+$A59*((1080+Simulador!$B$6)-(900-Simulador!$B$5))</f>
        <v>1087.75</v>
      </c>
      <c r="O59" s="24">
        <f t="shared" si="28"/>
        <v>8.6304595375182147E-2</v>
      </c>
      <c r="P59" s="24">
        <f t="shared" si="29"/>
        <v>0.63415417432760468</v>
      </c>
      <c r="Q59" s="24">
        <f>(360-Simulador!$B$7)+$A59*((360+Simulador!$B$6)-(360-Simulador!$B$7))</f>
        <v>378</v>
      </c>
      <c r="R59" s="24">
        <f t="shared" si="30"/>
        <v>0.1297871376374779</v>
      </c>
      <c r="S59" s="24">
        <f t="shared" si="31"/>
        <v>0.39944373684396445</v>
      </c>
      <c r="AN59">
        <f t="shared" si="32"/>
        <v>0.15643446504023098</v>
      </c>
      <c r="AO59">
        <f t="shared" si="33"/>
        <v>-0.98768834059513766</v>
      </c>
      <c r="AP59">
        <f t="shared" si="34"/>
        <v>-0.14079101853620801</v>
      </c>
      <c r="AQ59">
        <f t="shared" si="35"/>
        <v>0.8889195065356239</v>
      </c>
      <c r="AR59">
        <f t="shared" si="36"/>
        <v>0.12514757203218427</v>
      </c>
      <c r="AS59">
        <f t="shared" si="37"/>
        <v>-0.79015067247611026</v>
      </c>
      <c r="AT59">
        <f t="shared" si="38"/>
        <v>-0.10950412552816133</v>
      </c>
      <c r="AU59">
        <f t="shared" si="39"/>
        <v>0.69138183841659639</v>
      </c>
    </row>
    <row r="60" spans="1:47" x14ac:dyDescent="0.25">
      <c r="A60" s="17">
        <f>58/60</f>
        <v>0.96666666666666667</v>
      </c>
      <c r="B60" s="24">
        <f>(360-Simulador!$B$7)+$A60*((540+Simulador!$B$8)-(360-Simulador!$B$7))</f>
        <v>581.66666666666663</v>
      </c>
      <c r="C60" s="24">
        <f t="shared" si="20"/>
        <v>-0.66479586561393722</v>
      </c>
      <c r="D60" s="24">
        <f t="shared" si="21"/>
        <v>-0.74702507124099649</v>
      </c>
      <c r="E60" s="24">
        <f>(540+Simulador!$B$8)+$A60*((720-'Diagrama circular'!$B$9)-(540+Simulador!$B$8))</f>
        <v>706</v>
      </c>
      <c r="F60" s="24">
        <f t="shared" si="22"/>
        <v>-0.21289126812770773</v>
      </c>
      <c r="G60" s="24">
        <f t="shared" si="23"/>
        <v>0.8538602391228769</v>
      </c>
      <c r="H60" s="24">
        <f>(720-'Diagrama circular'!$B$9)+$A60*((720)-(720-'Diagrama circular'!$B$9))</f>
        <v>719.66666666666663</v>
      </c>
      <c r="I60" s="24">
        <f t="shared" si="24"/>
        <v>-5.1196035923955132E-3</v>
      </c>
      <c r="J60" s="24">
        <f t="shared" si="25"/>
        <v>0.87998510763481497</v>
      </c>
      <c r="K60" s="24">
        <f>(720)+$A60*((900-Simulador!$B$5)-(720))</f>
        <v>850.5</v>
      </c>
      <c r="L60" s="24">
        <f t="shared" si="26"/>
        <v>0.57790853385602348</v>
      </c>
      <c r="M60" s="24">
        <f t="shared" si="27"/>
        <v>-0.49358051673093967</v>
      </c>
      <c r="N60" s="24">
        <f>(900-Simulador!$B$5)+$A60*((1080+Simulador!$B$6)-(900-Simulador!$B$5))</f>
        <v>1091.8333333333333</v>
      </c>
      <c r="O60" s="24">
        <f t="shared" si="28"/>
        <v>0.13124191946552705</v>
      </c>
      <c r="P60" s="24">
        <f t="shared" si="29"/>
        <v>0.6263988813647452</v>
      </c>
      <c r="Q60" s="24">
        <f>(360-Simulador!$B$7)+$A60*((360+Simulador!$B$6)-(360-Simulador!$B$7))</f>
        <v>378.66666666666669</v>
      </c>
      <c r="R60" s="24">
        <f t="shared" si="30"/>
        <v>0.13442598613792819</v>
      </c>
      <c r="S60" s="24">
        <f t="shared" si="31"/>
        <v>0.39790658985601823</v>
      </c>
      <c r="AN60">
        <f t="shared" si="32"/>
        <v>0.10452846326765373</v>
      </c>
      <c r="AO60">
        <f t="shared" si="33"/>
        <v>-0.99452189536827329</v>
      </c>
      <c r="AP60">
        <f t="shared" si="34"/>
        <v>-9.4075616940888077E-2</v>
      </c>
      <c r="AQ60">
        <f t="shared" si="35"/>
        <v>0.89506970583144596</v>
      </c>
      <c r="AR60">
        <f t="shared" si="36"/>
        <v>8.3622770614123543E-2</v>
      </c>
      <c r="AS60">
        <f t="shared" si="37"/>
        <v>-0.79561751629461863</v>
      </c>
      <c r="AT60">
        <f t="shared" si="38"/>
        <v>-7.3169924287358176E-2</v>
      </c>
      <c r="AU60">
        <f t="shared" si="39"/>
        <v>0.69616532675779119</v>
      </c>
    </row>
    <row r="61" spans="1:47" x14ac:dyDescent="0.25">
      <c r="A61" s="17">
        <f>59/60</f>
        <v>0.98333333333333328</v>
      </c>
      <c r="B61" s="24">
        <f>(360-Simulador!$B$7)+$A61*((540+Simulador!$B$8)-(360-Simulador!$B$7))</f>
        <v>585.83333333333326</v>
      </c>
      <c r="C61" s="24">
        <f t="shared" si="20"/>
        <v>-0.71731608051928863</v>
      </c>
      <c r="D61" s="24">
        <f t="shared" si="21"/>
        <v>-0.69674790321065594</v>
      </c>
      <c r="E61" s="24">
        <f>(540+Simulador!$B$8)+$A61*((720-'Diagrama circular'!$B$9)-(540+Simulador!$B$8))</f>
        <v>708</v>
      </c>
      <c r="F61" s="24">
        <f t="shared" si="22"/>
        <v>-0.18296228791962868</v>
      </c>
      <c r="G61" s="24">
        <f t="shared" si="23"/>
        <v>0.86076988864574888</v>
      </c>
      <c r="H61" s="24">
        <f>(720-'Diagrama circular'!$B$9)+$A61*((720)-(720-'Diagrama circular'!$B$9))</f>
        <v>719.83333333333337</v>
      </c>
      <c r="I61" s="24">
        <f t="shared" si="24"/>
        <v>-2.559812626238298E-3</v>
      </c>
      <c r="J61" s="24">
        <f t="shared" si="25"/>
        <v>0.87999627690082793</v>
      </c>
      <c r="K61" s="24">
        <f>(720)+$A61*((900-Simulador!$B$5)-(720))</f>
        <v>852.75</v>
      </c>
      <c r="L61" s="24">
        <f t="shared" si="26"/>
        <v>0.55808510717112081</v>
      </c>
      <c r="M61" s="24">
        <f t="shared" si="27"/>
        <v>-0.5158885666050359</v>
      </c>
      <c r="N61" s="24">
        <f>(900-Simulador!$B$5)+$A61*((1080+Simulador!$B$6)-(900-Simulador!$B$5))</f>
        <v>1095.9166666666667</v>
      </c>
      <c r="O61" s="24">
        <f t="shared" si="28"/>
        <v>0.17551293843492061</v>
      </c>
      <c r="P61" s="24">
        <f t="shared" si="29"/>
        <v>0.61546340950696643</v>
      </c>
      <c r="Q61" s="24">
        <f>(360-Simulador!$B$7)+$A61*((360+Simulador!$B$6)-(360-Simulador!$B$7))</f>
        <v>379.33333333333331</v>
      </c>
      <c r="R61" s="24">
        <f t="shared" si="30"/>
        <v>0.13904663551168225</v>
      </c>
      <c r="S61" s="24">
        <f t="shared" si="31"/>
        <v>0.3963155726853051</v>
      </c>
      <c r="AN61">
        <f t="shared" si="32"/>
        <v>5.2335956242943807E-2</v>
      </c>
      <c r="AO61">
        <f t="shared" si="33"/>
        <v>-0.99862953475457383</v>
      </c>
      <c r="AP61">
        <f t="shared" si="34"/>
        <v>-4.7102360618649933E-2</v>
      </c>
      <c r="AQ61">
        <f t="shared" si="35"/>
        <v>0.89876658127911646</v>
      </c>
      <c r="AR61">
        <f t="shared" si="36"/>
        <v>4.1868764994355601E-2</v>
      </c>
      <c r="AS61">
        <f t="shared" si="37"/>
        <v>-0.79890362780365909</v>
      </c>
      <c r="AT61">
        <f t="shared" si="38"/>
        <v>-3.6635169370061234E-2</v>
      </c>
      <c r="AU61">
        <f t="shared" si="39"/>
        <v>0.69904067432820161</v>
      </c>
    </row>
    <row r="62" spans="1:47" x14ac:dyDescent="0.25">
      <c r="A62" s="17">
        <f>60/60</f>
        <v>1</v>
      </c>
      <c r="B62" s="24">
        <f>(360-Simulador!$B$7)+$A62*((540+Simulador!$B$8)-(360-Simulador!$B$7))</f>
        <v>590</v>
      </c>
      <c r="C62" s="24">
        <f t="shared" si="20"/>
        <v>-0.7660444431189779</v>
      </c>
      <c r="D62" s="24">
        <f t="shared" si="21"/>
        <v>-0.64278760968653947</v>
      </c>
      <c r="E62" s="24">
        <f>(540+Simulador!$B$8)+$A62*((720-'Diagrama circular'!$B$9)-(540+Simulador!$B$8))</f>
        <v>710</v>
      </c>
      <c r="F62" s="24">
        <f t="shared" si="22"/>
        <v>-0.15281039634689875</v>
      </c>
      <c r="G62" s="24">
        <f t="shared" si="23"/>
        <v>0.86663082265074309</v>
      </c>
      <c r="H62" s="24">
        <f>(720-'Diagrama circular'!$B$9)+$A62*((720)-(720-'Diagrama circular'!$B$9))</f>
        <v>720</v>
      </c>
      <c r="I62" s="24">
        <f t="shared" si="24"/>
        <v>-2.1562612806391712E-16</v>
      </c>
      <c r="J62" s="24">
        <f t="shared" si="25"/>
        <v>0.88</v>
      </c>
      <c r="K62" s="24">
        <f>(720)+$A62*((900-Simulador!$B$5)-(720))</f>
        <v>855</v>
      </c>
      <c r="L62" s="24">
        <f t="shared" si="26"/>
        <v>0.53740115370177577</v>
      </c>
      <c r="M62" s="24">
        <f t="shared" si="27"/>
        <v>-0.53740115370177644</v>
      </c>
      <c r="N62" s="24">
        <f>(900-Simulador!$B$5)+$A62*((1080+Simulador!$B$6)-(900-Simulador!$B$5))</f>
        <v>1100</v>
      </c>
      <c r="O62" s="24">
        <f t="shared" si="28"/>
        <v>0.21889289172842744</v>
      </c>
      <c r="P62" s="24">
        <f t="shared" si="29"/>
        <v>0.6014032773029816</v>
      </c>
      <c r="Q62" s="24">
        <f>(360-Simulador!$B$7)+$A62*((360+Simulador!$B$6)-(360-Simulador!$B$7))</f>
        <v>380</v>
      </c>
      <c r="R62" s="24">
        <f t="shared" si="30"/>
        <v>0.14364846019678085</v>
      </c>
      <c r="S62" s="24">
        <f t="shared" si="31"/>
        <v>0.39467090073008154</v>
      </c>
      <c r="AN62">
        <f t="shared" si="32"/>
        <v>1.22514845490862E-16</v>
      </c>
      <c r="AO62">
        <f t="shared" si="33"/>
        <v>-1</v>
      </c>
      <c r="AP62">
        <f t="shared" si="34"/>
        <v>-2.205267218835516E-16</v>
      </c>
      <c r="AQ62">
        <f t="shared" si="35"/>
        <v>0.9</v>
      </c>
      <c r="AR62">
        <f t="shared" si="36"/>
        <v>2.940356291780688E-16</v>
      </c>
      <c r="AS62">
        <f t="shared" si="37"/>
        <v>-0.8</v>
      </c>
      <c r="AT62">
        <f t="shared" si="38"/>
        <v>-3.430415673744136E-16</v>
      </c>
      <c r="AU62">
        <f t="shared" si="39"/>
        <v>0.7</v>
      </c>
    </row>
    <row r="66" spans="40:42" x14ac:dyDescent="0.25">
      <c r="AN66" t="s">
        <v>48</v>
      </c>
      <c r="AO66">
        <f>AN32</f>
        <v>1</v>
      </c>
      <c r="AP66">
        <f>AO32</f>
        <v>6.1257422745431001E-17</v>
      </c>
    </row>
    <row r="67" spans="40:42" x14ac:dyDescent="0.25">
      <c r="AN67" t="s">
        <v>50</v>
      </c>
      <c r="AO67">
        <f>AP32</f>
        <v>-0.9</v>
      </c>
      <c r="AP67">
        <f>AQ32</f>
        <v>-1.653950414126637E-16</v>
      </c>
    </row>
    <row r="68" spans="40:42" x14ac:dyDescent="0.25">
      <c r="AN68" t="s">
        <v>128</v>
      </c>
      <c r="AO68">
        <f>AR32</f>
        <v>0.8</v>
      </c>
      <c r="AP68">
        <f>AS32</f>
        <v>2.45029690981724E-16</v>
      </c>
    </row>
    <row r="69" spans="40:42" x14ac:dyDescent="0.25">
      <c r="AN69" t="s">
        <v>56</v>
      </c>
      <c r="AO69">
        <f>AT32</f>
        <v>-0.7</v>
      </c>
      <c r="AP69">
        <f>AU32</f>
        <v>-3.001613714526119E-16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Simulador</vt:lpstr>
      <vt:lpstr>Diagrama circular</vt:lpstr>
      <vt:lpstr>Datos</vt:lpstr>
      <vt:lpstr>Guía</vt:lpstr>
      <vt:lpstr>Datos circular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Ing. Miguel Angel  Minga Gonzalez</cp:lastModifiedBy>
  <dcterms:created xsi:type="dcterms:W3CDTF">2026-10-14T15:40:58Z</dcterms:created>
  <dcterms:modified xsi:type="dcterms:W3CDTF">2026-10-14T16:31:50Z</dcterms:modified>
</cp:coreProperties>
</file>