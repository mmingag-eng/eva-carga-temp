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eño" sheetId="1" state="visible" r:id="rId3"/>
    <sheet name="Curva" sheetId="2" state="visible" r:id="rId4"/>
    <sheet name="Medición P5" sheetId="3" state="visible" r:id="rId5"/>
    <sheet name="Timer1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<sst xmlns="http://schemas.openxmlformats.org/spreadsheetml/2006/main" count="93" uniqueCount="83">
  <si>
    <t xml:space="preserve">Práctica 24 — Banco de pruebas de bobinas: memoria de cálculo</t>
  </si>
  <si>
    <t xml:space="preserve">Celdas amarillas: datos editables. Ecuaciones numeradas como en la guía 24-Parte 1.</t>
  </si>
  <si>
    <t xml:space="preserve">Dato</t>
  </si>
  <si>
    <t xml:space="preserve">Valor</t>
  </si>
  <si>
    <t xml:space="preserve">Comentario</t>
  </si>
  <si>
    <t xml:space="preserve">V batería (V)</t>
  </si>
  <si>
    <t xml:space="preserve">Tensión en la bobina durante la carga</t>
  </si>
  <si>
    <t xml:space="preserve">R primario (Ω)</t>
  </si>
  <si>
    <t xml:space="preserve">Medida con multímetro</t>
  </si>
  <si>
    <t xml:space="preserve">L primario (mH)</t>
  </si>
  <si>
    <t xml:space="preserve">Medida en la Parte 5 con la pendiente</t>
  </si>
  <si>
    <t xml:space="preserve">I objetivo (A)</t>
  </si>
  <si>
    <t xml:space="preserve">Corriente máxima del fabricante</t>
  </si>
  <si>
    <t xml:space="preserve">Dwell elegido (ms)</t>
  </si>
  <si>
    <t xml:space="preserve">Tiempo de carga ajustado en el banco</t>
  </si>
  <si>
    <t xml:space="preserve">rpm</t>
  </si>
  <si>
    <t xml:space="preserve">Velocidad simulada</t>
  </si>
  <si>
    <t xml:space="preserve">k (30 conv / 60 DIS / 120 COP)</t>
  </si>
  <si>
    <t xml:space="preserve">Chispas por bobina</t>
  </si>
  <si>
    <t xml:space="preserve">N° de bobinas activas</t>
  </si>
  <si>
    <t xml:space="preserve">VCE(sat) IGBT (V)</t>
  </si>
  <si>
    <t xml:space="preserve">Hoja de datos ISL9V3040</t>
  </si>
  <si>
    <t xml:space="preserve">V pico primario (V)</t>
  </si>
  <si>
    <t xml:space="preserve">Limitación del IGBT</t>
  </si>
  <si>
    <t xml:space="preserve">Relación N2/N1</t>
  </si>
  <si>
    <t xml:space="preserve">R shunt (Ω)</t>
  </si>
  <si>
    <t xml:space="preserve">Ciclo de trabajo máx. (%)</t>
  </si>
  <si>
    <t xml:space="preserve">Límite del programa</t>
  </si>
  <si>
    <t xml:space="preserve">Dwell máx. absoluto (ms)</t>
  </si>
  <si>
    <t xml:space="preserve">Resultado</t>
  </si>
  <si>
    <t xml:space="preserve">Ec.</t>
  </si>
  <si>
    <t xml:space="preserve">Comprobación</t>
  </si>
  <si>
    <t xml:space="preserve">τ (ms)</t>
  </si>
  <si>
    <t xml:space="preserve">(1)</t>
  </si>
  <si>
    <t xml:space="preserve">Corriente final V/R (A)</t>
  </si>
  <si>
    <t xml:space="preserve">(2)</t>
  </si>
  <si>
    <t xml:space="preserve">i con el dwell elegido (A)</t>
  </si>
  <si>
    <t xml:space="preserve">W con el dwell elegido (mJ)</t>
  </si>
  <si>
    <t xml:space="preserve">(3)</t>
  </si>
  <si>
    <t xml:space="preserve">Dwell para I objetivo (ms)</t>
  </si>
  <si>
    <t xml:space="preserve">(4)</t>
  </si>
  <si>
    <t xml:space="preserve">W a I objetivo (mJ)</t>
  </si>
  <si>
    <t xml:space="preserve">Intervalo entre chispas (ms)</t>
  </si>
  <si>
    <t xml:space="preserve">(5)</t>
  </si>
  <si>
    <t xml:space="preserve">Frecuencia por bobina (Hz)</t>
  </si>
  <si>
    <t xml:space="preserve">(6)</t>
  </si>
  <si>
    <t xml:space="preserve">Dwell aplicado por el programa (ms)</t>
  </si>
  <si>
    <t xml:space="preserve">—</t>
  </si>
  <si>
    <t xml:space="preserve">Corriente media por bobina (A)</t>
  </si>
  <si>
    <t xml:space="preserve">(7)</t>
  </si>
  <si>
    <t xml:space="preserve">Corriente media del banco (A)</t>
  </si>
  <si>
    <t xml:space="preserve">Potencia en el IGBT (W)</t>
  </si>
  <si>
    <t xml:space="preserve">V secundario sin chispa (kV)</t>
  </si>
  <si>
    <t xml:space="preserve">(8)</t>
  </si>
  <si>
    <t xml:space="preserve">Tensión en el shunt a i (V)</t>
  </si>
  <si>
    <t xml:space="preserve">Potencia media en el shunt (W)</t>
  </si>
  <si>
    <t xml:space="preserve">Corriente y energía del primario en función del tiempo de carga</t>
  </si>
  <si>
    <t xml:space="preserve">Usa R, L y V de la hoja Diseño</t>
  </si>
  <si>
    <t xml:space="preserve">t (ms)</t>
  </si>
  <si>
    <t xml:space="preserve">i (A)</t>
  </si>
  <si>
    <t xml:space="preserve">W (mJ)</t>
  </si>
  <si>
    <t xml:space="preserve">Inductancia a partir de la pendiente y tiempo de carga real</t>
  </si>
  <si>
    <t xml:space="preserve">Parte 5 — ecuación (1) de la guía</t>
  </si>
  <si>
    <t xml:space="preserve">Bobina</t>
  </si>
  <si>
    <t xml:space="preserve">V (V)</t>
  </si>
  <si>
    <t xml:space="preserve">Δi (A)</t>
  </si>
  <si>
    <t xml:space="preserve">Δt (ms)</t>
  </si>
  <si>
    <t xml:space="preserve">L (mH)</t>
  </si>
  <si>
    <t xml:space="preserve">R medida (Ω)</t>
  </si>
  <si>
    <t xml:space="preserve">I fabricante (A)</t>
  </si>
  <si>
    <t xml:space="preserve">Dwell (ms)</t>
  </si>
  <si>
    <t xml:space="preserve">Referencia</t>
  </si>
  <si>
    <t xml:space="preserve">Bobina 1</t>
  </si>
  <si>
    <t xml:space="preserve">Bobina 2</t>
  </si>
  <si>
    <t xml:space="preserve">Bobina 3</t>
  </si>
  <si>
    <t xml:space="preserve">Bobina 4</t>
  </si>
  <si>
    <t xml:space="preserve">Cuentas del Timer1 (prescaler 64, 4 µs por cuenta)</t>
  </si>
  <si>
    <t xml:space="preserve">Parte 4</t>
  </si>
  <si>
    <t xml:space="preserve">Dwell pedido (ms)</t>
  </si>
  <si>
    <t xml:space="preserve">Intervalo (µs)</t>
  </si>
  <si>
    <t xml:space="preserve">Dwell aplicado (µs)</t>
  </si>
  <si>
    <t xml:space="preserve">Cuentas carga</t>
  </si>
  <si>
    <t xml:space="preserve">Cuentas reposo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</si>
</sst>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0.000"/>
    <numFmt numFmtId="168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Corriente del primario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"i (A)"</c:f>
              <c:strCache>
                <c:ptCount val="1"/>
                <c:pt idx="0">
                  <c:v>i (A)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Curva!$A$5:$A$45</c:f>
              <c:numCache>
                <c:formatCode>0.0</c:formatCode>
                <c:ptCount val="4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</c:v>
                </c:pt>
                <c:pt idx="23">
                  <c:v>4.6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</c:numCache>
            </c:numRef>
          </c:xVal>
          <c:yVal>
            <c:numRef>
              <c:f>Curva!$B$5:$B$45</c:f>
              <c:numCache>
                <c:formatCode>0.00</c:formatCode>
                <c:ptCount val="41"/>
                <c:pt idx="0">
                  <c:v>0</c:v>
                </c:pt>
                <c:pt idx="1">
                  <c:v>0.533571530447041</c:v>
                </c:pt>
                <c:pt idx="2">
                  <c:v>1.05448979075614</c:v>
                </c:pt>
                <c:pt idx="3">
                  <c:v>1.56305484424787</c:v>
                </c:pt>
                <c:pt idx="4">
                  <c:v>2.05955963845411</c:v>
                </c:pt>
                <c:pt idx="5">
                  <c:v>2.54429017386396</c:v>
                </c:pt>
                <c:pt idx="6">
                  <c:v>3.01752566866789</c:v>
                </c:pt>
                <c:pt idx="7">
                  <c:v>3.47953871959518</c:v>
                </c:pt>
                <c:pt idx="8">
                  <c:v>3.93059545893715</c:v>
                </c:pt>
                <c:pt idx="9">
                  <c:v>4.37095570784671</c:v>
                </c:pt>
                <c:pt idx="10">
                  <c:v>4.80087312600255</c:v>
                </c:pt>
                <c:pt idx="11">
                  <c:v>5.22059535772411</c:v>
                </c:pt>
                <c:pt idx="12">
                  <c:v>5.63036417462157</c:v>
                </c:pt>
                <c:pt idx="13">
                  <c:v>6.03041561486297</c:v>
                </c:pt>
                <c:pt idx="14">
                  <c:v>6.42098011913871</c:v>
                </c:pt>
                <c:pt idx="15">
                  <c:v>6.8022826634018</c:v>
                </c:pt>
                <c:pt idx="16">
                  <c:v>7.17454288846019</c:v>
                </c:pt>
                <c:pt idx="17">
                  <c:v>7.53797522649596</c:v>
                </c:pt>
                <c:pt idx="18">
                  <c:v>7.89278902458418</c:v>
                </c:pt>
                <c:pt idx="19">
                  <c:v>8.23918866528265</c:v>
                </c:pt>
                <c:pt idx="20">
                  <c:v>8.57737368436183</c:v>
                </c:pt>
                <c:pt idx="21">
                  <c:v>8.90753888574304</c:v>
                </c:pt>
                <c:pt idx="22">
                  <c:v>9.22987445371087</c:v>
                </c:pt>
                <c:pt idx="23">
                  <c:v>9.54456606246455</c:v>
                </c:pt>
                <c:pt idx="24">
                  <c:v>9.85179498307149</c:v>
                </c:pt>
                <c:pt idx="25">
                  <c:v>10.1517381878844</c:v>
                </c:pt>
                <c:pt idx="26">
                  <c:v>10.4445684524822</c:v>
                </c:pt>
                <c:pt idx="27">
                  <c:v>10.7304544551937</c:v>
                </c:pt>
                <c:pt idx="28">
                  <c:v>11.0095608742608</c:v>
                </c:pt>
                <c:pt idx="29">
                  <c:v>11.2820484826976</c:v>
                </c:pt>
                <c:pt idx="30">
                  <c:v>11.5480742409006</c:v>
                </c:pt>
                <c:pt idx="31">
                  <c:v>11.8077913870618</c:v>
                </c:pt>
                <c:pt idx="32">
                  <c:v>12.061349525438</c:v>
                </c:pt>
                <c:pt idx="33">
                  <c:v>12.3088947125275</c:v>
                </c:pt>
                <c:pt idx="34">
                  <c:v>12.5505695412023</c:v>
                </c:pt>
                <c:pt idx="35">
                  <c:v>12.7865132228457</c:v>
                </c:pt>
                <c:pt idx="36">
                  <c:v>13.0168616675419</c:v>
                </c:pt>
                <c:pt idx="37">
                  <c:v>13.2417475623637</c:v>
                </c:pt>
                <c:pt idx="38">
                  <c:v>13.4613004478043</c:v>
                </c:pt>
                <c:pt idx="39">
                  <c:v>13.6756467923961</c:v>
                </c:pt>
                <c:pt idx="40">
                  <c:v>13.88491006556</c:v>
                </c:pt>
              </c:numCache>
            </c:numRef>
          </c:yVal>
          <c:smooth val="1"/>
        </c:ser>
        <c:axId val="19577768"/>
        <c:axId val="85613106"/>
      </c:scatterChart>
      <c:valAx>
        <c:axId val="1957776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13106"/>
        <c:crosses val="autoZero"/>
        <c:crossBetween val="midCat"/>
      </c:valAx>
      <c:valAx>
        <c:axId val="856131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 (A)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57776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176040</xdr:rowOff>
    </xdr:from>
    <xdr:to>
      <xdr:col>13</xdr:col>
      <xdr:colOff>256320</xdr:colOff>
      <xdr:row>18</xdr:row>
      <xdr:rowOff>7560</xdr:rowOff>
    </xdr:to>
    <xdr:graphicFrame>
      <xdr:nvGraphicFramePr>
        <xdr:cNvPr id="0" name="Chart 1"/>
        <xdr:cNvGraphicFramePr/>
      </xdr:nvGraphicFramePr>
      <xdr:xfrm>
        <a:off x="244620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13.5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v>0.6</v>
      </c>
      <c r="C6" s="6" t="s">
        <v>8</v>
      </c>
    </row>
    <row r="7" customFormat="false" ht="15" hidden="false" customHeight="false" outlineLevel="0" collapsed="false">
      <c r="A7" s="4" t="s">
        <v>9</v>
      </c>
      <c r="B7" s="5" t="n">
        <v>5</v>
      </c>
      <c r="C7" s="6" t="s">
        <v>10</v>
      </c>
    </row>
    <row r="8" customFormat="false" ht="15" hidden="false" customHeight="false" outlineLevel="0" collapsed="false">
      <c r="A8" s="4" t="s">
        <v>11</v>
      </c>
      <c r="B8" s="5" t="n">
        <v>7</v>
      </c>
      <c r="C8" s="6" t="s">
        <v>12</v>
      </c>
    </row>
    <row r="9" customFormat="false" ht="15" hidden="false" customHeight="false" outlineLevel="0" collapsed="false">
      <c r="A9" s="4" t="s">
        <v>13</v>
      </c>
      <c r="B9" s="5" t="n">
        <v>3.1</v>
      </c>
      <c r="C9" s="6" t="s">
        <v>14</v>
      </c>
    </row>
    <row r="10" customFormat="false" ht="15" hidden="false" customHeight="false" outlineLevel="0" collapsed="false">
      <c r="A10" s="4" t="s">
        <v>15</v>
      </c>
      <c r="B10" s="5" t="n">
        <v>6000</v>
      </c>
      <c r="C10" s="6" t="s">
        <v>16</v>
      </c>
    </row>
    <row r="11" customFormat="false" ht="15" hidden="false" customHeight="false" outlineLevel="0" collapsed="false">
      <c r="A11" s="4" t="s">
        <v>17</v>
      </c>
      <c r="B11" s="5" t="n">
        <v>120</v>
      </c>
      <c r="C11" s="6" t="s">
        <v>18</v>
      </c>
    </row>
    <row r="12" customFormat="false" ht="15" hidden="false" customHeight="false" outlineLevel="0" collapsed="false">
      <c r="A12" s="4" t="s">
        <v>19</v>
      </c>
      <c r="B12" s="5" t="n">
        <v>4</v>
      </c>
      <c r="C12" s="6"/>
    </row>
    <row r="13" customFormat="false" ht="15" hidden="false" customHeight="false" outlineLevel="0" collapsed="false">
      <c r="A13" s="4" t="s">
        <v>20</v>
      </c>
      <c r="B13" s="5" t="n">
        <v>1.4</v>
      </c>
      <c r="C13" s="6" t="s">
        <v>21</v>
      </c>
    </row>
    <row r="14" customFormat="false" ht="15" hidden="false" customHeight="false" outlineLevel="0" collapsed="false">
      <c r="A14" s="4" t="s">
        <v>22</v>
      </c>
      <c r="B14" s="5" t="n">
        <v>400</v>
      </c>
      <c r="C14" s="6" t="s">
        <v>23</v>
      </c>
    </row>
    <row r="15" customFormat="false" ht="15" hidden="false" customHeight="false" outlineLevel="0" collapsed="false">
      <c r="A15" s="4" t="s">
        <v>24</v>
      </c>
      <c r="B15" s="5" t="n">
        <v>100</v>
      </c>
      <c r="C15" s="6"/>
    </row>
    <row r="16" customFormat="false" ht="15" hidden="false" customHeight="false" outlineLevel="0" collapsed="false">
      <c r="A16" s="4" t="s">
        <v>25</v>
      </c>
      <c r="B16" s="5" t="n">
        <v>0.05</v>
      </c>
      <c r="C16" s="6"/>
    </row>
    <row r="17" customFormat="false" ht="15" hidden="false" customHeight="false" outlineLevel="0" collapsed="false">
      <c r="A17" s="4" t="s">
        <v>26</v>
      </c>
      <c r="B17" s="5" t="n">
        <v>70</v>
      </c>
      <c r="C17" s="6" t="s">
        <v>27</v>
      </c>
    </row>
    <row r="18" customFormat="false" ht="15" hidden="false" customHeight="false" outlineLevel="0" collapsed="false">
      <c r="A18" s="4" t="s">
        <v>28</v>
      </c>
      <c r="B18" s="5" t="n">
        <v>8</v>
      </c>
      <c r="C18" s="6" t="s">
        <v>27</v>
      </c>
    </row>
    <row r="19" customFormat="false" ht="15" hidden="false" customHeight="false" outlineLevel="0" collapsed="false">
      <c r="A19" s="3" t="s">
        <v>29</v>
      </c>
      <c r="B19" s="3" t="s">
        <v>3</v>
      </c>
      <c r="C19" s="3" t="s">
        <v>30</v>
      </c>
      <c r="D19" s="3" t="s">
        <v>31</v>
      </c>
    </row>
    <row r="20" customFormat="false" ht="15" hidden="false" customHeight="false" outlineLevel="0" collapsed="false">
      <c r="A20" s="4" t="s">
        <v>32</v>
      </c>
      <c r="B20" s="7" t="n">
        <f aca="false">($B$7/$B$6)</f>
        <v>8.33333333333333</v>
      </c>
      <c r="C20" s="8" t="s">
        <v>33</v>
      </c>
    </row>
    <row r="21" customFormat="false" ht="15" hidden="false" customHeight="false" outlineLevel="0" collapsed="false">
      <c r="A21" s="4" t="s">
        <v>34</v>
      </c>
      <c r="B21" s="7" t="n">
        <f aca="false">$B$5/$B$6</f>
        <v>22.5</v>
      </c>
      <c r="C21" s="8" t="s">
        <v>35</v>
      </c>
    </row>
    <row r="22" customFormat="false" ht="15" hidden="false" customHeight="false" outlineLevel="0" collapsed="false">
      <c r="A22" s="4" t="s">
        <v>36</v>
      </c>
      <c r="B22" s="7" t="n">
        <f aca="false">$B$5/$B$6*(1-EXP(-$B$9/($B$7/$B$6)))</f>
        <v>6.989529543205</v>
      </c>
      <c r="C22" s="8" t="s">
        <v>35</v>
      </c>
    </row>
    <row r="23" customFormat="false" ht="15" hidden="false" customHeight="false" outlineLevel="0" collapsed="false">
      <c r="A23" s="4" t="s">
        <v>37</v>
      </c>
      <c r="B23" s="9" t="n">
        <f aca="false">0.5*$B$7*B22^2</f>
        <v>122.133808088339</v>
      </c>
      <c r="C23" s="8" t="s">
        <v>38</v>
      </c>
    </row>
    <row r="24" customFormat="false" ht="15" hidden="false" customHeight="false" outlineLevel="0" collapsed="false">
      <c r="A24" s="4" t="s">
        <v>39</v>
      </c>
      <c r="B24" s="7" t="n">
        <f aca="false">IF($B$8*$B$6&lt;$B$5,-($B$7/$B$6)*LN(1-$B$8*$B$6/$B$5),"No alcanza")</f>
        <v>3.10562737737645</v>
      </c>
      <c r="C24" s="8" t="s">
        <v>40</v>
      </c>
    </row>
    <row r="25" customFormat="false" ht="15" hidden="false" customHeight="false" outlineLevel="0" collapsed="false">
      <c r="A25" s="4" t="s">
        <v>41</v>
      </c>
      <c r="B25" s="9" t="n">
        <f aca="false">0.5*$B$7*$B$8^2</f>
        <v>122.5</v>
      </c>
      <c r="C25" s="8" t="s">
        <v>38</v>
      </c>
    </row>
    <row r="26" customFormat="false" ht="15" hidden="false" customHeight="false" outlineLevel="0" collapsed="false">
      <c r="A26" s="4" t="s">
        <v>42</v>
      </c>
      <c r="B26" s="7" t="n">
        <f aca="false">30000/$B$10</f>
        <v>5</v>
      </c>
      <c r="C26" s="8" t="s">
        <v>43</v>
      </c>
    </row>
    <row r="27" customFormat="false" ht="15" hidden="false" customHeight="false" outlineLevel="0" collapsed="false">
      <c r="A27" s="4" t="s">
        <v>44</v>
      </c>
      <c r="B27" s="9" t="n">
        <f aca="false">$B$10/$B$11</f>
        <v>50</v>
      </c>
      <c r="C27" s="8" t="s">
        <v>45</v>
      </c>
    </row>
    <row r="28" customFormat="false" ht="15" hidden="false" customHeight="false" outlineLevel="0" collapsed="false">
      <c r="A28" s="4" t="s">
        <v>46</v>
      </c>
      <c r="B28" s="7" t="n">
        <f aca="false">MIN($B$9,$B$18,$B$17/100*B26)</f>
        <v>3.1</v>
      </c>
      <c r="C28" s="8" t="s">
        <v>47</v>
      </c>
      <c r="D28" s="10" t="str">
        <f aca="false">IF(B28&lt;$B$9,"Limitado por el programa","OK")</f>
        <v>OK</v>
      </c>
    </row>
    <row r="29" customFormat="false" ht="15" hidden="false" customHeight="false" outlineLevel="0" collapsed="false">
      <c r="A29" s="4" t="s">
        <v>48</v>
      </c>
      <c r="B29" s="11" t="n">
        <f aca="false">B22/2*B28/1000*B27</f>
        <v>0.541688539598387</v>
      </c>
      <c r="C29" s="8" t="s">
        <v>49</v>
      </c>
    </row>
    <row r="30" customFormat="false" ht="15" hidden="false" customHeight="false" outlineLevel="0" collapsed="false">
      <c r="A30" s="4" t="s">
        <v>50</v>
      </c>
      <c r="B30" s="7" t="n">
        <f aca="false">B29*$B$12</f>
        <v>2.16675415839355</v>
      </c>
      <c r="C30" s="8" t="s">
        <v>49</v>
      </c>
      <c r="D30" s="10" t="str">
        <f aca="false">IF(B30&lt;=5,"OK con fuente A de 5 A","Supera la fuente A")</f>
        <v>OK con fuente A de 5 A</v>
      </c>
    </row>
    <row r="31" customFormat="false" ht="15" hidden="false" customHeight="false" outlineLevel="0" collapsed="false">
      <c r="A31" s="4" t="s">
        <v>51</v>
      </c>
      <c r="B31" s="7" t="n">
        <f aca="false">$B$13*B29</f>
        <v>0.758363955437742</v>
      </c>
      <c r="C31" s="8" t="s">
        <v>47</v>
      </c>
    </row>
    <row r="32" customFormat="false" ht="15" hidden="false" customHeight="false" outlineLevel="0" collapsed="false">
      <c r="A32" s="4" t="s">
        <v>52</v>
      </c>
      <c r="B32" s="9" t="n">
        <f aca="false">$B$14*$B$15/1000</f>
        <v>40</v>
      </c>
      <c r="C32" s="8" t="s">
        <v>53</v>
      </c>
    </row>
    <row r="33" customFormat="false" ht="15" hidden="false" customHeight="false" outlineLevel="0" collapsed="false">
      <c r="A33" s="4" t="s">
        <v>54</v>
      </c>
      <c r="B33" s="11" t="n">
        <f aca="false">B22*$B$16</f>
        <v>0.34947647716025</v>
      </c>
      <c r="C33" s="8" t="s">
        <v>47</v>
      </c>
    </row>
    <row r="34" customFormat="false" ht="15" hidden="false" customHeight="false" outlineLevel="0" collapsed="false">
      <c r="A34" s="4" t="s">
        <v>55</v>
      </c>
      <c r="B34" s="11" t="n">
        <f aca="false">(B22^2/3)*$B$16*B28/1000*B27</f>
        <v>0.126204935024617</v>
      </c>
      <c r="C34" s="8" t="s">
        <v>47</v>
      </c>
      <c r="D34" s="10" t="str">
        <f aca="false">IF(B34&lt;3,"OK (3 W)","Revisar")</f>
        <v>OK (3 W)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15" hidden="false" customHeight="false" outlineLevel="0" collapsed="false">
      <c r="A4" s="3" t="s">
        <v>58</v>
      </c>
      <c r="B4" s="3" t="s">
        <v>59</v>
      </c>
      <c r="C4" s="3" t="s">
        <v>60</v>
      </c>
    </row>
    <row r="5" customFormat="false" ht="15" hidden="false" customHeight="false" outlineLevel="0" collapsed="false">
      <c r="A5" s="9" t="n">
        <v>0</v>
      </c>
      <c r="B5" s="7" t="n">
        <f aca="false">Diseño!$B$5/Diseño!$B$6*(1-EXP(-A5/(Diseño!$B$7/Diseño!$B$6)))</f>
        <v>0</v>
      </c>
      <c r="C5" s="9" t="n">
        <f aca="false">0.5*Diseño!$B$7*B5^2</f>
        <v>0</v>
      </c>
    </row>
    <row r="6" customFormat="false" ht="15" hidden="false" customHeight="false" outlineLevel="0" collapsed="false">
      <c r="A6" s="9" t="n">
        <v>0.2</v>
      </c>
      <c r="B6" s="7" t="n">
        <f aca="false">Diseño!$B$5/Diseño!$B$6*(1-EXP(-A6/(Diseño!$B$7/Diseño!$B$6)))</f>
        <v>0.533571530447041</v>
      </c>
      <c r="C6" s="9" t="n">
        <f aca="false">0.5*Diseño!$B$7*B6^2</f>
        <v>0.711746445258994</v>
      </c>
    </row>
    <row r="7" customFormat="false" ht="15" hidden="false" customHeight="false" outlineLevel="0" collapsed="false">
      <c r="A7" s="9" t="n">
        <v>0.4</v>
      </c>
      <c r="B7" s="7" t="n">
        <f aca="false">Diseño!$B$5/Diseño!$B$6*(1-EXP(-A7/(Diseño!$B$7/Diseño!$B$6)))</f>
        <v>1.05448979075614</v>
      </c>
      <c r="C7" s="9" t="n">
        <f aca="false">0.5*Diseño!$B$7*B7^2</f>
        <v>2.77987179702234</v>
      </c>
    </row>
    <row r="8" customFormat="false" ht="15" hidden="false" customHeight="false" outlineLevel="0" collapsed="false">
      <c r="A8" s="9" t="n">
        <v>0.6</v>
      </c>
      <c r="B8" s="7" t="n">
        <f aca="false">Diseño!$B$5/Diseño!$B$6*(1-EXP(-A8/(Diseño!$B$7/Diseño!$B$6)))</f>
        <v>1.56305484424787</v>
      </c>
      <c r="C8" s="9" t="n">
        <f aca="false">0.5*Diseño!$B$7*B8^2</f>
        <v>6.10785111531684</v>
      </c>
    </row>
    <row r="9" customFormat="false" ht="15" hidden="false" customHeight="false" outlineLevel="0" collapsed="false">
      <c r="A9" s="9" t="n">
        <v>0.8</v>
      </c>
      <c r="B9" s="7" t="n">
        <f aca="false">Diseño!$B$5/Diseño!$B$6*(1-EXP(-A9/(Diseño!$B$7/Diseño!$B$6)))</f>
        <v>2.05955963845411</v>
      </c>
      <c r="C9" s="9" t="n">
        <f aca="false">0.5*Diseño!$B$7*B9^2</f>
        <v>10.6044647608731</v>
      </c>
    </row>
    <row r="10" customFormat="false" ht="15" hidden="false" customHeight="false" outlineLevel="0" collapsed="false">
      <c r="A10" s="9" t="n">
        <v>1</v>
      </c>
      <c r="B10" s="7" t="n">
        <f aca="false">Diseño!$B$5/Diseño!$B$6*(1-EXP(-A10/(Diseño!$B$7/Diseño!$B$6)))</f>
        <v>2.54429017386396</v>
      </c>
      <c r="C10" s="9" t="n">
        <f aca="false">0.5*Diseño!$B$7*B10^2</f>
        <v>16.1835312220517</v>
      </c>
    </row>
    <row r="11" customFormat="false" ht="15" hidden="false" customHeight="false" outlineLevel="0" collapsed="false">
      <c r="A11" s="9" t="n">
        <v>1.2</v>
      </c>
      <c r="B11" s="7" t="n">
        <f aca="false">Diseño!$B$5/Diseño!$B$6*(1-EXP(-A11/(Diseño!$B$7/Diseño!$B$6)))</f>
        <v>3.01752566866789</v>
      </c>
      <c r="C11" s="9" t="n">
        <f aca="false">0.5*Diseño!$B$7*B11^2</f>
        <v>22.763652902674</v>
      </c>
    </row>
    <row r="12" customFormat="false" ht="15" hidden="false" customHeight="false" outlineLevel="0" collapsed="false">
      <c r="A12" s="9" t="n">
        <v>1.4</v>
      </c>
      <c r="B12" s="7" t="n">
        <f aca="false">Diseño!$B$5/Diseño!$B$6*(1-EXP(-A12/(Diseño!$B$7/Diseño!$B$6)))</f>
        <v>3.47953871959518</v>
      </c>
      <c r="C12" s="9" t="n">
        <f aca="false">0.5*Diseño!$B$7*B12^2</f>
        <v>30.2679742529051</v>
      </c>
    </row>
    <row r="13" customFormat="false" ht="15" hidden="false" customHeight="false" outlineLevel="0" collapsed="false">
      <c r="A13" s="9" t="n">
        <v>1.6</v>
      </c>
      <c r="B13" s="7" t="n">
        <f aca="false">Diseño!$B$5/Diseño!$B$6*(1-EXP(-A13/(Diseño!$B$7/Diseño!$B$6)))</f>
        <v>3.93059545893715</v>
      </c>
      <c r="C13" s="9" t="n">
        <f aca="false">0.5*Diseño!$B$7*B13^2</f>
        <v>38.6239516545433</v>
      </c>
    </row>
    <row r="14" customFormat="false" ht="15" hidden="false" customHeight="false" outlineLevel="0" collapsed="false">
      <c r="A14" s="9" t="n">
        <v>1.8</v>
      </c>
      <c r="B14" s="7" t="n">
        <f aca="false">Diseño!$B$5/Diseño!$B$6*(1-EXP(-A14/(Diseño!$B$7/Diseño!$B$6)))</f>
        <v>4.37095570784671</v>
      </c>
      <c r="C14" s="9" t="n">
        <f aca="false">0.5*Diseño!$B$7*B14^2</f>
        <v>47.7631344998943</v>
      </c>
    </row>
    <row r="15" customFormat="false" ht="15" hidden="false" customHeight="false" outlineLevel="0" collapsed="false">
      <c r="A15" s="9" t="n">
        <v>2</v>
      </c>
      <c r="B15" s="7" t="n">
        <f aca="false">Diseño!$B$5/Diseño!$B$6*(1-EXP(-A15/(Diseño!$B$7/Diseño!$B$6)))</f>
        <v>4.80087312600255</v>
      </c>
      <c r="C15" s="9" t="n">
        <f aca="false">0.5*Diseño!$B$7*B15^2</f>
        <v>57.6209569299337</v>
      </c>
    </row>
    <row r="16" customFormat="false" ht="15" hidden="false" customHeight="false" outlineLevel="0" collapsed="false">
      <c r="A16" s="9" t="n">
        <v>2.2</v>
      </c>
      <c r="B16" s="7" t="n">
        <f aca="false">Diseño!$B$5/Diseño!$B$6*(1-EXP(-A16/(Diseño!$B$7/Diseño!$B$6)))</f>
        <v>5.22059535772411</v>
      </c>
      <c r="C16" s="9" t="n">
        <f aca="false">0.5*Diseño!$B$7*B16^2</f>
        <v>68.1365397227264</v>
      </c>
    </row>
    <row r="17" customFormat="false" ht="15" hidden="false" customHeight="false" outlineLevel="0" collapsed="false">
      <c r="A17" s="9" t="n">
        <v>2.4</v>
      </c>
      <c r="B17" s="7" t="n">
        <f aca="false">Diseño!$B$5/Diseño!$B$6*(1-EXP(-A17/(Diseño!$B$7/Diseño!$B$6)))</f>
        <v>5.63036417462157</v>
      </c>
      <c r="C17" s="9" t="n">
        <f aca="false">0.5*Diseño!$B$7*B17^2</f>
        <v>79.2525018471551</v>
      </c>
    </row>
    <row r="18" customFormat="false" ht="15" hidden="false" customHeight="false" outlineLevel="0" collapsed="false">
      <c r="A18" s="9" t="n">
        <v>2.6</v>
      </c>
      <c r="B18" s="7" t="n">
        <f aca="false">Diseño!$B$5/Diseño!$B$6*(1-EXP(-A18/(Diseño!$B$7/Diseño!$B$6)))</f>
        <v>6.03041561486297</v>
      </c>
      <c r="C18" s="9" t="n">
        <f aca="false">0.5*Diseño!$B$7*B18^2</f>
        <v>90.9147812199577</v>
      </c>
    </row>
    <row r="19" customFormat="false" ht="15" hidden="false" customHeight="false" outlineLevel="0" collapsed="false">
      <c r="A19" s="9" t="n">
        <v>2.8</v>
      </c>
      <c r="B19" s="7" t="n">
        <f aca="false">Diseño!$B$5/Diseño!$B$6*(1-EXP(-A19/(Diseño!$B$7/Diseño!$B$6)))</f>
        <v>6.42098011913871</v>
      </c>
      <c r="C19" s="9" t="n">
        <f aca="false">0.5*Diseño!$B$7*B19^2</f>
        <v>103.072464225936</v>
      </c>
    </row>
    <row r="20" customFormat="false" ht="15" hidden="false" customHeight="false" outlineLevel="0" collapsed="false">
      <c r="A20" s="9" t="n">
        <v>3</v>
      </c>
      <c r="B20" s="7" t="n">
        <f aca="false">Diseño!$B$5/Diseño!$B$6*(1-EXP(-A20/(Diseño!$B$7/Diseño!$B$6)))</f>
        <v>6.8022826634018</v>
      </c>
      <c r="C20" s="9" t="n">
        <f aca="false">0.5*Diseño!$B$7*B20^2</f>
        <v>115.677623582042</v>
      </c>
    </row>
    <row r="21" customFormat="false" ht="15" hidden="false" customHeight="false" outlineLevel="0" collapsed="false">
      <c r="A21" s="9" t="n">
        <v>3.2</v>
      </c>
      <c r="B21" s="7" t="n">
        <f aca="false">Diseño!$B$5/Diseño!$B$6*(1-EXP(-A21/(Diseño!$B$7/Diseño!$B$6)))</f>
        <v>7.17454288846019</v>
      </c>
      <c r="C21" s="9" t="n">
        <f aca="false">0.5*Diseño!$B$7*B21^2</f>
        <v>128.685164145887</v>
      </c>
    </row>
    <row r="22" customFormat="false" ht="15" hidden="false" customHeight="false" outlineLevel="0" collapsed="false">
      <c r="A22" s="9" t="n">
        <v>3.4</v>
      </c>
      <c r="B22" s="7" t="n">
        <f aca="false">Diseño!$B$5/Diseño!$B$6*(1-EXP(-A22/(Diseño!$B$7/Diseño!$B$6)))</f>
        <v>7.53797522649596</v>
      </c>
      <c r="C22" s="9" t="n">
        <f aca="false">0.5*Diseño!$B$7*B22^2</f>
        <v>142.052676288167</v>
      </c>
    </row>
    <row r="23" customFormat="false" ht="15" hidden="false" customHeight="false" outlineLevel="0" collapsed="false">
      <c r="A23" s="9" t="n">
        <v>3.6</v>
      </c>
      <c r="B23" s="7" t="n">
        <f aca="false">Diseño!$B$5/Diseño!$B$6*(1-EXP(-A23/(Diseño!$B$7/Diseño!$B$6)))</f>
        <v>7.89278902458418</v>
      </c>
      <c r="C23" s="9" t="n">
        <f aca="false">0.5*Diseño!$B$7*B23^2</f>
        <v>155.740296466491</v>
      </c>
    </row>
    <row r="24" customFormat="false" ht="15" hidden="false" customHeight="false" outlineLevel="0" collapsed="false">
      <c r="A24" s="9" t="n">
        <v>3.8</v>
      </c>
      <c r="B24" s="7" t="n">
        <f aca="false">Diseño!$B$5/Diseño!$B$6*(1-EXP(-A24/(Diseño!$B$7/Diseño!$B$6)))</f>
        <v>8.23918866528265</v>
      </c>
      <c r="C24" s="9" t="n">
        <f aca="false">0.5*Diseño!$B$7*B24^2</f>
        <v>169.710574655305</v>
      </c>
    </row>
    <row r="25" customFormat="false" ht="15" hidden="false" customHeight="false" outlineLevel="0" collapsed="false">
      <c r="A25" s="9" t="n">
        <v>4</v>
      </c>
      <c r="B25" s="7" t="n">
        <f aca="false">Diseño!$B$5/Diseño!$B$6*(1-EXP(-A25/(Diseño!$B$7/Diseño!$B$6)))</f>
        <v>8.57737368436183</v>
      </c>
      <c r="C25" s="9" t="n">
        <f aca="false">0.5*Diseño!$B$7*B25^2</f>
        <v>183.928348302957</v>
      </c>
    </row>
    <row r="26" customFormat="false" ht="15" hidden="false" customHeight="false" outlineLevel="0" collapsed="false">
      <c r="A26" s="9" t="n">
        <v>4.2</v>
      </c>
      <c r="B26" s="7" t="n">
        <f aca="false">Diseño!$B$5/Diseño!$B$6*(1-EXP(-A26/(Diseño!$B$7/Diseño!$B$6)))</f>
        <v>8.90753888574304</v>
      </c>
      <c r="C26" s="9" t="n">
        <f aca="false">0.5*Diseño!$B$7*B26^2</f>
        <v>198.360622502561</v>
      </c>
    </row>
    <row r="27" customFormat="false" ht="15" hidden="false" customHeight="false" outlineLevel="0" collapsed="false">
      <c r="A27" s="9" t="n">
        <v>4.4</v>
      </c>
      <c r="B27" s="7" t="n">
        <f aca="false">Diseño!$B$5/Diseño!$B$6*(1-EXP(-A27/(Diseño!$B$7/Diseño!$B$6)))</f>
        <v>9.22987445371087</v>
      </c>
      <c r="C27" s="9" t="n">
        <f aca="false">0.5*Diseño!$B$7*B27^2</f>
        <v>212.976456078161</v>
      </c>
    </row>
    <row r="28" customFormat="false" ht="15" hidden="false" customHeight="false" outlineLevel="0" collapsed="false">
      <c r="A28" s="9" t="n">
        <v>4.6</v>
      </c>
      <c r="B28" s="7" t="n">
        <f aca="false">Diseño!$B$5/Diseño!$B$6*(1-EXP(-A28/(Diseño!$B$7/Diseño!$B$6)))</f>
        <v>9.54456606246455</v>
      </c>
      <c r="C28" s="9" t="n">
        <f aca="false">0.5*Diseño!$B$7*B28^2</f>
        <v>227.746853301875</v>
      </c>
    </row>
    <row r="29" customFormat="false" ht="15" hidden="false" customHeight="false" outlineLevel="0" collapsed="false">
      <c r="A29" s="9" t="n">
        <v>4.8</v>
      </c>
      <c r="B29" s="7" t="n">
        <f aca="false">Diseño!$B$5/Diseño!$B$6*(1-EXP(-A29/(Diseño!$B$7/Diseño!$B$6)))</f>
        <v>9.85179498307149</v>
      </c>
      <c r="C29" s="9" t="n">
        <f aca="false">0.5*Diseño!$B$7*B29^2</f>
        <v>242.644660971182</v>
      </c>
    </row>
    <row r="30" customFormat="false" ht="15" hidden="false" customHeight="false" outlineLevel="0" collapsed="false">
      <c r="A30" s="9" t="n">
        <v>5</v>
      </c>
      <c r="B30" s="7" t="n">
        <f aca="false">Diseño!$B$5/Diseño!$B$6*(1-EXP(-A30/(Diseño!$B$7/Diseño!$B$6)))</f>
        <v>10.1517381878844</v>
      </c>
      <c r="C30" s="9" t="n">
        <f aca="false">0.5*Diseño!$B$7*B30^2</f>
        <v>257.644470588376</v>
      </c>
    </row>
    <row r="31" customFormat="false" ht="15" hidden="false" customHeight="false" outlineLevel="0" collapsed="false">
      <c r="A31" s="9" t="n">
        <v>5.2</v>
      </c>
      <c r="B31" s="7" t="n">
        <f aca="false">Diseño!$B$5/Diseño!$B$6*(1-EXP(-A31/(Diseño!$B$7/Diseño!$B$6)))</f>
        <v>10.4445684524822</v>
      </c>
      <c r="C31" s="9" t="n">
        <f aca="false">0.5*Diseño!$B$7*B31^2</f>
        <v>272.722525396468</v>
      </c>
    </row>
    <row r="32" customFormat="false" ht="15" hidden="false" customHeight="false" outlineLevel="0" collapsed="false">
      <c r="A32" s="9" t="n">
        <v>5.4</v>
      </c>
      <c r="B32" s="7" t="n">
        <f aca="false">Diseño!$B$5/Diseño!$B$6*(1-EXP(-A32/(Diseño!$B$7/Diseño!$B$6)))</f>
        <v>10.7304544551937</v>
      </c>
      <c r="C32" s="9" t="n">
        <f aca="false">0.5*Diseño!$B$7*B32^2</f>
        <v>287.856632037468</v>
      </c>
    </row>
    <row r="33" customFormat="false" ht="15" hidden="false" customHeight="false" outlineLevel="0" collapsed="false">
      <c r="A33" s="9" t="n">
        <v>5.6</v>
      </c>
      <c r="B33" s="7" t="n">
        <f aca="false">Diseño!$B$5/Diseño!$B$6*(1-EXP(-A33/(Diseño!$B$7/Diseño!$B$6)))</f>
        <v>11.0095608742608</v>
      </c>
      <c r="C33" s="9" t="n">
        <f aca="false">0.5*Diseño!$B$7*B33^2</f>
        <v>303.026076610134</v>
      </c>
    </row>
    <row r="34" customFormat="false" ht="15" hidden="false" customHeight="false" outlineLevel="0" collapsed="false">
      <c r="A34" s="9" t="n">
        <v>5.8</v>
      </c>
      <c r="B34" s="7" t="n">
        <f aca="false">Diseño!$B$5/Diseño!$B$6*(1-EXP(-A34/(Diseño!$B$7/Diseño!$B$6)))</f>
        <v>11.2820484826976</v>
      </c>
      <c r="C34" s="9" t="n">
        <f aca="false">0.5*Diseño!$B$7*B34^2</f>
        <v>318.21154491485</v>
      </c>
    </row>
    <row r="35" customFormat="false" ht="15" hidden="false" customHeight="false" outlineLevel="0" collapsed="false">
      <c r="A35" s="9" t="n">
        <v>6</v>
      </c>
      <c r="B35" s="7" t="n">
        <f aca="false">Diseño!$B$5/Diseño!$B$6*(1-EXP(-A35/(Diseño!$B$7/Diseño!$B$6)))</f>
        <v>11.5480742409006</v>
      </c>
      <c r="C35" s="9" t="n">
        <f aca="false">0.5*Diseño!$B$7*B35^2</f>
        <v>333.395046683382</v>
      </c>
    </row>
    <row r="36" customFormat="false" ht="15" hidden="false" customHeight="false" outlineLevel="0" collapsed="false">
      <c r="A36" s="9" t="n">
        <v>6.2</v>
      </c>
      <c r="B36" s="7" t="n">
        <f aca="false">Diseño!$B$5/Diseño!$B$6*(1-EXP(-A36/(Diseño!$B$7/Diseño!$B$6)))</f>
        <v>11.8077913870618</v>
      </c>
      <c r="C36" s="9" t="n">
        <f aca="false">0.5*Diseño!$B$7*B36^2</f>
        <v>348.559843600924</v>
      </c>
    </row>
    <row r="37" customFormat="false" ht="15" hidden="false" customHeight="false" outlineLevel="0" collapsed="false">
      <c r="A37" s="9" t="n">
        <v>6.4</v>
      </c>
      <c r="B37" s="7" t="n">
        <f aca="false">Diseño!$B$5/Diseño!$B$6*(1-EXP(-A37/(Diseño!$B$7/Diseño!$B$6)))</f>
        <v>12.061349525438</v>
      </c>
      <c r="C37" s="9" t="n">
        <f aca="false">0.5*Diseño!$B$7*B37^2</f>
        <v>363.690380936956</v>
      </c>
    </row>
    <row r="38" customFormat="false" ht="15" hidden="false" customHeight="false" outlineLevel="0" collapsed="false">
      <c r="A38" s="9" t="n">
        <v>6.6</v>
      </c>
      <c r="B38" s="7" t="n">
        <f aca="false">Diseño!$B$5/Diseño!$B$6*(1-EXP(-A38/(Diseño!$B$7/Diseño!$B$6)))</f>
        <v>12.3088947125275</v>
      </c>
      <c r="C38" s="9" t="n">
        <f aca="false">0.5*Diseño!$B$7*B38^2</f>
        <v>378.772222610216</v>
      </c>
    </row>
    <row r="39" customFormat="false" ht="15" hidden="false" customHeight="false" outlineLevel="0" collapsed="false">
      <c r="A39" s="9" t="n">
        <v>6.8</v>
      </c>
      <c r="B39" s="7" t="n">
        <f aca="false">Diseño!$B$5/Diseño!$B$6*(1-EXP(-A39/(Diseño!$B$7/Diseño!$B$6)))</f>
        <v>12.5505695412023</v>
      </c>
      <c r="C39" s="9" t="n">
        <f aca="false">0.5*Diseño!$B$7*B39^2</f>
        <v>393.791989521386</v>
      </c>
    </row>
    <row r="40" customFormat="false" ht="15" hidden="false" customHeight="false" outlineLevel="0" collapsed="false">
      <c r="A40" s="9" t="n">
        <v>7</v>
      </c>
      <c r="B40" s="7" t="n">
        <f aca="false">Diseño!$B$5/Diseño!$B$6*(1-EXP(-A40/(Diseño!$B$7/Diseño!$B$6)))</f>
        <v>12.7865132228457</v>
      </c>
      <c r="C40" s="9" t="n">
        <f aca="false">0.5*Diseño!$B$7*B40^2</f>
        <v>408.73730099502</v>
      </c>
    </row>
    <row r="41" customFormat="false" ht="15" hidden="false" customHeight="false" outlineLevel="0" collapsed="false">
      <c r="A41" s="9" t="n">
        <v>7.2</v>
      </c>
      <c r="B41" s="7" t="n">
        <f aca="false">Diseño!$B$5/Diseño!$B$6*(1-EXP(-A41/(Diseño!$B$7/Diseño!$B$6)))</f>
        <v>13.0168616675419</v>
      </c>
      <c r="C41" s="9" t="n">
        <f aca="false">0.5*Diseño!$B$7*B41^2</f>
        <v>423.596719179801</v>
      </c>
    </row>
    <row r="42" customFormat="false" ht="15" hidden="false" customHeight="false" outlineLevel="0" collapsed="false">
      <c r="A42" s="9" t="n">
        <v>7.4</v>
      </c>
      <c r="B42" s="7" t="n">
        <f aca="false">Diseño!$B$5/Diseño!$B$6*(1-EXP(-A42/(Diseño!$B$7/Diseño!$B$6)))</f>
        <v>13.2417475623637</v>
      </c>
      <c r="C42" s="9" t="n">
        <f aca="false">0.5*Diseño!$B$7*B42^2</f>
        <v>438.35969626341</v>
      </c>
    </row>
    <row r="43" customFormat="false" ht="15" hidden="false" customHeight="false" outlineLevel="0" collapsed="false">
      <c r="A43" s="9" t="n">
        <v>7.6</v>
      </c>
      <c r="B43" s="7" t="n">
        <f aca="false">Diseño!$B$5/Diseño!$B$6*(1-EXP(-A43/(Diseño!$B$7/Diseño!$B$6)))</f>
        <v>13.4613004478043</v>
      </c>
      <c r="C43" s="9" t="n">
        <f aca="false">0.5*Diseño!$B$7*B43^2</f>
        <v>453.016524365142</v>
      </c>
    </row>
    <row r="44" customFormat="false" ht="15" hidden="false" customHeight="false" outlineLevel="0" collapsed="false">
      <c r="A44" s="9" t="n">
        <v>7.8</v>
      </c>
      <c r="B44" s="7" t="n">
        <f aca="false">Diseño!$B$5/Diseño!$B$6*(1-EXP(-A44/(Diseño!$B$7/Diseño!$B$6)))</f>
        <v>13.6756467923961</v>
      </c>
      <c r="C44" s="9" t="n">
        <f aca="false">0.5*Diseño!$B$7*B44^2</f>
        <v>467.558287975937</v>
      </c>
    </row>
    <row r="45" customFormat="false" ht="15" hidden="false" customHeight="false" outlineLevel="0" collapsed="false">
      <c r="A45" s="9" t="n">
        <v>8</v>
      </c>
      <c r="B45" s="7" t="n">
        <f aca="false">Diseño!$B$5/Diseño!$B$6*(1-EXP(-A45/(Diseño!$B$7/Diseño!$B$6)))</f>
        <v>13.88491006556</v>
      </c>
      <c r="C45" s="9" t="n">
        <f aca="false">0.5*Diseño!$B$7*B45^2</f>
        <v>481.976818821722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4"/>
  </cols>
  <sheetData>
    <row r="1" customFormat="false" ht="16.1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3" t="s">
        <v>63</v>
      </c>
      <c r="B4" s="3" t="s">
        <v>64</v>
      </c>
      <c r="C4" s="3" t="s">
        <v>65</v>
      </c>
      <c r="D4" s="3" t="s">
        <v>66</v>
      </c>
      <c r="E4" s="3" t="s">
        <v>67</v>
      </c>
      <c r="F4" s="3" t="s">
        <v>68</v>
      </c>
      <c r="G4" s="3" t="s">
        <v>69</v>
      </c>
      <c r="H4" s="3" t="s">
        <v>32</v>
      </c>
      <c r="I4" s="3" t="s">
        <v>70</v>
      </c>
    </row>
    <row r="5" customFormat="false" ht="15" hidden="false" customHeight="false" outlineLevel="0" collapsed="false">
      <c r="A5" s="4" t="s">
        <v>71</v>
      </c>
      <c r="B5" s="5" t="n">
        <v>13.5</v>
      </c>
      <c r="C5" s="5" t="n">
        <v>2.7</v>
      </c>
      <c r="D5" s="5" t="n">
        <v>1</v>
      </c>
      <c r="E5" s="7" t="n">
        <f aca="false">IF(C5&gt;0,B5/(C5/D5),"")</f>
        <v>5</v>
      </c>
      <c r="F5" s="5" t="n">
        <v>0.6</v>
      </c>
      <c r="G5" s="5" t="n">
        <v>7</v>
      </c>
      <c r="H5" s="7" t="n">
        <f aca="false">IF(AND(E5&lt;&gt;"",F5&gt;0),E5/F5,"")</f>
        <v>8.33333333333333</v>
      </c>
      <c r="I5" s="7" t="n">
        <f aca="false">IF(H5="","",IF(G5*F5&lt;B5,-H5*LN(1-G5*F5/B5),"No alcanza"))</f>
        <v>3.10562737737645</v>
      </c>
    </row>
    <row r="6" customFormat="false" ht="15" hidden="false" customHeight="false" outlineLevel="0" collapsed="false">
      <c r="A6" s="4" t="s">
        <v>72</v>
      </c>
      <c r="B6" s="5"/>
      <c r="C6" s="5"/>
      <c r="D6" s="5"/>
      <c r="E6" s="7" t="str">
        <f aca="false">IF(C6&gt;0,B6/(C6/D6),"")</f>
        <v/>
      </c>
      <c r="F6" s="5"/>
      <c r="G6" s="5"/>
      <c r="H6" s="7" t="str">
        <f aca="false">IF(AND(E6&lt;&gt;"",F6&gt;0),E6/F6,"")</f>
        <v/>
      </c>
      <c r="I6" s="7" t="str">
        <f aca="false">IF(H6="","",IF(G6*F6&lt;B6,-H6*LN(1-G6*F6/B6),"No alcanza"))</f>
        <v/>
      </c>
    </row>
    <row r="7" customFormat="false" ht="15" hidden="false" customHeight="false" outlineLevel="0" collapsed="false">
      <c r="A7" s="4" t="s">
        <v>73</v>
      </c>
      <c r="B7" s="5"/>
      <c r="C7" s="5"/>
      <c r="D7" s="5"/>
      <c r="E7" s="7" t="str">
        <f aca="false">IF(C7&gt;0,B7/(C7/D7),"")</f>
        <v/>
      </c>
      <c r="F7" s="5"/>
      <c r="G7" s="5"/>
      <c r="H7" s="7" t="str">
        <f aca="false">IF(AND(E7&lt;&gt;"",F7&gt;0),E7/F7,"")</f>
        <v/>
      </c>
      <c r="I7" s="7" t="str">
        <f aca="false">IF(H7="","",IF(G7*F7&lt;B7,-H7*LN(1-G7*F7/B7),"No alcanza"))</f>
        <v/>
      </c>
    </row>
    <row r="8" customFormat="false" ht="15" hidden="false" customHeight="false" outlineLevel="0" collapsed="false">
      <c r="A8" s="4" t="s">
        <v>74</v>
      </c>
      <c r="B8" s="5"/>
      <c r="C8" s="5"/>
      <c r="D8" s="5"/>
      <c r="E8" s="7" t="str">
        <f aca="false">IF(C8&gt;0,B8/(C8/D8),"")</f>
        <v/>
      </c>
      <c r="F8" s="5"/>
      <c r="G8" s="5"/>
      <c r="H8" s="7" t="str">
        <f aca="false">IF(AND(E8&lt;&gt;"",F8&gt;0),E8/F8,"")</f>
        <v/>
      </c>
      <c r="I8" s="7" t="str">
        <f aca="false">IF(H8="","",IF(G8*F8&lt;B8,-H8*LN(1-G8*F8/B8),"No alcanza"))</f>
        <v/>
      </c>
    </row>
    <row r="9" customFormat="false" ht="15" hidden="false" customHeight="false" outlineLevel="0" collapsed="false">
      <c r="A9" s="4" t="s">
        <v>75</v>
      </c>
      <c r="B9" s="5"/>
      <c r="C9" s="5"/>
      <c r="D9" s="5"/>
      <c r="E9" s="7" t="str">
        <f aca="false">IF(C9&gt;0,B9/(C9/D9),"")</f>
        <v/>
      </c>
      <c r="F9" s="5"/>
      <c r="G9" s="5"/>
      <c r="H9" s="7" t="str">
        <f aca="false">IF(AND(E9&lt;&gt;"",F9&gt;0),E9/F9,"")</f>
        <v/>
      </c>
      <c r="I9" s="7" t="str">
        <f aca="false">IF(H9="","",IF(G9*F9&lt;B9,-H9*LN(1-G9*F9/B9),"No alcanza"))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6.1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15" hidden="false" customHeight="false" outlineLevel="0" collapsed="false">
      <c r="A4" s="3" t="s">
        <v>15</v>
      </c>
      <c r="B4" s="3" t="s">
        <v>78</v>
      </c>
      <c r="C4" s="3" t="s">
        <v>79</v>
      </c>
      <c r="D4" s="3" t="s">
        <v>80</v>
      </c>
      <c r="E4" s="3" t="s">
        <v>81</v>
      </c>
      <c r="F4" s="3" t="s">
        <v>82</v>
      </c>
    </row>
    <row r="5" customFormat="false" ht="15" hidden="false" customHeight="false" outlineLevel="0" collapsed="false">
      <c r="A5" s="5" t="n">
        <v>1000</v>
      </c>
      <c r="B5" s="5" t="n">
        <v>3</v>
      </c>
      <c r="C5" s="12" t="n">
        <f aca="false">30000000/A5</f>
        <v>30000</v>
      </c>
      <c r="D5" s="12" t="n">
        <f aca="false">MIN(B5*1000,8000,0.7*C5)</f>
        <v>3000</v>
      </c>
      <c r="E5" s="12" t="n">
        <f aca="false">ROUND(D5/4,0)</f>
        <v>750</v>
      </c>
      <c r="F5" s="12" t="n">
        <f aca="false">ROUND((C5-D5)/4,0)</f>
        <v>6750</v>
      </c>
    </row>
    <row r="6" customFormat="false" ht="15" hidden="false" customHeight="false" outlineLevel="0" collapsed="false">
      <c r="A6" s="5" t="n">
        <v>3000</v>
      </c>
      <c r="B6" s="5" t="n">
        <v>3</v>
      </c>
      <c r="C6" s="12" t="n">
        <f aca="false">30000000/A6</f>
        <v>10000</v>
      </c>
      <c r="D6" s="12" t="n">
        <f aca="false">MIN(B6*1000,8000,0.7*C6)</f>
        <v>3000</v>
      </c>
      <c r="E6" s="12" t="n">
        <f aca="false">ROUND(D6/4,0)</f>
        <v>750</v>
      </c>
      <c r="F6" s="12" t="n">
        <f aca="false">ROUND((C6-D6)/4,0)</f>
        <v>1750</v>
      </c>
    </row>
    <row r="7" customFormat="false" ht="15" hidden="false" customHeight="false" outlineLevel="0" collapsed="false">
      <c r="A7" s="5" t="n">
        <v>6000</v>
      </c>
      <c r="B7" s="5" t="n">
        <v>3</v>
      </c>
      <c r="C7" s="12" t="n">
        <f aca="false">30000000/A7</f>
        <v>5000</v>
      </c>
      <c r="D7" s="12" t="n">
        <f aca="false">MIN(B7*1000,8000,0.7*C7)</f>
        <v>3000</v>
      </c>
      <c r="E7" s="12" t="n">
        <f aca="false">ROUND(D7/4,0)</f>
        <v>750</v>
      </c>
      <c r="F7" s="12" t="n">
        <f aca="false">ROUND((C7-D7)/4,0)</f>
        <v>500</v>
      </c>
    </row>
    <row r="8" customFormat="false" ht="15" hidden="false" customHeight="false" outlineLevel="0" collapsed="false">
      <c r="A8" s="5" t="n">
        <v>6000</v>
      </c>
      <c r="B8" s="5" t="n">
        <v>8</v>
      </c>
      <c r="C8" s="12" t="n">
        <f aca="false">30000000/A8</f>
        <v>5000</v>
      </c>
      <c r="D8" s="12" t="n">
        <f aca="false">MIN(B8*1000,8000,0.7*C8)</f>
        <v>3500</v>
      </c>
      <c r="E8" s="12" t="n">
        <f aca="false">ROUND(D8/4,0)</f>
        <v>875</v>
      </c>
      <c r="F8" s="12" t="n">
        <f aca="false">ROUND((C8-D8)/4,0)</f>
        <v>375</v>
      </c>
    </row>
    <row r="9" customFormat="false" ht="15" hidden="false" customHeight="false" outlineLevel="0" collapsed="false">
      <c r="A9" s="5" t="n">
        <v>7000</v>
      </c>
      <c r="B9" s="5" t="n">
        <v>3.2</v>
      </c>
      <c r="C9" s="12" t="n">
        <f aca="false">30000000/A9</f>
        <v>4285.71428571429</v>
      </c>
      <c r="D9" s="12" t="n">
        <f aca="false">MIN(B9*1000,8000,0.7*C9)</f>
        <v>3000</v>
      </c>
      <c r="E9" s="12" t="n">
        <f aca="false">ROUND(D9/4,0)</f>
        <v>750</v>
      </c>
      <c r="F9" s="12" t="n">
        <f aca="false">ROUND((C9-D9)/4,0)</f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2026-09-30T19:49:20Z</dcterms:created>
  <dc:creator>openpyxl</dc:creator>
  <dc:description/>
  <dc:language>en-US</dc:language>
  <cp:lastModifiedBy/>
  <dcterms:modified xsi:type="dcterms:W3CDTF">2026-09-30T19:49:22Z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