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Cambio_aceite" sheetId="3" state="visible" r:id="rId3"/>
    <sheet xmlns:r="http://schemas.openxmlformats.org/officeDocument/2006/relationships" name="Grafic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2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8" fillId="2" borderId="1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166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2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8" fillId="2" borderId="1" applyAlignment="1" pivotButton="0" quotePrefix="0" xfId="0">
      <alignment horizontal="general" vertical="bottom"/>
    </xf>
    <xf numFmtId="165" fontId="18" fillId="6" borderId="1" applyAlignment="1" pivotButton="0" quotePrefix="0" xfId="0">
      <alignment horizontal="general" vertical="bottom"/>
    </xf>
    <xf numFmtId="165" fontId="15" fillId="6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Kilómetros restantes hasta el próximo servicio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Plan!J10</f>
              <strCache>
                <ptCount val="1"/>
                <pt idx="0">
                  <v>Km restantes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Plan!$A$11:$A$18</f>
              <strCache>
                <ptCount val="8"/>
                <pt idx="0">
                  <v>Aceite y filtro de aceite</v>
                </pt>
                <pt idx="1">
                  <v>Filtro de aire</v>
                </pt>
                <pt idx="2">
                  <v>Filtro de combustible</v>
                </pt>
                <pt idx="3">
                  <v>Bujías</v>
                </pt>
                <pt idx="4">
                  <v>Refrigerante</v>
                </pt>
                <pt idx="5">
                  <v>Correa de accesorios</v>
                </pt>
                <pt idx="6">
                  <v>Correa de distribución (kit)</v>
                </pt>
                <pt idx="7">
                  <v>Holgura de válvulas</v>
                </pt>
              </strCache>
            </strRef>
          </cat>
          <val>
            <numRef>
              <f>Plan!$J$11:$J$18</f>
              <numCache>
                <formatCode>#,##0</formatCode>
                <ptCount val="8"/>
                <pt idx="0">
                  <v>-2500</v>
                </pt>
                <pt idx="1">
                  <v>2500</v>
                </pt>
                <pt idx="2">
                  <v>-7500</v>
                </pt>
                <pt idx="3">
                  <v>-7500</v>
                </pt>
                <pt idx="4">
                  <v>2500</v>
                </pt>
                <pt idx="5">
                  <v>2500</v>
                </pt>
                <pt idx="6">
                  <v>-42500</v>
                </pt>
                <pt idx="7">
                  <v>-7500</v>
                </pt>
              </numCache>
            </numRef>
          </val>
        </ser>
        <gapWidth val="150"/>
        <overlap val="0"/>
        <axId val="64025505"/>
        <axId val="46040981"/>
      </barChart>
      <catAx>
        <axId val="64025505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040981"/>
        <crosses val="autoZero"/>
        <auto val="1"/>
        <lblAlgn val="ctr"/>
        <lblOffset val="100"/>
        <noMultiLvlLbl val="0"/>
      </catAx>
      <valAx>
        <axId val="4604098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02550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Kilómetros restantes hasta el próximo servicio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Plan!J10</c:f>
              <c:strCache>
                <c:ptCount val="1"/>
                <c:pt idx="0">
                  <c:v>Km restantes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Plan!$A$11:$A$18</c:f>
              <c:strCache>
                <c:ptCount val="8"/>
                <c:pt idx="0">
                  <c:v>Aceite y filtro de aceite</c:v>
                </c:pt>
                <c:pt idx="1">
                  <c:v>Filtro de aire</c:v>
                </c:pt>
                <c:pt idx="2">
                  <c:v>Filtro de combustible</c:v>
                </c:pt>
                <c:pt idx="3">
                  <c:v>Bujías</c:v>
                </c:pt>
                <c:pt idx="4">
                  <c:v>Refrigerante</c:v>
                </c:pt>
                <c:pt idx="5">
                  <c:v>Correa de accesorios</c:v>
                </c:pt>
                <c:pt idx="6">
                  <c:v>Correa de distribución (kit)</c:v>
                </c:pt>
                <c:pt idx="7">
                  <c:v>Holgura de válvulas</c:v>
                </c:pt>
              </c:strCache>
            </c:strRef>
          </c:cat>
          <c:val>
            <c:numRef>
              <c:f>Plan!$J$11:$J$18</c:f>
              <c:numCache>
                <c:formatCode>#,##0</c:formatCode>
                <c:ptCount val="8"/>
                <c:pt idx="0">
                  <c:v>-2500</c:v>
                </c:pt>
                <c:pt idx="1">
                  <c:v>2500</c:v>
                </c:pt>
                <c:pt idx="2">
                  <c:v>-7500</c:v>
                </c:pt>
                <c:pt idx="3">
                  <c:v>-7500</c:v>
                </c:pt>
                <c:pt idx="4">
                  <c:v>2500</c:v>
                </c:pt>
                <c:pt idx="5">
                  <c:v>2500</c:v>
                </c:pt>
                <c:pt idx="6">
                  <c:v>-42500</c:v>
                </c:pt>
                <c:pt idx="7">
                  <c:v>-7500</c:v>
                </c:pt>
              </c:numCache>
            </c:numRef>
          </c:val>
        </c:ser>
        <c:gapWidth val="150"/>
        <c:overlap val="0"/>
        <c:axId val="64025505"/>
        <c:axId val="46040981"/>
      </c:barChart>
      <c:catAx>
        <c:axId val="6402550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40981"/>
        <c:crosses val="autoZero"/>
        <c:auto val="1"/>
        <c:lblAlgn val="ctr"/>
        <c:lblOffset val="100"/>
        <c:noMultiLvlLbl val="0"/>
      </c:catAx>
      <c:valAx>
        <c:axId val="46040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255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364680</colOff>
      <row>17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364680</xdr:colOff>
      <xdr:row>17</xdr:row>
      <xdr:rowOff>1080</xdr:rowOff>
    </xdr:to>
    <xdr:graphicFrame>
      <xdr:nvGraphicFramePr>
        <xdr:cNvPr id="0" name="Chart 1"/>
        <xdr:cNvGraphicFramePr/>
      </xdr:nvGraphicFramePr>
      <xdr:xfrm>
        <a:off x="0" y="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9" min="1" max="1"/>
    <col width="8" customWidth="1" style="19" min="2" max="2"/>
    <col width="13" customWidth="1" style="19" min="3" max="3"/>
    <col width="13" customWidth="1" style="19" min="4" max="4"/>
    <col width="13" customWidth="1" style="19" min="5" max="5"/>
    <col width="15" customWidth="1" style="19" min="6" max="6"/>
    <col width="13" customWidth="1" style="19" min="7" max="7"/>
    <col width="13" customWidth="1" style="19" min="8" max="8"/>
    <col width="24" customWidth="1" style="19" min="9" max="9"/>
    <col width="60" customWidth="1" style="19" min="10" max="10"/>
  </cols>
  <sheetData>
    <row r="1">
      <c r="A1" s="20" t="inlineStr">
        <is>
          <t>ESPECIFICACIONES DEL FABRICANTE – MOTOR ASIGNADO</t>
        </is>
      </c>
    </row>
    <row r="3">
      <c r="A3" s="21" t="inlineStr">
        <is>
          <t>Motor asignado (elija de la lista):</t>
        </is>
      </c>
      <c r="C3" s="22" t="inlineStr">
        <is>
          <t>Daihatsu CB-20</t>
        </is>
      </c>
      <c r="D3" s="23" t="n"/>
      <c r="E3" s="24" t="n"/>
    </row>
    <row r="4" ht="45" customHeight="1" s="19">
      <c r="A4" s="25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9">
      <c r="A6" s="26" t="inlineStr">
        <is>
          <t>Comprobación</t>
        </is>
      </c>
      <c r="B6" s="26" t="inlineStr">
        <is>
          <t>Unidad</t>
        </is>
      </c>
      <c r="C6" s="26" t="inlineStr">
        <is>
          <t>Daihatsu CB-20</t>
        </is>
      </c>
      <c r="D6" s="26" t="inlineStr">
        <is>
          <t>Nissan A14</t>
        </is>
      </c>
      <c r="E6" s="26" t="inlineStr">
        <is>
          <t>Hyundai G4EC</t>
        </is>
      </c>
      <c r="F6" s="26" t="inlineStr">
        <is>
          <t>Chevrolet Monza 2.0</t>
        </is>
      </c>
      <c r="G6" s="26" t="inlineStr">
        <is>
          <t>Valor orientativo</t>
        </is>
      </c>
      <c r="H6" s="26" t="inlineStr">
        <is>
          <t>Valor aplicado</t>
        </is>
      </c>
      <c r="I6" s="26" t="inlineStr">
        <is>
          <t>Origen</t>
        </is>
      </c>
      <c r="J6" s="26" t="inlineStr">
        <is>
          <t>Fuente en el manual</t>
        </is>
      </c>
    </row>
    <row r="7">
      <c r="A7" s="27" t="inlineStr">
        <is>
          <t>Capacidad de aceite</t>
        </is>
      </c>
      <c r="B7" s="28" t="inlineStr">
        <is>
          <t>L</t>
        </is>
      </c>
      <c r="C7" s="29" t="n">
        <v>2.9</v>
      </c>
      <c r="D7" s="29" t="n">
        <v>3.2</v>
      </c>
      <c r="E7" s="29" t="n"/>
      <c r="F7" s="29" t="n"/>
      <c r="G7" s="29" t="n">
        <v>4</v>
      </c>
      <c r="H7" s="30">
        <f>IF(ISNUMBER(INDEX($C7:$F7,MATCH($C$3,$C$6:$F$6,0))),INDEX($C7:$F7,MATCH($C$3,$C$6:$F$6,0)),IF(INDEX($C7:$F7,MATCH($C$3,$C$6:$F$6,0))&lt;&gt;"","",IF($G7="","",$G7)))</f>
        <v/>
      </c>
      <c r="I7" s="27">
        <f>IF(ISNUMBER(INDEX($C7:$F7,MATCH($C$3,$C$6:$F$6,0))),"Manual",IF(INDEX($C7:$F7,MATCH($C$3,$C$6:$F$6,0))&lt;&gt;"","No aplica a este motor",IF($G7="","Sin dato","Orientativo: el manual no lo especifica")))</f>
        <v/>
      </c>
      <c r="J7" s="27" t="inlineStr">
        <is>
          <t>CB-20: G10 p. 13; Haynes p. 18 (con filtro)</t>
        </is>
      </c>
    </row>
    <row r="8">
      <c r="A8" s="27" t="inlineStr">
        <is>
          <t>Par del tapón de vaciado – mín.</t>
        </is>
      </c>
      <c r="B8" s="28" t="inlineStr">
        <is>
          <t>N·m</t>
        </is>
      </c>
      <c r="C8" s="29" t="n">
        <v>24.5</v>
      </c>
      <c r="D8" s="29" t="n">
        <v>19.6</v>
      </c>
      <c r="E8" s="29" t="n">
        <v>35</v>
      </c>
      <c r="F8" s="29" t="n"/>
      <c r="G8" s="29" t="n"/>
      <c r="H8" s="30">
        <f>IF(ISNUMBER(INDEX($C8:$F8,MATCH($C$3,$C$6:$F$6,0))),INDEX($C8:$F8,MATCH($C$3,$C$6:$F$6,0)),IF(INDEX($C8:$F8,MATCH($C$3,$C$6:$F$6,0))&lt;&gt;"","",IF($G8="","",$G8)))</f>
        <v/>
      </c>
      <c r="I8" s="27">
        <f>IF(ISNUMBER(INDEX($C8:$F8,MATCH($C$3,$C$6:$F$6,0))),"Manual",IF(INDEX($C8:$F8,MATCH($C$3,$C$6:$F$6,0))&lt;&gt;"","No aplica a este motor",IF($G8="","Sin dato","Orientativo: el manual no lo especifica")))</f>
        <v/>
      </c>
      <c r="J8" s="27" t="inlineStr">
        <is>
          <t>CB p. 13-12 (2,5–3,5 kg·m); Haynes p. 20 (2,0–3,0 kgf·m); Hyundai</t>
        </is>
      </c>
    </row>
    <row r="9">
      <c r="A9" s="27" t="inlineStr">
        <is>
          <t>Par del tapón de vaciado – máx.</t>
        </is>
      </c>
      <c r="B9" s="28" t="inlineStr">
        <is>
          <t>N·m</t>
        </is>
      </c>
      <c r="C9" s="29" t="n">
        <v>34.3</v>
      </c>
      <c r="D9" s="29" t="n">
        <v>29.4</v>
      </c>
      <c r="E9" s="29" t="n">
        <v>45</v>
      </c>
      <c r="F9" s="29" t="n"/>
      <c r="G9" s="29" t="n"/>
      <c r="H9" s="30">
        <f>IF(ISNUMBER(INDEX($C9:$F9,MATCH($C$3,$C$6:$F$6,0))),INDEX($C9:$F9,MATCH($C$3,$C$6:$F$6,0)),IF(INDEX($C9:$F9,MATCH($C$3,$C$6:$F$6,0))&lt;&gt;"","",IF($G9="","",$G9)))</f>
        <v/>
      </c>
      <c r="I9" s="27">
        <f>IF(ISNUMBER(INDEX($C9:$F9,MATCH($C$3,$C$6:$F$6,0))),"Manual",IF(INDEX($C9:$F9,MATCH($C$3,$C$6:$F$6,0))&lt;&gt;"","No aplica a este motor",IF($G9="","Sin dato","Orientativo: el manual no lo especifica")))</f>
        <v/>
      </c>
      <c r="J9" s="27" t="inlineStr">
        <is>
          <t>Ídem</t>
        </is>
      </c>
    </row>
    <row r="10">
      <c r="A10" s="27" t="inlineStr">
        <is>
          <t>Par de apriete del filtro de aceite – mín.</t>
        </is>
      </c>
      <c r="B10" s="28" t="inlineStr">
        <is>
          <t>N·m</t>
        </is>
      </c>
      <c r="C10" s="29" t="n"/>
      <c r="D10" s="29" t="n"/>
      <c r="E10" s="29" t="n">
        <v>12</v>
      </c>
      <c r="F10" s="29" t="n"/>
      <c r="G10" s="29" t="n"/>
      <c r="H10" s="30">
        <f>IF(ISNUMBER(INDEX($C10:$F10,MATCH($C$3,$C$6:$F$6,0))),INDEX($C10:$F10,MATCH($C$3,$C$6:$F$6,0)),IF(INDEX($C10:$F10,MATCH($C$3,$C$6:$F$6,0))&lt;&gt;"","",IF($G10="","",$G10)))</f>
        <v/>
      </c>
      <c r="I10" s="27">
        <f>IF(ISNUMBER(INDEX($C10:$F10,MATCH($C$3,$C$6:$F$6,0))),"Manual",IF(INDEX($C10:$F10,MATCH($C$3,$C$6:$F$6,0))&lt;&gt;"","No aplica a este motor",IF($G10="","Sin dato","Orientativo: el manual no lo especifica")))</f>
        <v/>
      </c>
      <c r="J10" s="27" t="inlineStr">
        <is>
          <t>Hyundai</t>
        </is>
      </c>
    </row>
    <row r="11">
      <c r="A11" s="27" t="inlineStr">
        <is>
          <t>Par de apriete del filtro de aceite – máx.</t>
        </is>
      </c>
      <c r="B11" s="28" t="inlineStr">
        <is>
          <t>N·m</t>
        </is>
      </c>
      <c r="C11" s="29" t="n"/>
      <c r="D11" s="29" t="n"/>
      <c r="E11" s="29" t="n">
        <v>16</v>
      </c>
      <c r="F11" s="29" t="n"/>
      <c r="G11" s="29" t="n"/>
      <c r="H11" s="30">
        <f>IF(ISNUMBER(INDEX($C11:$F11,MATCH($C$3,$C$6:$F$6,0))),INDEX($C11:$F11,MATCH($C$3,$C$6:$F$6,0)),IF(INDEX($C11:$F11,MATCH($C$3,$C$6:$F$6,0))&lt;&gt;"","",IF($G11="","",$G11)))</f>
        <v/>
      </c>
      <c r="I11" s="27">
        <f>IF(ISNUMBER(INDEX($C11:$F11,MATCH($C$3,$C$6:$F$6,0))),"Manual",IF(INDEX($C11:$F11,MATCH($C$3,$C$6:$F$6,0))&lt;&gt;"","No aplica a este motor",IF($G11="","Sin dato","Orientativo: el manual no lo especifica")))</f>
        <v/>
      </c>
      <c r="J11" s="27" t="inlineStr">
        <is>
          <t>Hyundai</t>
        </is>
      </c>
    </row>
    <row r="13" ht="48" customHeight="1" s="19">
      <c r="A13" s="25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C3:E3"/>
    <mergeCell ref="A4:J4"/>
    <mergeCell ref="A13:J13"/>
  </mergeCells>
  <conditionalFormatting sqref="C7:F11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1" min="1" max="1"/>
    <col width="14" customWidth="1" style="31" min="2" max="5"/>
    <col width="16" customWidth="1" style="31" min="6" max="7"/>
    <col width="13" customWidth="1" style="31" min="8" max="10"/>
    <col width="12" customWidth="1" style="31" min="11" max="11"/>
  </cols>
  <sheetData>
    <row r="1" ht="17.35" customHeight="1" s="19">
      <c r="A1" s="32" t="inlineStr">
        <is>
          <t>SFM GUÍA 18 – PLAN DE MANTENIMIENTO PREVENTIVO DEL MOTOR</t>
        </is>
      </c>
    </row>
    <row r="2" ht="15" customHeight="1" s="19">
      <c r="A2" s="33" t="inlineStr">
        <is>
          <t>Próximo servicio = última realización + intervalo (lo que ocurra primero: km o meses)</t>
        </is>
      </c>
    </row>
    <row r="3" ht="15" customHeight="1" s="19">
      <c r="A3" s="34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9">
      <c r="A4" s="35" t="inlineStr">
        <is>
          <t>Kilometraje actual (km)</t>
        </is>
      </c>
      <c r="D4" s="36" t="n"/>
    </row>
    <row r="5" ht="15" customHeight="1" s="19">
      <c r="A5" s="35" t="inlineStr">
        <is>
          <t>Fecha de la revisión</t>
        </is>
      </c>
      <c r="D5" s="37">
        <f>DATE(2026,10,15)</f>
        <v/>
      </c>
    </row>
    <row r="6" ht="15" customHeight="1" s="19">
      <c r="A6" s="35" t="inlineStr">
        <is>
          <t>Tipo de servicio (Normal/Severo)</t>
        </is>
      </c>
      <c r="D6" s="38" t="inlineStr">
        <is>
          <t>Severo</t>
        </is>
      </c>
    </row>
    <row r="7" ht="15" customHeight="1" s="19">
      <c r="A7" s="35" t="inlineStr">
        <is>
          <t>Factor de reducción en servicio severo</t>
        </is>
      </c>
      <c r="D7" s="39" t="n">
        <v>0.5</v>
      </c>
    </row>
    <row r="8" ht="15" customHeight="1" s="19">
      <c r="A8" s="35" t="inlineStr">
        <is>
          <t>Aviso anticipado (km)</t>
        </is>
      </c>
      <c r="D8" s="36" t="n">
        <v>1000</v>
      </c>
    </row>
    <row r="9"/>
    <row r="10" ht="31.5" customHeight="1" s="19">
      <c r="A10" s="40" t="inlineStr">
        <is>
          <t>Operación</t>
        </is>
      </c>
      <c r="B10" s="40" t="inlineStr">
        <is>
          <t>Intervalo normal (km)</t>
        </is>
      </c>
      <c r="C10" s="40" t="inlineStr">
        <is>
          <t>Intervalo normal (meses)</t>
        </is>
      </c>
      <c r="D10" s="40" t="inlineStr">
        <is>
          <t>Intervalo aplicado (km)</t>
        </is>
      </c>
      <c r="E10" s="40" t="inlineStr">
        <is>
          <t>Intervalo aplicado (meses)</t>
        </is>
      </c>
      <c r="F10" s="40" t="inlineStr">
        <is>
          <t>Última realización (km)</t>
        </is>
      </c>
      <c r="G10" s="40" t="inlineStr">
        <is>
          <t>Última realización (fecha)</t>
        </is>
      </c>
      <c r="H10" s="40" t="inlineStr">
        <is>
          <t>Próxima (km)</t>
        </is>
      </c>
      <c r="I10" s="40" t="inlineStr">
        <is>
          <t>Próxima (fecha)</t>
        </is>
      </c>
      <c r="J10" s="40" t="inlineStr">
        <is>
          <t>Km restantes</t>
        </is>
      </c>
      <c r="K10" s="40" t="inlineStr">
        <is>
          <t>Estado</t>
        </is>
      </c>
    </row>
    <row r="11" ht="15" customHeight="1" s="19">
      <c r="A11" s="41" t="inlineStr">
        <is>
          <t>Aceite y filtro de aceite</t>
        </is>
      </c>
      <c r="B11" s="36" t="n">
        <v>10000</v>
      </c>
      <c r="C11" s="42" t="n">
        <v>12</v>
      </c>
      <c r="D11" s="43">
        <f>IF($D$6="Severo",B11*$D$7,B11)</f>
        <v/>
      </c>
      <c r="E11" s="44">
        <f>IF($D$6="Severo",ROUND(C11*$D$7,0),C11)</f>
        <v/>
      </c>
      <c r="F11" s="36" t="n"/>
      <c r="G11" s="37" t="n"/>
      <c r="H11" s="43">
        <f>IF(COUNTA(F11)=0,"",F11+D11)</f>
        <v/>
      </c>
      <c r="I11" s="45">
        <f>IF(COUNTA(G11)=0,"",EDATE(G11,E11))</f>
        <v/>
      </c>
      <c r="J11" s="43">
        <f>IF(COUNTA(D4,F11)=0,"",H11-$D$4)</f>
        <v/>
      </c>
      <c r="K11" s="46">
        <f>IF(COUNTA(D4,F11,G11)=0,"",IF(OR(J11&lt;=0,I11&lt;=$D$5),"VENCIDO",IF(OR(J11&lt;=$D$8,I11-$D$5&lt;=30),"Próximo","Al día")))</f>
        <v/>
      </c>
    </row>
    <row r="12" ht="15" customHeight="1" s="19">
      <c r="A12" s="41" t="inlineStr">
        <is>
          <t>Filtro de aire</t>
        </is>
      </c>
      <c r="B12" s="36" t="n">
        <v>20000</v>
      </c>
      <c r="C12" s="42" t="n">
        <v>24</v>
      </c>
      <c r="D12" s="43">
        <f>IF($D$6="Severo",B12*$D$7,B12)</f>
        <v/>
      </c>
      <c r="E12" s="44">
        <f>IF($D$6="Severo",ROUND(C12*$D$7,0),C12)</f>
        <v/>
      </c>
      <c r="F12" s="36" t="n"/>
      <c r="G12" s="37" t="n"/>
      <c r="H12" s="43">
        <f>IF(COUNTA(F12)=0,"",F12+D12)</f>
        <v/>
      </c>
      <c r="I12" s="45">
        <f>IF(COUNTA(G12)=0,"",EDATE(G12,E12))</f>
        <v/>
      </c>
      <c r="J12" s="43">
        <f>IF(COUNTA(D4,F12)=0,"",H12-$D$4)</f>
        <v/>
      </c>
      <c r="K12" s="46">
        <f>IF(COUNTA(D4,F12,G12)=0,"",IF(OR(J12&lt;=0,I12&lt;=$D$5),"VENCIDO",IF(OR(J12&lt;=$D$8,I12-$D$5&lt;=30),"Próximo","Al día")))</f>
        <v/>
      </c>
    </row>
    <row r="13" ht="15" customHeight="1" s="19">
      <c r="A13" s="41" t="inlineStr">
        <is>
          <t>Filtro de combustible</t>
        </is>
      </c>
      <c r="B13" s="36" t="n">
        <v>40000</v>
      </c>
      <c r="C13" s="42" t="n">
        <v>24</v>
      </c>
      <c r="D13" s="43">
        <f>IF($D$6="Severo",B13*$D$7,B13)</f>
        <v/>
      </c>
      <c r="E13" s="44">
        <f>IF($D$6="Severo",ROUND(C13*$D$7,0),C13)</f>
        <v/>
      </c>
      <c r="F13" s="36" t="n"/>
      <c r="G13" s="37" t="n"/>
      <c r="H13" s="43">
        <f>IF(COUNTA(F13)=0,"",F13+D13)</f>
        <v/>
      </c>
      <c r="I13" s="45">
        <f>IF(COUNTA(G13)=0,"",EDATE(G13,E13))</f>
        <v/>
      </c>
      <c r="J13" s="43">
        <f>IF(COUNTA(D4,F13)=0,"",H13-$D$4)</f>
        <v/>
      </c>
      <c r="K13" s="46">
        <f>IF(COUNTA(D4,F13,G13)=0,"",IF(OR(J13&lt;=0,I13&lt;=$D$5),"VENCIDO",IF(OR(J13&lt;=$D$8,I13-$D$5&lt;=30),"Próximo","Al día")))</f>
        <v/>
      </c>
    </row>
    <row r="14" ht="15" customHeight="1" s="19">
      <c r="A14" s="41" t="inlineStr">
        <is>
          <t>Bujías</t>
        </is>
      </c>
      <c r="B14" s="36" t="n">
        <v>40000</v>
      </c>
      <c r="C14" s="42" t="n">
        <v>48</v>
      </c>
      <c r="D14" s="43">
        <f>IF($D$6="Severo",B14*$D$7,B14)</f>
        <v/>
      </c>
      <c r="E14" s="44">
        <f>IF($D$6="Severo",ROUND(C14*$D$7,0),C14)</f>
        <v/>
      </c>
      <c r="F14" s="36" t="n"/>
      <c r="G14" s="37" t="n"/>
      <c r="H14" s="43">
        <f>IF(COUNTA(F14)=0,"",F14+D14)</f>
        <v/>
      </c>
      <c r="I14" s="45">
        <f>IF(COUNTA(G14)=0,"",EDATE(G14,E14))</f>
        <v/>
      </c>
      <c r="J14" s="43">
        <f>IF(COUNTA(D4,F14)=0,"",H14-$D$4)</f>
        <v/>
      </c>
      <c r="K14" s="46">
        <f>IF(COUNTA(D4,F14,G14)=0,"",IF(OR(J14&lt;=0,I14&lt;=$D$5),"VENCIDO",IF(OR(J14&lt;=$D$8,I14-$D$5&lt;=30),"Próximo","Al día")))</f>
        <v/>
      </c>
    </row>
    <row r="15" ht="15" customHeight="1" s="19">
      <c r="A15" s="41" t="inlineStr">
        <is>
          <t>Refrigerante</t>
        </is>
      </c>
      <c r="B15" s="36" t="n">
        <v>60000</v>
      </c>
      <c r="C15" s="42" t="n">
        <v>48</v>
      </c>
      <c r="D15" s="43">
        <f>IF($D$6="Severo",B15*$D$7,B15)</f>
        <v/>
      </c>
      <c r="E15" s="44">
        <f>IF($D$6="Severo",ROUND(C15*$D$7,0),C15)</f>
        <v/>
      </c>
      <c r="F15" s="36" t="n"/>
      <c r="G15" s="37" t="n"/>
      <c r="H15" s="43">
        <f>IF(COUNTA(F15)=0,"",F15+D15)</f>
        <v/>
      </c>
      <c r="I15" s="45">
        <f>IF(COUNTA(G15)=0,"",EDATE(G15,E15))</f>
        <v/>
      </c>
      <c r="J15" s="43">
        <f>IF(COUNTA(D4,F15)=0,"",H15-$D$4)</f>
        <v/>
      </c>
      <c r="K15" s="46">
        <f>IF(COUNTA(D4,F15,G15)=0,"",IF(OR(J15&lt;=0,I15&lt;=$D$5),"VENCIDO",IF(OR(J15&lt;=$D$8,I15-$D$5&lt;=30),"Próximo","Al día")))</f>
        <v/>
      </c>
    </row>
    <row r="16" ht="15" customHeight="1" s="19">
      <c r="A16" s="41" t="inlineStr">
        <is>
          <t>Correa de accesorios</t>
        </is>
      </c>
      <c r="B16" s="36" t="n">
        <v>60000</v>
      </c>
      <c r="C16" s="42" t="n">
        <v>48</v>
      </c>
      <c r="D16" s="43">
        <f>IF($D$6="Severo",B16*$D$7,B16)</f>
        <v/>
      </c>
      <c r="E16" s="44">
        <f>IF($D$6="Severo",ROUND(C16*$D$7,0),C16)</f>
        <v/>
      </c>
      <c r="F16" s="36" t="n"/>
      <c r="G16" s="37" t="n"/>
      <c r="H16" s="43">
        <f>IF(COUNTA(F16)=0,"",F16+D16)</f>
        <v/>
      </c>
      <c r="I16" s="45">
        <f>IF(COUNTA(G16)=0,"",EDATE(G16,E16))</f>
        <v/>
      </c>
      <c r="J16" s="43">
        <f>IF(COUNTA(D4,F16)=0,"",H16-$D$4)</f>
        <v/>
      </c>
      <c r="K16" s="46">
        <f>IF(COUNTA(D4,F16,G16)=0,"",IF(OR(J16&lt;=0,I16&lt;=$D$5),"VENCIDO",IF(OR(J16&lt;=$D$8,I16-$D$5&lt;=30),"Próximo","Al día")))</f>
        <v/>
      </c>
    </row>
    <row r="17" ht="15" customHeight="1" s="19">
      <c r="A17" s="41" t="inlineStr">
        <is>
          <t>Correa de distribución (kit)</t>
        </is>
      </c>
      <c r="B17" s="36" t="n">
        <v>90000</v>
      </c>
      <c r="C17" s="42" t="n">
        <v>60</v>
      </c>
      <c r="D17" s="43">
        <f>IF($D$6="Severo",B17*$D$7,B17)</f>
        <v/>
      </c>
      <c r="E17" s="44">
        <f>IF($D$6="Severo",ROUND(C17*$D$7,0),C17)</f>
        <v/>
      </c>
      <c r="F17" s="36" t="n"/>
      <c r="G17" s="37" t="n"/>
      <c r="H17" s="43">
        <f>IF(COUNTA(F17)=0,"",F17+D17)</f>
        <v/>
      </c>
      <c r="I17" s="45">
        <f>IF(COUNTA(G17)=0,"",EDATE(G17,E17))</f>
        <v/>
      </c>
      <c r="J17" s="43">
        <f>IF(COUNTA(D4,F17)=0,"",H17-$D$4)</f>
        <v/>
      </c>
      <c r="K17" s="46">
        <f>IF(COUNTA(D4,F17,G17)=0,"",IF(OR(J17&lt;=0,I17&lt;=$D$5),"VENCIDO",IF(OR(J17&lt;=$D$8,I17-$D$5&lt;=30),"Próximo","Al día")))</f>
        <v/>
      </c>
    </row>
    <row r="18" ht="15" customHeight="1" s="19">
      <c r="A18" s="41" t="inlineStr">
        <is>
          <t>Holgura de válvulas</t>
        </is>
      </c>
      <c r="B18" s="36" t="n">
        <v>40000</v>
      </c>
      <c r="C18" s="42" t="n">
        <v>48</v>
      </c>
      <c r="D18" s="43">
        <f>IF($D$6="Severo",B18*$D$7,B18)</f>
        <v/>
      </c>
      <c r="E18" s="44">
        <f>IF($D$6="Severo",ROUND(C18*$D$7,0),C18)</f>
        <v/>
      </c>
      <c r="F18" s="36" t="n"/>
      <c r="G18" s="37" t="n"/>
      <c r="H18" s="43">
        <f>IF(COUNTA(F18)=0,"",F18+D18)</f>
        <v/>
      </c>
      <c r="I18" s="45">
        <f>IF(COUNTA(G18)=0,"",EDATE(G18,E18))</f>
        <v/>
      </c>
      <c r="J18" s="43">
        <f>IF(COUNTA(D4,F18)=0,"",H18-$D$4)</f>
        <v/>
      </c>
      <c r="K18" s="46">
        <f>IF(COUNTA(D4,F18,G18)=0,"",IF(OR(J18&lt;=0,I18&lt;=$D$5),"VENCIDO",IF(OR(J18&lt;=$D$8,I18-$D$5&lt;=30),"Próximo","Al día")))</f>
        <v/>
      </c>
    </row>
    <row r="19"/>
    <row r="20" ht="15" customHeight="1" s="19">
      <c r="A20" s="41" t="inlineStr">
        <is>
          <t>Operaciones vencidas</t>
        </is>
      </c>
      <c r="D20" s="47">
        <f>IF(COUNTA(D4,F11,G11,F12,G12,F13,G13,F14,G14,F15,G15,F16,G16,F17,G17,F18,G18)=0,"",COUNTIF(K11:K18,"VENCIDO"))</f>
        <v/>
      </c>
    </row>
    <row r="21"/>
    <row r="22" ht="15" customHeight="1" s="19">
      <c r="A22" s="48" t="inlineStr">
        <is>
          <t>Intervalos de referencia de la guía, aplicables al Daihatsu CB-20 y al Hyundai G4EC (sus manuales disponibles no traen plan). Para el Nissan A14 y el Chevrolet Monza use los del manual (Guía 18, procedimiento).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1" min="1" max="1"/>
    <col width="16" customWidth="1" style="31" min="2" max="3"/>
    <col width="38" customWidth="1" style="31" min="4" max="4"/>
  </cols>
  <sheetData>
    <row r="1" ht="17.35" customHeight="1" s="19">
      <c r="A1" s="32" t="inlineStr">
        <is>
          <t>Registro del cambio de aceite y filtro</t>
        </is>
      </c>
    </row>
    <row r="2" ht="15" customHeight="1" s="19">
      <c r="A2" s="33" t="n"/>
    </row>
    <row r="3" ht="15" customHeight="1" s="19">
      <c r="A3" s="34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/>
    <row r="5" ht="31.5" customHeight="1" s="19">
      <c r="A5" s="40" t="inlineStr">
        <is>
          <t>Dato</t>
        </is>
      </c>
      <c r="B5" s="40" t="inlineStr">
        <is>
          <t>Especificación</t>
        </is>
      </c>
      <c r="C5" s="40" t="inlineStr">
        <is>
          <t>Realizado</t>
        </is>
      </c>
      <c r="D5" s="40" t="inlineStr">
        <is>
          <t>Resultado</t>
        </is>
      </c>
    </row>
    <row r="6" ht="15" customHeight="1" s="19">
      <c r="A6" s="41" t="inlineStr">
        <is>
          <t>Viscosidad SAE</t>
        </is>
      </c>
      <c r="B6" s="49" t="inlineStr">
        <is>
          <t>5W-30</t>
        </is>
      </c>
      <c r="C6" s="49" t="n"/>
      <c r="D6" s="46">
        <f>IF(COUNTA(C6)=0,"",IF(B6=C6,"Correcto","Revisar: difiere de la especificación"))</f>
        <v/>
      </c>
    </row>
    <row r="7" ht="15" customHeight="1" s="19">
      <c r="A7" s="41" t="inlineStr">
        <is>
          <t>Calidad API / ACEA</t>
        </is>
      </c>
      <c r="B7" s="49" t="inlineStr">
        <is>
          <t>API SP</t>
        </is>
      </c>
      <c r="C7" s="49" t="n"/>
      <c r="D7" s="46">
        <f>IF(COUNTA(C7)=0,"",IF(B7=C7,"Correcto","Revisar: difiere de la especificación"))</f>
        <v/>
      </c>
    </row>
    <row r="8" ht="15" customHeight="1" s="19">
      <c r="A8" s="41" t="inlineStr">
        <is>
          <t>Capacidad con filtro (L)</t>
        </is>
      </c>
      <c r="B8" s="50">
        <f>Motor!$H$7</f>
        <v/>
      </c>
      <c r="C8" s="49" t="n"/>
      <c r="D8" s="46">
        <f>IF(COUNTA(C8)=0,"",IF(B8=C8,"Correcto","Revisar: difiere de la especificación"))</f>
        <v/>
      </c>
    </row>
    <row r="9" ht="15" customHeight="1" s="19">
      <c r="A9" s="41" t="inlineStr">
        <is>
          <t>Par del tapón de vaciado (N·m)</t>
        </is>
      </c>
      <c r="B9" s="51">
        <f>IF(Motor!$H$8="","n.e.",TEXT(Motor!$H$8,"0")&amp;"–"&amp;TEXT(Motor!$H$9,"0"))</f>
        <v/>
      </c>
      <c r="C9" s="49" t="n"/>
      <c r="D9" s="46">
        <f>IF(COUNTA(C9)=0,"",IF(C9="","",IF(Motor!$H$8="","Sin especificación del manual",IF(AND(C9&gt;=Motor!$H$8,C9&lt;=Motor!$H$9),"Correcto","Revisar: fuera del rango del manual"))))</f>
        <v/>
      </c>
    </row>
    <row r="10" ht="15" customHeight="1" s="19">
      <c r="A10" s="41" t="inlineStr">
        <is>
          <t>Par del filtro (N·m)</t>
        </is>
      </c>
      <c r="B10" s="51">
        <f>IF(Motor!$H$10="","n.e.",TEXT(Motor!$H$10,"0")&amp;"–"&amp;TEXT(Motor!$H$11,"0"))</f>
        <v/>
      </c>
      <c r="C10" s="49" t="n"/>
      <c r="D10" s="46">
        <f>IF(COUNTA(C10)=0,"",IF(C10="","",IF(Motor!$H$10="","Sin especificación: apretar a mano según el filtro",IF(AND(C10&gt;=Motor!$H$10,C10&lt;=Motor!$H$11),"Correcto","Revisar: fuera del rango del manual"))))</f>
        <v/>
      </c>
    </row>
    <row r="11"/>
    <row r="12" ht="15" customHeight="1" s="19">
      <c r="A12" s="35" t="inlineStr">
        <is>
          <t>Próximo cambio de aceite (km)</t>
        </is>
      </c>
      <c r="C12" s="43">
        <f>Plan!H11</f>
        <v/>
      </c>
    </row>
    <row r="13" ht="15" customHeight="1" s="19">
      <c r="A13" s="35" t="inlineStr">
        <is>
          <t>Próximo cambio de aceite (fecha)</t>
        </is>
      </c>
      <c r="C13" s="45">
        <f>Plan!I11</f>
        <v/>
      </c>
    </row>
    <row r="14"/>
    <row r="15" ht="15" customHeight="1" s="19">
      <c r="A15" s="48" t="inlineStr">
        <is>
          <t>Una calidad API inferior a la especificada (p. ej., SN en lugar de SP) no cumple la especificación del fabricante.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2026-09-15T22:30:52Z</dcterms:created>
  <dcterms:modified xmlns:dcterms="http://purl.org/dc/terms/" xmlns:xsi="http://www.w3.org/2001/XMLSchema-instance" xsi:type="dcterms:W3CDTF">2026-10-16T11:52:03Z</dcterms:modified>
  <cp:revision>1</cp:revision>
</cp:coreProperties>
</file>