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Diseno_dientes" sheetId="3" state="visible" r:id="rId5"/>
    <sheet name="3_Laboratorio" sheetId="4" state="visible" r:id="rId6"/>
    <sheet name="4_Prestaciones" sheetId="5" state="visible" r:id="rId7"/>
    <sheet name="5_Diente_sierra" sheetId="6" state="visible" r:id="rId8"/>
    <sheet name="6_Cubrimiento" sheetId="7" state="visible" r:id="rId9"/>
    <sheet name="7_Traccion" sheetId="8" state="visible" r:id="rId10"/>
    <sheet name="8_Sensores" sheetId="9" state="visible" r:id="rId11"/>
  </sheets>
  <definedNames>
    <definedName function="false" hidden="false" name="a0" vbProcedure="false">1_Datos!$C$18</definedName>
    <definedName function="false" hidden="false" name="aej" vbProcedure="false">1_Datos!$C$37</definedName>
    <definedName function="false" hidden="false" name="Af" vbProcedure="false">1_Datos!$C$8</definedName>
    <definedName function="false" hidden="false" name="alfa" vbProcedure="false">1_Datos!$C$30</definedName>
    <definedName function="false" hidden="false" name="Cx" vbProcedure="false">1_Datos!$C$7</definedName>
    <definedName function="false" hidden="false" name="eta" vbProcedure="false">1_Datos!$C$12</definedName>
    <definedName function="false" hidden="false" name="f0" vbProcedure="false">1_Datos!$C$9</definedName>
    <definedName function="false" hidden="false" name="fs" vbProcedure="false">1_Datos!$C$10</definedName>
    <definedName function="false" hidden="false" name="Ft1" vbProcedure="false">1_Datos!$C$31</definedName>
    <definedName function="false" hidden="false" name="fvss" vbProcedure="false">8_Sensores!$C$9</definedName>
    <definedName function="false" hidden="false" name="g" vbProcedure="false">1_Datos!$C$5</definedName>
    <definedName function="false" hidden="false" name="Gw" vbProcedure="false">1_Datos!$C$29</definedName>
    <definedName function="false" hidden="false" name="i1" vbProcedure="false">1_Datos!$C$32</definedName>
    <definedName function="false" hidden="false" name="id_lab" vbProcedure="false">3_Laboratorio!$I$5</definedName>
    <definedName function="false" hidden="false" name="igr" vbProcedure="false">1_Datos!$C$20</definedName>
    <definedName function="false" hidden="false" name="iQ" vbProcedure="false">1_Datos!$C$33</definedName>
    <definedName function="false" hidden="false" name="iR" vbProcedure="false">1_Datos!$C$38</definedName>
    <definedName function="false" hidden="false" name="itc" vbProcedure="false">1_Datos!$C$35</definedName>
    <definedName function="false" hidden="false" name="itc_lab" vbProcedure="false">3_Laboratorio!$I$6</definedName>
    <definedName function="false" hidden="false" name="kg" vbProcedure="false">1_Datos!$C$34</definedName>
    <definedName function="false" hidden="false" name="m" vbProcedure="false">1_Datos!$C$4</definedName>
    <definedName function="false" hidden="false" name="Mmax" vbProcedure="false">1_Datos!$C$13</definedName>
    <definedName function="false" hidden="false" name="mod" vbProcedure="false">1_Datos!$C$23</definedName>
    <definedName function="false" hidden="false" name="nM" vbProcedure="false">1_Datos!$C$14</definedName>
    <definedName function="false" hidden="false" name="nP" vbProcedure="false">1_Datos!$C$15</definedName>
    <definedName function="false" hidden="false" name="nsec" vbProcedure="false">8_Sensores!$C$8</definedName>
    <definedName function="false" hidden="false" name="pend" vbProcedure="false">1_Datos!$C$17</definedName>
    <definedName function="false" hidden="false" name="Q" vbProcedure="false">1_Datos!$C$19</definedName>
    <definedName function="false" hidden="false" name="rc" vbProcedure="false">1_Datos!$C$11</definedName>
    <definedName function="false" hidden="false" name="rho" vbProcedure="false">1_Datos!$C$6</definedName>
    <definedName function="false" hidden="false" name="SZ" vbProcedure="false">1_Datos!$C$36</definedName>
    <definedName function="false" hidden="false" name="Vmax" vbProcedure="false">1_Datos!$C$16</definedName>
    <definedName function="false" hidden="false" name="Vss_v" vbProcedure="false">8_Sensores!$C$4</definedName>
    <definedName function="false" hidden="false" name="Za" vbProcedure="false">1_Datos!$C$21</definedName>
    <definedName function="false" hidden="false" name="Zb" vbProcedure="false">1_Datos!$C$22</definedName>
    <definedName function="false" hidden="false" name="ZR1" vbProcedure="false">1_Datos!$C$24</definedName>
    <definedName function="false" hidden="false" name="ZR2" vbProcedure="false">1_Datos!$C$26</definedName>
    <definedName function="false" hidden="false" name="ZRI" vbProcedure="false">1_Datos!$C$25</definedName>
    <definedName function="false" hidden="false" name="zvss" vbProcedure="false">8_Sensores!$C$5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<sst xmlns="http://schemas.openxmlformats.org/spreadsheetml/2006/main" count="230" uniqueCount="188">
  <si>
    <t xml:space="preserve">PRÁCTICA 2 – RECONOCIMIENTO, DESENSAMBLE Y DIAGNÓSTICO DE LA CAJA DE CAMBIOS MECÁNICA: CÁLCULO DE RELACIONES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</si>
  <si>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</si>
  <si>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</si>
  <si>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</si>
  <si>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</si>
  <si>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</si>
  <si>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</si>
  <si>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datos del motor, del vehículo y de la caja (toma constante, suma de dientes, módulo). Resultados de P1 recalculados: i1, iQ y k.</t>
  </si>
  <si>
    <t xml:space="preserve">2_Diseno_dientes: relaciones objetivo en progresión geométrica, número de dientes de cada par con distancia entre ejes constante, relación real y error. Ecuaciones (4) a (10).</t>
  </si>
  <si>
    <t xml:space="preserve">3_Laboratorio: introduzca los dientes contados en la caja del laboratorio para obtener sus relaciones reales. Ecuaciones (2) a (4).</t>
  </si>
  <si>
    <t xml:space="preserve">4_Prestaciones: escalonamiento, régimen tras el cambio, velocidades, esfuerzos y pares en los ejes. Ecuaciones (11) a (14).</t>
  </si>
  <si>
    <t xml:space="preserve">5_Diente_sierra y 6_Cubrimiento: diagramas de velocidades y de cubrimiento de marchas.</t>
  </si>
  <si>
    <t xml:space="preserve">7_Traccion: esfuerzo tractor por marcha frente a las resistencias al avance (0, 10 y 20 %).</t>
  </si>
  <si>
    <t xml:space="preserve">Interpretación:</t>
  </si>
  <si>
    <t xml:space="preserve">• Diente de sierra: tras cada cambio el régimen debe quedar entre nM y nP. • Cubrimiento: la franja coloreada de cada marcha (entre nM y nP) debe solaparse con la de la marcha siguiente. • Tracción: la marcha es útil para una pendiente mientras su curva de esfuerzo está por encima de la curva de resistencia.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</si>
  <si>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</si>
  <si>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</si>
  <si>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</si>
  <si>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</si>
  <si>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</si>
  <si>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</si>
  <si>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Masa del vehículo</t>
  </si>
  <si>
    <t xml:space="preserve">m</t>
  </si>
  <si>
    <t xml:space="preserve">kg</t>
  </si>
  <si>
    <t xml:space="preserve">Gravedad</t>
  </si>
  <si>
    <t xml:space="preserve">g</t>
  </si>
  <si>
    <t xml:space="preserve">m/s²</t>
  </si>
  <si>
    <t xml:space="preserve">Densidad del aire</t>
  </si>
  <si>
    <t xml:space="preserve">ρ</t>
  </si>
  <si>
    <t xml:space="preserve">kg/m³</t>
  </si>
  <si>
    <t xml:space="preserve">Coeficiente aerodinámico</t>
  </si>
  <si>
    <t xml:space="preserve">Cx</t>
  </si>
  <si>
    <t xml:space="preserve">—</t>
  </si>
  <si>
    <t xml:space="preserve">Área frontal</t>
  </si>
  <si>
    <t xml:space="preserve">Af</t>
  </si>
  <si>
    <t xml:space="preserve">m²</t>
  </si>
  <si>
    <t xml:space="preserve">Coeficiente de rodadura base</t>
  </si>
  <si>
    <t xml:space="preserve">f0</t>
  </si>
  <si>
    <t xml:space="preserve">Coeficiente de rodadura por velocidad</t>
  </si>
  <si>
    <t xml:space="preserve">fs</t>
  </si>
  <si>
    <t xml:space="preserve">Radio bajo carga del neumático</t>
  </si>
  <si>
    <t xml:space="preserve">rc</t>
  </si>
  <si>
    <t xml:space="preserve">Calculado en la Práctica 1</t>
  </si>
  <si>
    <t xml:space="preserve">Rendimiento de la transmisión</t>
  </si>
  <si>
    <t xml:space="preserve">η</t>
  </si>
  <si>
    <t xml:space="preserve">Par máximo</t>
  </si>
  <si>
    <t xml:space="preserve">Mmax</t>
  </si>
  <si>
    <t xml:space="preserve">N·m</t>
  </si>
  <si>
    <t xml:space="preserve">Régimen de par máximo</t>
  </si>
  <si>
    <t xml:space="preserve">nM</t>
  </si>
  <si>
    <t xml:space="preserve">min⁻¹</t>
  </si>
  <si>
    <t xml:space="preserve">Régimen de potencia máxima</t>
  </si>
  <si>
    <t xml:space="preserve">nP</t>
  </si>
  <si>
    <t xml:space="preserve">Velocidad máxima de diseño</t>
  </si>
  <si>
    <t xml:space="preserve">Vmax</t>
  </si>
  <si>
    <t xml:space="preserve">km/h</t>
  </si>
  <si>
    <t xml:space="preserve">Pendiente máxima de diseño</t>
  </si>
  <si>
    <t xml:space="preserve">p</t>
  </si>
  <si>
    <t xml:space="preserve">%</t>
  </si>
  <si>
    <t xml:space="preserve">Aceleración de arranque</t>
  </si>
  <si>
    <t xml:space="preserve">a0</t>
  </si>
  <si>
    <t xml:space="preserve">Número de marchas</t>
  </si>
  <si>
    <t xml:space="preserve">Q</t>
  </si>
  <si>
    <t xml:space="preserve">Máx. 6</t>
  </si>
  <si>
    <t xml:space="preserve">Relación del grupo reductor</t>
  </si>
  <si>
    <t xml:space="preserve">id</t>
  </si>
  <si>
    <t xml:space="preserve">Supuesta (Práctica 1)</t>
  </si>
  <si>
    <t xml:space="preserve">Dientes del piñón de toma constante (primario)</t>
  </si>
  <si>
    <t xml:space="preserve">Za</t>
  </si>
  <si>
    <t xml:space="preserve">Dientes del engranaje de toma constante (intermediario)</t>
  </si>
  <si>
    <t xml:space="preserve">Zb</t>
  </si>
  <si>
    <t xml:space="preserve">Módulo normal</t>
  </si>
  <si>
    <t xml:space="preserve">mn</t>
  </si>
  <si>
    <t xml:space="preserve">mm</t>
  </si>
  <si>
    <t xml:space="preserve">Engranajes rectos equivalentes</t>
  </si>
  <si>
    <t xml:space="preserve">Dientes del piñón de marcha atrás (intermediario)</t>
  </si>
  <si>
    <t xml:space="preserve">ZR1</t>
  </si>
  <si>
    <t xml:space="preserve">Dientes del piñón loco</t>
  </si>
  <si>
    <t xml:space="preserve">ZRI</t>
  </si>
  <si>
    <t xml:space="preserve">No influye en la relación</t>
  </si>
  <si>
    <t xml:space="preserve">Dientes del engranaje de marcha atrás (secundario)</t>
  </si>
  <si>
    <t xml:space="preserve">ZR2</t>
  </si>
  <si>
    <t xml:space="preserve">RESULTADOS</t>
  </si>
  <si>
    <t xml:space="preserve">Peso</t>
  </si>
  <si>
    <t xml:space="preserve">G</t>
  </si>
  <si>
    <t xml:space="preserve">N</t>
  </si>
  <si>
    <t xml:space="preserve">Ángulo de pendiente</t>
  </si>
  <si>
    <t xml:space="preserve">α</t>
  </si>
  <si>
    <t xml:space="preserve">rad</t>
  </si>
  <si>
    <t xml:space="preserve">Esfuerzo necesario en 1.ª</t>
  </si>
  <si>
    <t xml:space="preserve">Ft1</t>
  </si>
  <si>
    <t xml:space="preserve">P1, Ec. (17)</t>
  </si>
  <si>
    <t xml:space="preserve">Relación total 1.ª</t>
  </si>
  <si>
    <t xml:space="preserve">i1</t>
  </si>
  <si>
    <t xml:space="preserve">P1, Ec. (18)</t>
  </si>
  <si>
    <t xml:space="preserve">Relación total última</t>
  </si>
  <si>
    <t xml:space="preserve">iQ</t>
  </si>
  <si>
    <t xml:space="preserve">P1, Ec. (19)</t>
  </si>
  <si>
    <t xml:space="preserve">Razón geométrica</t>
  </si>
  <si>
    <t xml:space="preserve">k</t>
  </si>
  <si>
    <t xml:space="preserve">P1, Ec. (20)</t>
  </si>
  <si>
    <t xml:space="preserve">Relación de toma constante</t>
  </si>
  <si>
    <t xml:space="preserve">itc</t>
  </si>
  <si>
    <t xml:space="preserve">Ec. (2)</t>
  </si>
  <si>
    <t xml:space="preserve">Suma de dientes de cada par</t>
  </si>
  <si>
    <t xml:space="preserve">ΣZ</t>
  </si>
  <si>
    <t xml:space="preserve">Ec. (7)</t>
  </si>
  <si>
    <t xml:space="preserve">Distancia entre ejes</t>
  </si>
  <si>
    <t xml:space="preserve">a</t>
  </si>
  <si>
    <t xml:space="preserve">Ec. (6)</t>
  </si>
  <si>
    <t xml:space="preserve">Relación de marcha atrás de caja</t>
  </si>
  <si>
    <t xml:space="preserve">iR</t>
  </si>
  <si>
    <t xml:space="preserve">Ec. (10)</t>
  </si>
  <si>
    <t xml:space="preserve">Diseño del número de dientes con distancia entre ejes constante</t>
  </si>
  <si>
    <t xml:space="preserve">Marcha j</t>
  </si>
  <si>
    <t xml:space="preserve">it,j objetivo</t>
  </si>
  <si>
    <t xml:space="preserve">ic,j objetivo</t>
  </si>
  <si>
    <t xml:space="preserve">rj = ic,j/itc</t>
  </si>
  <si>
    <t xml:space="preserve">Zi exacto</t>
  </si>
  <si>
    <t xml:space="preserve">Zi (redondeo)</t>
  </si>
  <si>
    <t xml:space="preserve">Zs = ΣZ − Zi</t>
  </si>
  <si>
    <t xml:space="preserve">ic,j real</t>
  </si>
  <si>
    <t xml:space="preserve">Error (%)</t>
  </si>
  <si>
    <t xml:space="preserve">it,j real</t>
  </si>
  <si>
    <t xml:space="preserve">Zi: engranaje conductor en el eje intermediario; Zs: engranaje conducido en el eje secundario. Si el error supera ±3 %, pruebe con otra toma constante o suma de dientes.</t>
  </si>
  <si>
    <t xml:space="preserve">Relaciones reales de la caja del laboratorio (dientes contados)</t>
  </si>
  <si>
    <t xml:space="preserve">Marcha</t>
  </si>
  <si>
    <t xml:space="preserve">Z conductor (intermediario)</t>
  </si>
  <si>
    <t xml:space="preserve">Z conducido (secundario)</t>
  </si>
  <si>
    <t xml:space="preserve">Relación del par</t>
  </si>
  <si>
    <t xml:space="preserve">ic = itc·Zs/Zi</t>
  </si>
  <si>
    <t xml:space="preserve">it = ic·id</t>
  </si>
  <si>
    <t xml:space="preserve">Za (lab)</t>
  </si>
  <si>
    <t xml:space="preserve">1.ª</t>
  </si>
  <si>
    <t xml:space="preserve">Zb (lab)</t>
  </si>
  <si>
    <t xml:space="preserve">2.ª</t>
  </si>
  <si>
    <t xml:space="preserve">id (lab)</t>
  </si>
  <si>
    <t xml:space="preserve">3.ª</t>
  </si>
  <si>
    <t xml:space="preserve">itc (lab)</t>
  </si>
  <si>
    <t xml:space="preserve">4.ª</t>
  </si>
  <si>
    <t xml:space="preserve">Escalonamiento, velocidades, esfuerzos y pares por marcha</t>
  </si>
  <si>
    <t xml:space="preserve">φ = ic,j/ic,j+1</t>
  </si>
  <si>
    <t xml:space="preserve">n tras el cambio (min⁻¹)</t>
  </si>
  <si>
    <t xml:space="preserve">V a nM (km/h)</t>
  </si>
  <si>
    <t xml:space="preserve">V a nP (km/h)</t>
  </si>
  <si>
    <t xml:space="preserve">F máx. rueda (N)</t>
  </si>
  <si>
    <t xml:space="preserve">M eje secundario (N·m)</t>
  </si>
  <si>
    <t xml:space="preserve">Eje intermediario a nM (min⁻¹):</t>
  </si>
  <si>
    <t xml:space="preserve">Par en el eje intermediario (N·m), η toma constante = 0,98:</t>
  </si>
  <si>
    <t xml:space="preserve">Diagrama de velocidades (diente de sierra)</t>
  </si>
  <si>
    <t xml:space="preserve">n (min⁻¹)</t>
  </si>
  <si>
    <t xml:space="preserve">V 1.ª</t>
  </si>
  <si>
    <t xml:space="preserve">V 2.ª</t>
  </si>
  <si>
    <t xml:space="preserve">V 3.ª</t>
  </si>
  <si>
    <t xml:space="preserve">V 4.ª</t>
  </si>
  <si>
    <t xml:space="preserve">Referencias</t>
  </si>
  <si>
    <t xml:space="preserve">V (km/h)</t>
  </si>
  <si>
    <t xml:space="preserve">Diagrama de cubrimiento de marchas (rango de velocidad entre nM y nP)</t>
  </si>
  <si>
    <t xml:space="preserve">V inicio (nM)</t>
  </si>
  <si>
    <t xml:space="preserve">V fin (nP)</t>
  </si>
  <si>
    <t xml:space="preserve">Amplitud (km/h)</t>
  </si>
  <si>
    <t xml:space="preserve">¿Se solapa con la siguiente?</t>
  </si>
  <si>
    <t xml:space="preserve">x1</t>
  </si>
  <si>
    <t xml:space="preserve">x2</t>
  </si>
  <si>
    <t xml:space="preserve">y</t>
  </si>
  <si>
    <t xml:space="preserve">Esfuerzo tractor por marcha frente a resistencias al avance</t>
  </si>
  <si>
    <t xml:space="preserve">n</t>
  </si>
  <si>
    <t xml:space="preserve">M</t>
  </si>
  <si>
    <t xml:space="preserve">F 1.ª</t>
  </si>
  <si>
    <t xml:space="preserve">F 2.ª</t>
  </si>
  <si>
    <t xml:space="preserve">F 3.ª</t>
  </si>
  <si>
    <t xml:space="preserve">F 4.ª</t>
  </si>
  <si>
    <t xml:space="preserve">R 0 %</t>
  </si>
  <si>
    <t xml:space="preserve">R 10 %</t>
  </si>
  <si>
    <t xml:space="preserve">R 20 %</t>
  </si>
  <si>
    <t xml:space="preserve">Sensor de velocidad del vehículo (VSS) en la caja</t>
  </si>
  <si>
    <t xml:space="preserve">Velocidad del vehículo</t>
  </si>
  <si>
    <t xml:space="preserve">V</t>
  </si>
  <si>
    <t xml:space="preserve">Dientes de la rueda fónica del secundario</t>
  </si>
  <si>
    <t xml:space="preserve">z</t>
  </si>
  <si>
    <t xml:space="preserve">Contar en el laboratorio</t>
  </si>
  <si>
    <t xml:space="preserve">Régimen del eje secundario</t>
  </si>
  <si>
    <t xml:space="preserve">nsec</t>
  </si>
  <si>
    <t xml:space="preserve">Ec. (15)</t>
  </si>
  <si>
    <t xml:space="preserve">Frecuencia de la señal VSS</t>
  </si>
  <si>
    <t xml:space="preserve">f</t>
  </si>
  <si>
    <t xml:space="preserve">Hz</t>
  </si>
  <si>
    <t xml:space="preserve">f VSS (Hz)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</si>
</sst>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.000"/>
    <numFmt numFmtId="167" formatCode="General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878787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velocidades (diente de sierra)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"1.ª marcha"</c:f>
              <c:strCache>
                <c:ptCount val="1"/>
                <c:pt idx="0">
                  <c:v>1.ª marcha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5_Diente_sierra!$B$4:$B$17</c:f>
              <c:numCache>
                <c:formatCode>0.0</c:formatCode>
                <c:ptCount val="14"/>
                <c:pt idx="0">
                  <c:v>0</c:v>
                </c:pt>
                <c:pt idx="1">
                  <c:v>6.2815305</c:v>
                </c:pt>
                <c:pt idx="2">
                  <c:v>12.563061</c:v>
                </c:pt>
                <c:pt idx="3">
                  <c:v>18.8445915</c:v>
                </c:pt>
                <c:pt idx="4">
                  <c:v>25.126122</c:v>
                </c:pt>
                <c:pt idx="5">
                  <c:v>31.4076525</c:v>
                </c:pt>
                <c:pt idx="6">
                  <c:v>37.689183</c:v>
                </c:pt>
                <c:pt idx="7">
                  <c:v>43.9707135</c:v>
                </c:pt>
                <c:pt idx="8">
                  <c:v>50.252244</c:v>
                </c:pt>
                <c:pt idx="9">
                  <c:v>56.5337745</c:v>
                </c:pt>
                <c:pt idx="10">
                  <c:v>62.815305</c:v>
                </c:pt>
                <c:pt idx="11">
                  <c:v>69.0968355</c:v>
                </c:pt>
                <c:pt idx="12">
                  <c:v>75.378366</c:v>
                </c:pt>
                <c:pt idx="13">
                  <c:v>81.6598965</c:v>
                </c:pt>
              </c:numCache>
            </c:numRef>
          </c:xVal>
          <c:yVal>
            <c:numRef>
              <c:f>5_Diente_sierra!$A$4:$A$17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"2.ª marcha"</c:f>
              <c:strCache>
                <c:ptCount val="1"/>
                <c:pt idx="0">
                  <c:v>2.ª marcha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5_Diente_sierra!$C$4:$C$17</c:f>
              <c:numCache>
                <c:formatCode>0.0</c:formatCode>
                <c:ptCount val="14"/>
                <c:pt idx="0">
                  <c:v>0</c:v>
                </c:pt>
                <c:pt idx="1">
                  <c:v>7.86166705434783</c:v>
                </c:pt>
                <c:pt idx="2">
                  <c:v>15.7233341086957</c:v>
                </c:pt>
                <c:pt idx="3">
                  <c:v>23.5850011630435</c:v>
                </c:pt>
                <c:pt idx="4">
                  <c:v>31.4466682173913</c:v>
                </c:pt>
                <c:pt idx="5">
                  <c:v>39.3083352717391</c:v>
                </c:pt>
                <c:pt idx="6">
                  <c:v>47.170002326087</c:v>
                </c:pt>
                <c:pt idx="7">
                  <c:v>55.0316693804348</c:v>
                </c:pt>
                <c:pt idx="8">
                  <c:v>62.8933364347826</c:v>
                </c:pt>
                <c:pt idx="9">
                  <c:v>70.7550034891304</c:v>
                </c:pt>
                <c:pt idx="10">
                  <c:v>78.6166705434783</c:v>
                </c:pt>
                <c:pt idx="11">
                  <c:v>86.4783375978261</c:v>
                </c:pt>
                <c:pt idx="12">
                  <c:v>94.3400046521739</c:v>
                </c:pt>
                <c:pt idx="13">
                  <c:v>102.201671706522</c:v>
                </c:pt>
              </c:numCache>
            </c:numRef>
          </c:xVal>
          <c:yVal>
            <c:numRef>
              <c:f>5_Diente_sierra!$A$4:$A$17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"3.ª marcha"</c:f>
              <c:strCache>
                <c:ptCount val="1"/>
                <c:pt idx="0">
                  <c:v>3.ª marcha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5_Diente_sierra!$D$4:$D$17</c:f>
              <c:numCache>
                <c:formatCode>0.0</c:formatCode>
                <c:ptCount val="14"/>
                <c:pt idx="0">
                  <c:v>0</c:v>
                </c:pt>
                <c:pt idx="1">
                  <c:v>10.7447232236842</c:v>
                </c:pt>
                <c:pt idx="2">
                  <c:v>21.4894464473684</c:v>
                </c:pt>
                <c:pt idx="3">
                  <c:v>32.2341696710526</c:v>
                </c:pt>
                <c:pt idx="4">
                  <c:v>42.9788928947368</c:v>
                </c:pt>
                <c:pt idx="5">
                  <c:v>53.7236161184211</c:v>
                </c:pt>
                <c:pt idx="6">
                  <c:v>64.4683393421053</c:v>
                </c:pt>
                <c:pt idx="7">
                  <c:v>75.2130625657895</c:v>
                </c:pt>
                <c:pt idx="8">
                  <c:v>85.9577857894737</c:v>
                </c:pt>
                <c:pt idx="9">
                  <c:v>96.7025090131579</c:v>
                </c:pt>
                <c:pt idx="10">
                  <c:v>107.447232236842</c:v>
                </c:pt>
                <c:pt idx="11">
                  <c:v>118.191955460526</c:v>
                </c:pt>
                <c:pt idx="12">
                  <c:v>128.936678684211</c:v>
                </c:pt>
                <c:pt idx="13">
                  <c:v>139.681401907895</c:v>
                </c:pt>
              </c:numCache>
            </c:numRef>
          </c:xVal>
          <c:yVal>
            <c:numRef>
              <c:f>5_Diente_sierra!$A$4:$A$17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"4.ª marcha"</c:f>
              <c:strCache>
                <c:ptCount val="1"/>
                <c:pt idx="0">
                  <c:v>4.ª marcha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5_Diente_sierra!$E$4:$E$17</c:f>
              <c:numCache>
                <c:formatCode>0.0</c:formatCode>
                <c:ptCount val="14"/>
                <c:pt idx="0">
                  <c:v>0</c:v>
                </c:pt>
                <c:pt idx="1">
                  <c:v>13.85301815625</c:v>
                </c:pt>
                <c:pt idx="2">
                  <c:v>27.7060363125</c:v>
                </c:pt>
                <c:pt idx="3">
                  <c:v>41.55905446875</c:v>
                </c:pt>
                <c:pt idx="4">
                  <c:v>55.412072625</c:v>
                </c:pt>
                <c:pt idx="5">
                  <c:v>69.26509078125</c:v>
                </c:pt>
                <c:pt idx="6">
                  <c:v>83.1181089375</c:v>
                </c:pt>
                <c:pt idx="7">
                  <c:v>96.97112709375</c:v>
                </c:pt>
                <c:pt idx="8">
                  <c:v>110.82414525</c:v>
                </c:pt>
                <c:pt idx="9">
                  <c:v>124.67716340625</c:v>
                </c:pt>
                <c:pt idx="10">
                  <c:v>138.5301815625</c:v>
                </c:pt>
                <c:pt idx="11">
                  <c:v>152.38319971875</c:v>
                </c:pt>
                <c:pt idx="12">
                  <c:v>166.236217875</c:v>
                </c:pt>
                <c:pt idx="13">
                  <c:v>180.08923603125</c:v>
                </c:pt>
              </c:numCache>
            </c:numRef>
          </c:xVal>
          <c:yVal>
            <c:numRef>
              <c:f>5_Diente_sierra!$A$4:$A$17</c:f>
              <c:numCache>
                <c:formatCode>General</c:formatCode>
                <c:ptCount val="14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  <c:pt idx="5">
                  <c:v>2500</c:v>
                </c:pt>
                <c:pt idx="6">
                  <c:v>3000</c:v>
                </c:pt>
                <c:pt idx="7">
                  <c:v>3500</c:v>
                </c:pt>
                <c:pt idx="8">
                  <c:v>4000</c:v>
                </c:pt>
                <c:pt idx="9">
                  <c:v>4500</c:v>
                </c:pt>
                <c:pt idx="10">
                  <c:v>5000</c:v>
                </c:pt>
                <c:pt idx="11">
                  <c:v>5500</c:v>
                </c:pt>
                <c:pt idx="12">
                  <c:v>6000</c:v>
                </c:pt>
                <c:pt idx="13">
                  <c:v>6500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"nM"</c:f>
              <c:strCache>
                <c:ptCount val="1"/>
                <c:pt idx="0">
                  <c:v>nM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5_Diente_sierra!$A$21:$A$22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5_Diente_sierra!$B$21:$B$22</c:f>
              <c:numCache>
                <c:formatCode>General</c:formatCode>
                <c:ptCount val="2"/>
                <c:pt idx="0">
                  <c:v>4000</c:v>
                </c:pt>
                <c:pt idx="1">
                  <c:v>4000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"nP"</c:f>
              <c:strCache>
                <c:ptCount val="1"/>
                <c:pt idx="0">
                  <c:v>nP</c:v>
                </c:pt>
              </c:strCache>
            </c:strRef>
          </c:tx>
          <c:spPr>
            <a:solidFill>
              <a:srgbClr val="808080"/>
            </a:solidFill>
            <a:ln w="2196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5_Diente_sierra!$A$21:$A$22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5_Diente_sierra!$C$21:$C$22</c:f>
              <c:numCache>
                <c:formatCode>General</c:formatCode>
                <c:ptCount val="2"/>
                <c:pt idx="0">
                  <c:v>6500</c:v>
                </c:pt>
                <c:pt idx="1">
                  <c:v>6500</c:v>
                </c:pt>
              </c:numCache>
            </c:numRef>
          </c:yVal>
          <c:smooth val="0"/>
        </c:ser>
        <c:axId val="26649644"/>
        <c:axId val="63624517"/>
      </c:scatterChart>
      <c:valAx>
        <c:axId val="26649644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624517"/>
        <c:crosses val="autoZero"/>
        <c:crossBetween val="midCat"/>
      </c:valAx>
      <c:valAx>
        <c:axId val="6362451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Régimen (min⁻¹)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4964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Cubrimiento de marchas (zona de elasticidad)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"1.ª"</c:f>
              <c:strCache>
                <c:ptCount val="1"/>
                <c:pt idx="0">
                  <c:v>1.ª</c:v>
                </c:pt>
              </c:strCache>
            </c:strRef>
          </c:tx>
          <c:spPr>
            <a:solidFill>
              <a:srgbClr val="1f4e79"/>
            </a:solidFill>
            <a:ln w="9000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6_Cubrimiento!$A$11:$A$12</c:f>
              <c:numCache>
                <c:formatCode>0.0</c:formatCode>
                <c:ptCount val="2"/>
                <c:pt idx="0">
                  <c:v>50.252244</c:v>
                </c:pt>
                <c:pt idx="1">
                  <c:v>81.6598965</c:v>
                </c:pt>
              </c:numCache>
            </c:numRef>
          </c:xVal>
          <c:yVal>
            <c:numRef>
              <c:f>6_Cubrimiento!$C$11:$C$12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"2.ª"</c:f>
              <c:strCache>
                <c:ptCount val="1"/>
                <c:pt idx="0">
                  <c:v>2.ª</c:v>
                </c:pt>
              </c:strCache>
            </c:strRef>
          </c:tx>
          <c:spPr>
            <a:solidFill>
              <a:srgbClr val="c00000"/>
            </a:solidFill>
            <a:ln w="9000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6_Cubrimiento!$A$14:$A$15</c:f>
              <c:numCache>
                <c:formatCode>0.0</c:formatCode>
                <c:ptCount val="2"/>
                <c:pt idx="0">
                  <c:v>62.8933364347826</c:v>
                </c:pt>
                <c:pt idx="1">
                  <c:v>102.201671706522</c:v>
                </c:pt>
              </c:numCache>
            </c:numRef>
          </c:xVal>
          <c:yVal>
            <c:numRef>
              <c:f>6_Cubrimiento!$C$14:$C$15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"3.ª"</c:f>
              <c:strCache>
                <c:ptCount val="1"/>
                <c:pt idx="0">
                  <c:v>3.ª</c:v>
                </c:pt>
              </c:strCache>
            </c:strRef>
          </c:tx>
          <c:spPr>
            <a:solidFill>
              <a:srgbClr val="2e7d32"/>
            </a:solidFill>
            <a:ln w="9000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6_Cubrimiento!$A$17:$A$18</c:f>
              <c:numCache>
                <c:formatCode>0.0</c:formatCode>
                <c:ptCount val="2"/>
                <c:pt idx="0">
                  <c:v>85.9577857894737</c:v>
                </c:pt>
                <c:pt idx="1">
                  <c:v>139.681401907895</c:v>
                </c:pt>
              </c:numCache>
            </c:numRef>
          </c:xVal>
          <c:yVal>
            <c:numRef>
              <c:f>6_Cubrimiento!$C$17:$C$18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"4.ª"</c:f>
              <c:strCache>
                <c:ptCount val="1"/>
                <c:pt idx="0">
                  <c:v>4.ª</c:v>
                </c:pt>
              </c:strCache>
            </c:strRef>
          </c:tx>
          <c:spPr>
            <a:solidFill>
              <a:srgbClr val="ed7d31"/>
            </a:solidFill>
            <a:ln w="9000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6_Cubrimiento!$A$20:$A$21</c:f>
              <c:numCache>
                <c:formatCode>0.0</c:formatCode>
                <c:ptCount val="2"/>
                <c:pt idx="0">
                  <c:v>110.82414525</c:v>
                </c:pt>
                <c:pt idx="1">
                  <c:v>180.08923603125</c:v>
                </c:pt>
              </c:numCache>
            </c:numRef>
          </c:xVal>
          <c:yVal>
            <c:numRef>
              <c:f>6_Cubrimiento!$C$20:$C$21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</c:ser>
        <c:axId val="7767562"/>
        <c:axId val="86977012"/>
      </c:scatterChart>
      <c:valAx>
        <c:axId val="7767562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977012"/>
        <c:crosses val="autoZero"/>
        <c:crossBetween val="midCat"/>
      </c:valAx>
      <c:valAx>
        <c:axId val="8697701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Marcha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756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Diagrama de tracción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"Esfuerzo 1.ª"</c:f>
              <c:strCache>
                <c:ptCount val="1"/>
                <c:pt idx="0">
                  <c:v>Esfuerzo 1.ª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7_Traccion!$C$4:$C$17</c:f>
              <c:numCache>
                <c:formatCode>0.0</c:formatCode>
                <c:ptCount val="14"/>
                <c:pt idx="0">
                  <c:v>6.2815305</c:v>
                </c:pt>
                <c:pt idx="1">
                  <c:v>12.563061</c:v>
                </c:pt>
                <c:pt idx="2">
                  <c:v>18.8445915</c:v>
                </c:pt>
                <c:pt idx="3">
                  <c:v>25.126122</c:v>
                </c:pt>
                <c:pt idx="4">
                  <c:v>31.4076525</c:v>
                </c:pt>
                <c:pt idx="5">
                  <c:v>37.689183</c:v>
                </c:pt>
                <c:pt idx="6">
                  <c:v>43.9707135</c:v>
                </c:pt>
                <c:pt idx="7">
                  <c:v>50.252244</c:v>
                </c:pt>
                <c:pt idx="8">
                  <c:v>56.5337745</c:v>
                </c:pt>
                <c:pt idx="9">
                  <c:v>62.815305</c:v>
                </c:pt>
                <c:pt idx="10">
                  <c:v>69.0968355</c:v>
                </c:pt>
                <c:pt idx="11">
                  <c:v>75.378366</c:v>
                </c:pt>
                <c:pt idx="12">
                  <c:v>81.6598965</c:v>
                </c:pt>
                <c:pt idx="13">
                  <c:v>87.941427</c:v>
                </c:pt>
              </c:numCache>
            </c:numRef>
          </c:xVal>
          <c:yVal>
            <c:numRef>
              <c:f>7_Traccion!$D$4:$D$17</c:f>
              <c:numCache>
                <c:formatCode>0.0</c:formatCode>
                <c:ptCount val="14"/>
                <c:pt idx="0">
                  <c:v>2850.8179654624</c:v>
                </c:pt>
                <c:pt idx="1">
                  <c:v>2993.35886373552</c:v>
                </c:pt>
                <c:pt idx="2">
                  <c:v>3078.88340269939</c:v>
                </c:pt>
                <c:pt idx="3">
                  <c:v>3192.91612131789</c:v>
                </c:pt>
                <c:pt idx="4">
                  <c:v>3306.94883993638</c:v>
                </c:pt>
                <c:pt idx="5">
                  <c:v>3335.45701959101</c:v>
                </c:pt>
                <c:pt idx="6">
                  <c:v>3363.96519924563</c:v>
                </c:pt>
                <c:pt idx="7">
                  <c:v>3420.98155855488</c:v>
                </c:pt>
                <c:pt idx="8">
                  <c:v>3363.96519924563</c:v>
                </c:pt>
                <c:pt idx="9">
                  <c:v>3306.94883993638</c:v>
                </c:pt>
                <c:pt idx="10">
                  <c:v>3192.91612131789</c:v>
                </c:pt>
                <c:pt idx="11">
                  <c:v>3078.88340269939</c:v>
                </c:pt>
                <c:pt idx="12">
                  <c:v>2850.8179654624</c:v>
                </c:pt>
                <c:pt idx="13">
                  <c:v>2565.73616891616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"Esfuerzo 2.ª"</c:f>
              <c:strCache>
                <c:ptCount val="1"/>
                <c:pt idx="0">
                  <c:v>Esfuerzo 2.ª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7_Traccion!$E$4:$E$17</c:f>
              <c:numCache>
                <c:formatCode>0.0</c:formatCode>
                <c:ptCount val="14"/>
                <c:pt idx="0">
                  <c:v>7.86166705434783</c:v>
                </c:pt>
                <c:pt idx="1">
                  <c:v>15.7233341086957</c:v>
                </c:pt>
                <c:pt idx="2">
                  <c:v>23.5850011630435</c:v>
                </c:pt>
                <c:pt idx="3">
                  <c:v>31.4466682173913</c:v>
                </c:pt>
                <c:pt idx="4">
                  <c:v>39.3083352717391</c:v>
                </c:pt>
                <c:pt idx="5">
                  <c:v>47.170002326087</c:v>
                </c:pt>
                <c:pt idx="6">
                  <c:v>55.0316693804348</c:v>
                </c:pt>
                <c:pt idx="7">
                  <c:v>62.8933364347826</c:v>
                </c:pt>
                <c:pt idx="8">
                  <c:v>70.7550034891304</c:v>
                </c:pt>
                <c:pt idx="9">
                  <c:v>78.6166705434783</c:v>
                </c:pt>
                <c:pt idx="10">
                  <c:v>86.4783375978261</c:v>
                </c:pt>
                <c:pt idx="11">
                  <c:v>94.3400046521739</c:v>
                </c:pt>
                <c:pt idx="12">
                  <c:v>102.201671706522</c:v>
                </c:pt>
                <c:pt idx="13">
                  <c:v>110.06333876087</c:v>
                </c:pt>
              </c:numCache>
            </c:numRef>
          </c:xVal>
          <c:yVal>
            <c:numRef>
              <c:f>7_Traccion!$F$4:$F$17</c:f>
              <c:numCache>
                <c:formatCode>0.0</c:formatCode>
                <c:ptCount val="14"/>
                <c:pt idx="0">
                  <c:v>2277.82477637442</c:v>
                </c:pt>
                <c:pt idx="1">
                  <c:v>2391.71601519314</c:v>
                </c:pt>
                <c:pt idx="2">
                  <c:v>2460.05075848438</c:v>
                </c:pt>
                <c:pt idx="3">
                  <c:v>2551.16374953935</c:v>
                </c:pt>
                <c:pt idx="4">
                  <c:v>2642.27674059433</c:v>
                </c:pt>
                <c:pt idx="5">
                  <c:v>2665.05498835807</c:v>
                </c:pt>
                <c:pt idx="6">
                  <c:v>2687.83323612182</c:v>
                </c:pt>
                <c:pt idx="7">
                  <c:v>2733.38973164931</c:v>
                </c:pt>
                <c:pt idx="8">
                  <c:v>2687.83323612182</c:v>
                </c:pt>
                <c:pt idx="9">
                  <c:v>2642.27674059433</c:v>
                </c:pt>
                <c:pt idx="10">
                  <c:v>2551.16374953935</c:v>
                </c:pt>
                <c:pt idx="11">
                  <c:v>2460.05075848438</c:v>
                </c:pt>
                <c:pt idx="12">
                  <c:v>2277.82477637442</c:v>
                </c:pt>
                <c:pt idx="13">
                  <c:v>2050.04229873698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"Esfuerzo 3.ª"</c:f>
              <c:strCache>
                <c:ptCount val="1"/>
                <c:pt idx="0">
                  <c:v>Esfuerzo 3.ª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7_Traccion!$G$4:$G$17</c:f>
              <c:numCache>
                <c:formatCode>0.0</c:formatCode>
                <c:ptCount val="14"/>
                <c:pt idx="0">
                  <c:v>10.7447232236842</c:v>
                </c:pt>
                <c:pt idx="1">
                  <c:v>21.4894464473684</c:v>
                </c:pt>
                <c:pt idx="2">
                  <c:v>32.2341696710526</c:v>
                </c:pt>
                <c:pt idx="3">
                  <c:v>42.9788928947368</c:v>
                </c:pt>
                <c:pt idx="4">
                  <c:v>53.7236161184211</c:v>
                </c:pt>
                <c:pt idx="5">
                  <c:v>64.4683393421053</c:v>
                </c:pt>
                <c:pt idx="6">
                  <c:v>75.2130625657895</c:v>
                </c:pt>
                <c:pt idx="7">
                  <c:v>85.9577857894737</c:v>
                </c:pt>
                <c:pt idx="8">
                  <c:v>96.7025090131579</c:v>
                </c:pt>
                <c:pt idx="9">
                  <c:v>107.447232236842</c:v>
                </c:pt>
                <c:pt idx="10">
                  <c:v>118.191955460526</c:v>
                </c:pt>
                <c:pt idx="11">
                  <c:v>128.936678684211</c:v>
                </c:pt>
                <c:pt idx="12">
                  <c:v>139.681401907895</c:v>
                </c:pt>
                <c:pt idx="13">
                  <c:v>150.426125131579</c:v>
                </c:pt>
              </c:numCache>
            </c:numRef>
          </c:xVal>
          <c:yVal>
            <c:numRef>
              <c:f>7_Traccion!$H$4:$H$17</c:f>
              <c:numCache>
                <c:formatCode>0.0</c:formatCode>
                <c:ptCount val="14"/>
                <c:pt idx="0">
                  <c:v>1666.63204134725</c:v>
                </c:pt>
                <c:pt idx="1">
                  <c:v>1749.96364341461</c:v>
                </c:pt>
                <c:pt idx="2">
                  <c:v>1799.96260465503</c:v>
                </c:pt>
                <c:pt idx="3">
                  <c:v>1866.62788630892</c:v>
                </c:pt>
                <c:pt idx="4">
                  <c:v>1933.29316796281</c:v>
                </c:pt>
                <c:pt idx="5">
                  <c:v>1949.95948837628</c:v>
                </c:pt>
                <c:pt idx="6">
                  <c:v>1966.62580878975</c:v>
                </c:pt>
                <c:pt idx="7">
                  <c:v>1999.9584496167</c:v>
                </c:pt>
                <c:pt idx="8">
                  <c:v>1966.62580878975</c:v>
                </c:pt>
                <c:pt idx="9">
                  <c:v>1933.29316796281</c:v>
                </c:pt>
                <c:pt idx="10">
                  <c:v>1866.62788630892</c:v>
                </c:pt>
                <c:pt idx="11">
                  <c:v>1799.96260465503</c:v>
                </c:pt>
                <c:pt idx="12">
                  <c:v>1666.63204134725</c:v>
                </c:pt>
                <c:pt idx="13">
                  <c:v>1499.96883721252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"Esfuerzo 4.ª"</c:f>
              <c:strCache>
                <c:ptCount val="1"/>
                <c:pt idx="0">
                  <c:v>Esfuerzo 4.ª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7_Traccion!$I$4:$I$17</c:f>
              <c:numCache>
                <c:formatCode>0.0</c:formatCode>
                <c:ptCount val="14"/>
                <c:pt idx="0">
                  <c:v>13.85301815625</c:v>
                </c:pt>
                <c:pt idx="1">
                  <c:v>27.7060363125</c:v>
                </c:pt>
                <c:pt idx="2">
                  <c:v>41.55905446875</c:v>
                </c:pt>
                <c:pt idx="3">
                  <c:v>55.412072625</c:v>
                </c:pt>
                <c:pt idx="4">
                  <c:v>69.26509078125</c:v>
                </c:pt>
                <c:pt idx="5">
                  <c:v>83.1181089375</c:v>
                </c:pt>
                <c:pt idx="6">
                  <c:v>96.97112709375</c:v>
                </c:pt>
                <c:pt idx="7">
                  <c:v>110.82414525</c:v>
                </c:pt>
                <c:pt idx="8">
                  <c:v>124.67716340625</c:v>
                </c:pt>
                <c:pt idx="9">
                  <c:v>138.5301815625</c:v>
                </c:pt>
                <c:pt idx="10">
                  <c:v>152.38319971875</c:v>
                </c:pt>
                <c:pt idx="11">
                  <c:v>166.236217875</c:v>
                </c:pt>
                <c:pt idx="12">
                  <c:v>180.08923603125</c:v>
                </c:pt>
                <c:pt idx="13">
                  <c:v>193.9422541875</c:v>
                </c:pt>
              </c:numCache>
            </c:numRef>
          </c:xVal>
          <c:yVal>
            <c:numRef>
              <c:f>7_Traccion!$J$4:$J$17</c:f>
              <c:numCache>
                <c:formatCode>0.0</c:formatCode>
                <c:ptCount val="14"/>
                <c:pt idx="0">
                  <c:v>1292.67859162667</c:v>
                </c:pt>
                <c:pt idx="1">
                  <c:v>1357.31252120801</c:v>
                </c:pt>
                <c:pt idx="2">
                  <c:v>1396.09287895681</c:v>
                </c:pt>
                <c:pt idx="3">
                  <c:v>1447.80002262188</c:v>
                </c:pt>
                <c:pt idx="4">
                  <c:v>1499.50716628694</c:v>
                </c:pt>
                <c:pt idx="5">
                  <c:v>1512.43395220321</c:v>
                </c:pt>
                <c:pt idx="6">
                  <c:v>1525.36073811948</c:v>
                </c:pt>
                <c:pt idx="7">
                  <c:v>1551.21430995201</c:v>
                </c:pt>
                <c:pt idx="8">
                  <c:v>1525.36073811948</c:v>
                </c:pt>
                <c:pt idx="9">
                  <c:v>1499.50716628694</c:v>
                </c:pt>
                <c:pt idx="10">
                  <c:v>1447.80002262188</c:v>
                </c:pt>
                <c:pt idx="11">
                  <c:v>1396.09287895681</c:v>
                </c:pt>
                <c:pt idx="12">
                  <c:v>1292.67859162667</c:v>
                </c:pt>
                <c:pt idx="13">
                  <c:v>1163.41073246401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"Resistencia 0 %"</c:f>
              <c:strCache>
                <c:ptCount val="1"/>
                <c:pt idx="0">
                  <c:v>Resistencia 0 %</c:v>
                </c:pt>
              </c:strCache>
            </c:strRef>
          </c:tx>
          <c:spPr>
            <a:solidFill>
              <a:srgbClr val="7030a0"/>
            </a:solidFill>
            <a:ln w="21960">
              <a:solidFill>
                <a:srgbClr val="7030a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7_Traccion!$A$21:$A$41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7_Traccion!$B$21:$B$41</c:f>
              <c:numCache>
                <c:formatCode>General</c:formatCode>
                <c:ptCount val="21"/>
                <c:pt idx="0">
                  <c:v>74.99745</c:v>
                </c:pt>
                <c:pt idx="1">
                  <c:v>77.9531869259259</c:v>
                </c:pt>
                <c:pt idx="2">
                  <c:v>86.8203977037037</c:v>
                </c:pt>
                <c:pt idx="3">
                  <c:v>101.599082333333</c:v>
                </c:pt>
                <c:pt idx="4">
                  <c:v>122.289240814815</c:v>
                </c:pt>
                <c:pt idx="5">
                  <c:v>148.890873148148</c:v>
                </c:pt>
                <c:pt idx="6">
                  <c:v>181.403979333333</c:v>
                </c:pt>
                <c:pt idx="7">
                  <c:v>219.82855937037</c:v>
                </c:pt>
                <c:pt idx="8">
                  <c:v>264.164613259259</c:v>
                </c:pt>
                <c:pt idx="9">
                  <c:v>314.412141</c:v>
                </c:pt>
                <c:pt idx="10">
                  <c:v>370.571142592593</c:v>
                </c:pt>
                <c:pt idx="11">
                  <c:v>432.641618037037</c:v>
                </c:pt>
                <c:pt idx="12">
                  <c:v>500.623567333333</c:v>
                </c:pt>
                <c:pt idx="13">
                  <c:v>574.516990481482</c:v>
                </c:pt>
                <c:pt idx="14">
                  <c:v>654.321887481481</c:v>
                </c:pt>
                <c:pt idx="15">
                  <c:v>740.038258333333</c:v>
                </c:pt>
                <c:pt idx="16">
                  <c:v>831.666103037037</c:v>
                </c:pt>
                <c:pt idx="17">
                  <c:v>929.205421592593</c:v>
                </c:pt>
                <c:pt idx="18">
                  <c:v>1032.656214</c:v>
                </c:pt>
                <c:pt idx="19">
                  <c:v>1142.01848025926</c:v>
                </c:pt>
                <c:pt idx="20">
                  <c:v>1257.29222037037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"Resistencia 10 %"</c:f>
              <c:strCache>
                <c:ptCount val="1"/>
                <c:pt idx="0">
                  <c:v>Resistencia 10 %</c:v>
                </c:pt>
              </c:strCache>
            </c:strRef>
          </c:tx>
          <c:spPr>
            <a:solidFill>
              <a:srgbClr val="808080"/>
            </a:solidFill>
            <a:ln w="2196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7_Traccion!$A$21:$A$41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7_Traccion!$C$21:$C$41</c:f>
              <c:numCache>
                <c:formatCode>General</c:formatCode>
                <c:ptCount val="21"/>
                <c:pt idx="0">
                  <c:v>753.036633020134</c:v>
                </c:pt>
                <c:pt idx="1">
                  <c:v>755.989663050939</c:v>
                </c:pt>
                <c:pt idx="2">
                  <c:v>764.848753143355</c:v>
                </c:pt>
                <c:pt idx="3">
                  <c:v>779.613903297382</c:v>
                </c:pt>
                <c:pt idx="4">
                  <c:v>800.285113513019</c:v>
                </c:pt>
                <c:pt idx="5">
                  <c:v>826.862383790266</c:v>
                </c:pt>
                <c:pt idx="6">
                  <c:v>859.345714129125</c:v>
                </c:pt>
                <c:pt idx="7">
                  <c:v>897.735104529594</c:v>
                </c:pt>
                <c:pt idx="8">
                  <c:v>942.030554991673</c:v>
                </c:pt>
                <c:pt idx="9">
                  <c:v>992.232065515363</c:v>
                </c:pt>
                <c:pt idx="10">
                  <c:v>1048.33963610066</c:v>
                </c:pt>
                <c:pt idx="11">
                  <c:v>1110.35326674758</c:v>
                </c:pt>
                <c:pt idx="12">
                  <c:v>1178.2729574561</c:v>
                </c:pt>
                <c:pt idx="13">
                  <c:v>1252.09870822623</c:v>
                </c:pt>
                <c:pt idx="14">
                  <c:v>1331.83051905797</c:v>
                </c:pt>
                <c:pt idx="15">
                  <c:v>1417.46838995133</c:v>
                </c:pt>
                <c:pt idx="16">
                  <c:v>1509.01232090629</c:v>
                </c:pt>
                <c:pt idx="17">
                  <c:v>1606.46231192287</c:v>
                </c:pt>
                <c:pt idx="18">
                  <c:v>1709.81836300105</c:v>
                </c:pt>
                <c:pt idx="19">
                  <c:v>1819.08047414085</c:v>
                </c:pt>
                <c:pt idx="20">
                  <c:v>1934.24864534225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"Resistencia 20 %"</c:f>
              <c:strCache>
                <c:ptCount val="1"/>
                <c:pt idx="0">
                  <c:v>Resistencia 20 %</c:v>
                </c:pt>
              </c:strCache>
            </c:strRef>
          </c:tx>
          <c:spPr>
            <a:solidFill>
              <a:srgbClr val="00b0f0"/>
            </a:solidFill>
            <a:ln w="21960">
              <a:solidFill>
                <a:srgbClr val="00b0f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7_Traccion!$A$21:$A$41</c:f>
              <c:numCache>
                <c:formatCode>General</c:formatCode>
                <c:ptCount val="2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</c:numCache>
            </c:numRef>
          </c:xVal>
          <c:yVal>
            <c:numRef>
              <c:f>7_Traccion!$D$21:$D$41</c:f>
              <c:numCache>
                <c:formatCode>General</c:formatCode>
                <c:ptCount val="21"/>
                <c:pt idx="0">
                  <c:v>1410.65105376148</c:v>
                </c:pt>
                <c:pt idx="1">
                  <c:v>1413.59619868883</c:v>
                </c:pt>
                <c:pt idx="2">
                  <c:v>1422.43163347089</c:v>
                </c:pt>
                <c:pt idx="3">
                  <c:v>1437.15735810765</c:v>
                </c:pt>
                <c:pt idx="4">
                  <c:v>1457.77337259911</c:v>
                </c:pt>
                <c:pt idx="5">
                  <c:v>1484.27967694528</c:v>
                </c:pt>
                <c:pt idx="6">
                  <c:v>1516.67627114615</c:v>
                </c:pt>
                <c:pt idx="7">
                  <c:v>1554.96315520173</c:v>
                </c:pt>
                <c:pt idx="8">
                  <c:v>1599.14032911201</c:v>
                </c:pt>
                <c:pt idx="9">
                  <c:v>1649.207792877</c:v>
                </c:pt>
                <c:pt idx="10">
                  <c:v>1705.16554649669</c:v>
                </c:pt>
                <c:pt idx="11">
                  <c:v>1767.01358997108</c:v>
                </c:pt>
                <c:pt idx="12">
                  <c:v>1834.75192330018</c:v>
                </c:pt>
                <c:pt idx="13">
                  <c:v>1908.38054648398</c:v>
                </c:pt>
                <c:pt idx="14">
                  <c:v>1987.89945952249</c:v>
                </c:pt>
                <c:pt idx="15">
                  <c:v>2073.3086624157</c:v>
                </c:pt>
                <c:pt idx="16">
                  <c:v>2164.60815516361</c:v>
                </c:pt>
                <c:pt idx="17">
                  <c:v>2261.79793776623</c:v>
                </c:pt>
                <c:pt idx="18">
                  <c:v>2364.87801022355</c:v>
                </c:pt>
                <c:pt idx="19">
                  <c:v>2473.84837253558</c:v>
                </c:pt>
                <c:pt idx="20">
                  <c:v>2588.70902470231</c:v>
                </c:pt>
              </c:numCache>
            </c:numRef>
          </c:yVal>
          <c:smooth val="1"/>
        </c:ser>
        <c:axId val="83454360"/>
        <c:axId val="74699819"/>
      </c:scatterChart>
      <c:valAx>
        <c:axId val="83454360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Velocidad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699819"/>
        <c:crosses val="autoZero"/>
        <c:crossBetween val="midCat"/>
      </c:valAx>
      <c:valAx>
        <c:axId val="746998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Fuerza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4543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Frecuencia del sensor VSS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"f VSS"</c:f>
              <c:strCache>
                <c:ptCount val="1"/>
                <c:pt idx="0">
                  <c:v>f VSS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8_Sensores!$A$12:$A$22</c:f>
              <c:numCache>
                <c:formatCode>General</c:formatCode>
                <c:ptCount val="11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</c:numCache>
            </c:numRef>
          </c:xVal>
          <c:yVal>
            <c:numRef>
              <c:f>8_Sensores!$B$12:$B$22</c:f>
              <c:numCache>
                <c:formatCode>General</c:formatCode>
                <c:ptCount val="11"/>
                <c:pt idx="0">
                  <c:v>0</c:v>
                </c:pt>
                <c:pt idx="1">
                  <c:v>242.877277383438</c:v>
                </c:pt>
                <c:pt idx="2">
                  <c:v>485.754554766876</c:v>
                </c:pt>
                <c:pt idx="3">
                  <c:v>728.631832150314</c:v>
                </c:pt>
                <c:pt idx="4">
                  <c:v>971.509109533752</c:v>
                </c:pt>
                <c:pt idx="5">
                  <c:v>1214.38638691719</c:v>
                </c:pt>
                <c:pt idx="6">
                  <c:v>1457.26366430063</c:v>
                </c:pt>
                <c:pt idx="7">
                  <c:v>1700.14094168407</c:v>
                </c:pt>
                <c:pt idx="8">
                  <c:v>1943.0182190675</c:v>
                </c:pt>
                <c:pt idx="9">
                  <c:v>2185.89549645094</c:v>
                </c:pt>
                <c:pt idx="10">
                  <c:v>2428.77277383438</c:v>
                </c:pt>
              </c:numCache>
            </c:numRef>
          </c:yVal>
          <c:smooth val="0"/>
        </c:ser>
        <c:axId val="76321391"/>
        <c:axId val="54226140"/>
      </c:scatterChart>
      <c:valAx>
        <c:axId val="76321391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 (km/h)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26140"/>
        <c:crosses val="autoZero"/>
        <c:crossBetween val="midCat"/>
      </c:valAx>
      <c:valAx>
        <c:axId val="5422614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21391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581760</xdr:colOff>
      <xdr:row>24</xdr:row>
      <xdr:rowOff>128520</xdr:rowOff>
    </xdr:to>
    <xdr:graphicFrame>
      <xdr:nvGraphicFramePr>
        <xdr:cNvPr id="0" name="Chart 1"/>
        <xdr:cNvGraphicFramePr/>
      </xdr:nvGraphicFramePr>
      <xdr:xfrm>
        <a:off x="650952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581400</xdr:colOff>
      <xdr:row>23</xdr:row>
      <xdr:rowOff>149400</xdr:rowOff>
    </xdr:to>
    <xdr:graphicFrame>
      <xdr:nvGraphicFramePr>
        <xdr:cNvPr id="1" name="Chart 1"/>
        <xdr:cNvGraphicFramePr/>
      </xdr:nvGraphicFramePr>
      <xdr:xfrm>
        <a:off x="582732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0</xdr:rowOff>
    </xdr:from>
    <xdr:to>
      <xdr:col>25</xdr:col>
      <xdr:colOff>78480</xdr:colOff>
      <xdr:row>26</xdr:row>
      <xdr:rowOff>107640</xdr:rowOff>
    </xdr:to>
    <xdr:graphicFrame>
      <xdr:nvGraphicFramePr>
        <xdr:cNvPr id="2" name="Chart 1"/>
        <xdr:cNvGraphicFramePr/>
      </xdr:nvGraphicFramePr>
      <xdr:xfrm>
        <a:off x="11184120" y="38088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10</xdr:row>
      <xdr:rowOff>0</xdr:rowOff>
    </xdr:from>
    <xdr:to>
      <xdr:col>10</xdr:col>
      <xdr:colOff>280800</xdr:colOff>
      <xdr:row>32</xdr:row>
      <xdr:rowOff>128880</xdr:rowOff>
    </xdr:to>
    <xdr:graphicFrame>
      <xdr:nvGraphicFramePr>
        <xdr:cNvPr id="3" name="Chart 1"/>
        <xdr:cNvGraphicFramePr/>
      </xdr:nvGraphicFramePr>
      <xdr:xfrm>
        <a:off x="5216040" y="190512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8.3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6" t="n">
        <v>695</v>
      </c>
      <c r="D4" s="7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6" t="n">
        <v>9.81</v>
      </c>
      <c r="D5" s="7" t="s">
        <v>26</v>
      </c>
    </row>
    <row r="6" customFormat="false" ht="15" hidden="false" customHeight="false" outlineLevel="0" collapsed="false">
      <c r="A6" s="0" t="s">
        <v>27</v>
      </c>
      <c r="B6" s="0" t="s">
        <v>28</v>
      </c>
      <c r="C6" s="6" t="n">
        <v>1.225</v>
      </c>
      <c r="D6" s="7" t="s">
        <v>29</v>
      </c>
    </row>
    <row r="7" customFormat="false" ht="15" hidden="false" customHeight="false" outlineLevel="0" collapsed="false">
      <c r="A7" s="0" t="s">
        <v>30</v>
      </c>
      <c r="B7" s="0" t="s">
        <v>31</v>
      </c>
      <c r="C7" s="6" t="n">
        <v>0.34</v>
      </c>
      <c r="D7" s="7" t="s">
        <v>32</v>
      </c>
    </row>
    <row r="8" customFormat="false" ht="15" hidden="false" customHeight="false" outlineLevel="0" collapsed="false">
      <c r="A8" s="0" t="s">
        <v>33</v>
      </c>
      <c r="B8" s="0" t="s">
        <v>34</v>
      </c>
      <c r="C8" s="6" t="n">
        <v>1.5</v>
      </c>
      <c r="D8" s="7" t="s">
        <v>35</v>
      </c>
    </row>
    <row r="9" customFormat="false" ht="15" hidden="false" customHeight="false" outlineLevel="0" collapsed="false">
      <c r="A9" s="0" t="s">
        <v>36</v>
      </c>
      <c r="B9" s="0" t="s">
        <v>37</v>
      </c>
      <c r="C9" s="6" t="n">
        <v>0.011</v>
      </c>
      <c r="D9" s="7" t="s">
        <v>32</v>
      </c>
    </row>
    <row r="10" customFormat="false" ht="15" hidden="false" customHeight="false" outlineLevel="0" collapsed="false">
      <c r="A10" s="0" t="s">
        <v>38</v>
      </c>
      <c r="B10" s="0" t="s">
        <v>39</v>
      </c>
      <c r="C10" s="6" t="n">
        <v>0.008</v>
      </c>
      <c r="D10" s="7" t="s">
        <v>32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6" t="n">
        <v>0.247548</v>
      </c>
      <c r="D11" s="7" t="s">
        <v>22</v>
      </c>
      <c r="E11" s="7" t="s">
        <v>42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6" t="n">
        <v>0.95</v>
      </c>
      <c r="D12" s="7" t="s">
        <v>32</v>
      </c>
    </row>
    <row r="13" customFormat="false" ht="15" hidden="false" customHeight="false" outlineLevel="0" collapsed="false">
      <c r="A13" s="0" t="s">
        <v>45</v>
      </c>
      <c r="B13" s="0" t="s">
        <v>46</v>
      </c>
      <c r="C13" s="6" t="n">
        <v>120</v>
      </c>
      <c r="D13" s="7" t="s">
        <v>47</v>
      </c>
    </row>
    <row r="14" customFormat="false" ht="15" hidden="false" customHeight="false" outlineLevel="0" collapsed="false">
      <c r="A14" s="0" t="s">
        <v>48</v>
      </c>
      <c r="B14" s="0" t="s">
        <v>49</v>
      </c>
      <c r="C14" s="6" t="n">
        <v>4000</v>
      </c>
      <c r="D14" s="7" t="s">
        <v>50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6" t="n">
        <v>6500</v>
      </c>
      <c r="D15" s="7" t="s">
        <v>50</v>
      </c>
    </row>
    <row r="16" customFormat="false" ht="15" hidden="false" customHeight="false" outlineLevel="0" collapsed="false">
      <c r="A16" s="0" t="s">
        <v>53</v>
      </c>
      <c r="B16" s="0" t="s">
        <v>54</v>
      </c>
      <c r="C16" s="6" t="n">
        <v>180</v>
      </c>
      <c r="D16" s="7" t="s">
        <v>55</v>
      </c>
    </row>
    <row r="17" customFormat="false" ht="15" hidden="false" customHeight="false" outlineLevel="0" collapsed="false">
      <c r="A17" s="0" t="s">
        <v>56</v>
      </c>
      <c r="B17" s="0" t="s">
        <v>57</v>
      </c>
      <c r="C17" s="6" t="n">
        <v>50</v>
      </c>
      <c r="D17" s="7" t="s">
        <v>58</v>
      </c>
    </row>
    <row r="18" customFormat="false" ht="15" hidden="false" customHeight="false" outlineLevel="0" collapsed="false">
      <c r="A18" s="0" t="s">
        <v>59</v>
      </c>
      <c r="B18" s="0" t="s">
        <v>60</v>
      </c>
      <c r="C18" s="6" t="n">
        <v>0.5</v>
      </c>
      <c r="D18" s="7" t="s">
        <v>26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6" t="n">
        <v>4</v>
      </c>
      <c r="D19" s="7" t="s">
        <v>32</v>
      </c>
      <c r="E19" s="7" t="s">
        <v>63</v>
      </c>
    </row>
    <row r="20" customFormat="false" ht="15" hidden="false" customHeight="false" outlineLevel="0" collapsed="false">
      <c r="A20" s="0" t="s">
        <v>64</v>
      </c>
      <c r="B20" s="0" t="s">
        <v>65</v>
      </c>
      <c r="C20" s="6" t="n">
        <v>4</v>
      </c>
      <c r="D20" s="7" t="s">
        <v>32</v>
      </c>
      <c r="E20" s="7" t="s">
        <v>66</v>
      </c>
    </row>
    <row r="21" customFormat="false" ht="15" hidden="false" customHeight="false" outlineLevel="0" collapsed="false">
      <c r="A21" s="0" t="s">
        <v>67</v>
      </c>
      <c r="B21" s="0" t="s">
        <v>68</v>
      </c>
      <c r="C21" s="6" t="n">
        <v>18</v>
      </c>
      <c r="D21" s="7" t="s">
        <v>32</v>
      </c>
    </row>
    <row r="22" customFormat="false" ht="15" hidden="false" customHeight="false" outlineLevel="0" collapsed="false">
      <c r="A22" s="0" t="s">
        <v>69</v>
      </c>
      <c r="B22" s="0" t="s">
        <v>70</v>
      </c>
      <c r="C22" s="6" t="n">
        <v>36</v>
      </c>
      <c r="D22" s="7" t="s">
        <v>32</v>
      </c>
    </row>
    <row r="23" customFormat="false" ht="15" hidden="false" customHeight="false" outlineLevel="0" collapsed="false">
      <c r="A23" s="0" t="s">
        <v>71</v>
      </c>
      <c r="B23" s="0" t="s">
        <v>72</v>
      </c>
      <c r="C23" s="6" t="n">
        <v>3</v>
      </c>
      <c r="D23" s="7" t="s">
        <v>73</v>
      </c>
      <c r="E23" s="7" t="s">
        <v>74</v>
      </c>
    </row>
    <row r="24" customFormat="false" ht="15" hidden="false" customHeight="false" outlineLevel="0" collapsed="false">
      <c r="A24" s="0" t="s">
        <v>75</v>
      </c>
      <c r="B24" s="0" t="s">
        <v>76</v>
      </c>
      <c r="C24" s="6" t="n">
        <v>18</v>
      </c>
      <c r="D24" s="7" t="s">
        <v>32</v>
      </c>
    </row>
    <row r="25" customFormat="false" ht="15" hidden="false" customHeight="false" outlineLevel="0" collapsed="false">
      <c r="A25" s="0" t="s">
        <v>77</v>
      </c>
      <c r="B25" s="0" t="s">
        <v>78</v>
      </c>
      <c r="C25" s="6" t="n">
        <v>15</v>
      </c>
      <c r="D25" s="7" t="s">
        <v>32</v>
      </c>
      <c r="E25" s="7" t="s">
        <v>79</v>
      </c>
    </row>
    <row r="26" customFormat="false" ht="15" hidden="false" customHeight="false" outlineLevel="0" collapsed="false">
      <c r="A26" s="0" t="s">
        <v>80</v>
      </c>
      <c r="B26" s="0" t="s">
        <v>81</v>
      </c>
      <c r="C26" s="6" t="n">
        <v>17</v>
      </c>
      <c r="D26" s="7" t="s">
        <v>32</v>
      </c>
    </row>
    <row r="28" customFormat="false" ht="15" hidden="false" customHeight="false" outlineLevel="0" collapsed="false">
      <c r="A28" s="8" t="s">
        <v>82</v>
      </c>
    </row>
    <row r="29" customFormat="false" ht="15" hidden="false" customHeight="false" outlineLevel="0" collapsed="false">
      <c r="A29" s="0" t="s">
        <v>83</v>
      </c>
      <c r="B29" s="0" t="s">
        <v>84</v>
      </c>
      <c r="C29" s="9" t="n">
        <f aca="false">m*g</f>
        <v>6817.95</v>
      </c>
      <c r="D29" s="7" t="s">
        <v>85</v>
      </c>
    </row>
    <row r="30" customFormat="false" ht="15" hidden="false" customHeight="false" outlineLevel="0" collapsed="false">
      <c r="A30" s="0" t="s">
        <v>86</v>
      </c>
      <c r="B30" s="0" t="s">
        <v>87</v>
      </c>
      <c r="C30" s="9" t="n">
        <f aca="false">ATAN(pend/100)</f>
        <v>0.463647609000806</v>
      </c>
      <c r="D30" s="7" t="s">
        <v>88</v>
      </c>
    </row>
    <row r="31" customFormat="false" ht="15" hidden="false" customHeight="false" outlineLevel="0" collapsed="false">
      <c r="A31" s="0" t="s">
        <v>89</v>
      </c>
      <c r="B31" s="0" t="s">
        <v>90</v>
      </c>
      <c r="C31" s="9" t="n">
        <f aca="false">Gw*SIN(alfa)+f0*Gw*COS(alfa)+m*a0</f>
        <v>3463.6596919746</v>
      </c>
      <c r="D31" s="7" t="s">
        <v>85</v>
      </c>
      <c r="E31" s="7" t="s">
        <v>91</v>
      </c>
    </row>
    <row r="32" customFormat="false" ht="15" hidden="false" customHeight="false" outlineLevel="0" collapsed="false">
      <c r="A32" s="0" t="s">
        <v>92</v>
      </c>
      <c r="B32" s="0" t="s">
        <v>93</v>
      </c>
      <c r="C32" s="9" t="n">
        <f aca="false">Ft1*rc/(Mmax*eta)</f>
        <v>7.52124587218357</v>
      </c>
      <c r="D32" s="7" t="s">
        <v>32</v>
      </c>
      <c r="E32" s="7" t="s">
        <v>94</v>
      </c>
    </row>
    <row r="33" customFormat="false" ht="15" hidden="false" customHeight="false" outlineLevel="0" collapsed="false">
      <c r="A33" s="0" t="s">
        <v>95</v>
      </c>
      <c r="B33" s="0" t="s">
        <v>96</v>
      </c>
      <c r="C33" s="9" t="n">
        <f aca="false">PI()*nP*rc/(30*Vmax/3.6)</f>
        <v>3.370011572247</v>
      </c>
      <c r="D33" s="7" t="s">
        <v>32</v>
      </c>
      <c r="E33" s="7" t="s">
        <v>97</v>
      </c>
    </row>
    <row r="34" customFormat="false" ht="15" hidden="false" customHeight="false" outlineLevel="0" collapsed="false">
      <c r="A34" s="0" t="s">
        <v>98</v>
      </c>
      <c r="B34" s="0" t="s">
        <v>99</v>
      </c>
      <c r="C34" s="9" t="n">
        <f aca="false">(iQ/i1)^(1/(Q-1))</f>
        <v>0.765209821092807</v>
      </c>
      <c r="D34" s="7" t="s">
        <v>32</v>
      </c>
      <c r="E34" s="7" t="s">
        <v>100</v>
      </c>
    </row>
    <row r="35" customFormat="false" ht="15" hidden="false" customHeight="false" outlineLevel="0" collapsed="false">
      <c r="A35" s="0" t="s">
        <v>101</v>
      </c>
      <c r="B35" s="0" t="s">
        <v>102</v>
      </c>
      <c r="C35" s="9" t="n">
        <f aca="false">Zb/Za</f>
        <v>2</v>
      </c>
      <c r="D35" s="7" t="s">
        <v>32</v>
      </c>
      <c r="E35" s="7" t="s">
        <v>103</v>
      </c>
    </row>
    <row r="36" customFormat="false" ht="15" hidden="false" customHeight="false" outlineLevel="0" collapsed="false">
      <c r="A36" s="0" t="s">
        <v>104</v>
      </c>
      <c r="B36" s="0" t="s">
        <v>105</v>
      </c>
      <c r="C36" s="9" t="n">
        <f aca="false">Za+Zb</f>
        <v>54</v>
      </c>
      <c r="D36" s="7" t="s">
        <v>32</v>
      </c>
      <c r="E36" s="7" t="s">
        <v>106</v>
      </c>
    </row>
    <row r="37" customFormat="false" ht="15" hidden="false" customHeight="false" outlineLevel="0" collapsed="false">
      <c r="A37" s="0" t="s">
        <v>107</v>
      </c>
      <c r="B37" s="0" t="s">
        <v>108</v>
      </c>
      <c r="C37" s="9" t="n">
        <f aca="false">mod*SZ/2</f>
        <v>81</v>
      </c>
      <c r="D37" s="7" t="s">
        <v>73</v>
      </c>
      <c r="E37" s="7" t="s">
        <v>109</v>
      </c>
    </row>
    <row r="38" customFormat="false" ht="15" hidden="false" customHeight="false" outlineLevel="0" collapsed="false">
      <c r="A38" s="0" t="s">
        <v>110</v>
      </c>
      <c r="B38" s="0" t="s">
        <v>111</v>
      </c>
      <c r="C38" s="9" t="n">
        <f aca="false">itc*ZR2/ZR1</f>
        <v>1.88888888888889</v>
      </c>
      <c r="D38" s="7" t="s">
        <v>32</v>
      </c>
      <c r="E38" s="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4" min="2" style="0" width="13"/>
    <col collapsed="false" customWidth="true" hidden="false" outlineLevel="0" max="8" min="5" style="0" width="12"/>
    <col collapsed="false" customWidth="true" hidden="false" outlineLevel="0" max="9" min="9" style="0" width="11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4" t="s">
        <v>113</v>
      </c>
    </row>
    <row r="3" customFormat="false" ht="28.35" hidden="false" customHeight="false" outlineLevel="0" collapsed="false">
      <c r="A3" s="5" t="s">
        <v>114</v>
      </c>
      <c r="B3" s="5" t="s">
        <v>115</v>
      </c>
      <c r="C3" s="5" t="s">
        <v>116</v>
      </c>
      <c r="D3" s="5" t="s">
        <v>117</v>
      </c>
      <c r="E3" s="5" t="s">
        <v>118</v>
      </c>
      <c r="F3" s="5" t="s">
        <v>119</v>
      </c>
      <c r="G3" s="5" t="s">
        <v>120</v>
      </c>
      <c r="H3" s="5" t="s">
        <v>121</v>
      </c>
      <c r="I3" s="5" t="s">
        <v>122</v>
      </c>
      <c r="J3" s="5" t="s">
        <v>123</v>
      </c>
    </row>
    <row r="4" customFormat="false" ht="15" hidden="false" customHeight="false" outlineLevel="0" collapsed="false">
      <c r="A4" s="10" t="n">
        <v>1</v>
      </c>
      <c r="B4" s="10" t="n">
        <f aca="false">IF(A4&lt;=Q,i1*kg^(A4-1),"")</f>
        <v>7.52124587218357</v>
      </c>
      <c r="C4" s="10" t="n">
        <f aca="false">IF(A4&lt;=Q,B4/igr,"")</f>
        <v>1.88031146804589</v>
      </c>
      <c r="D4" s="10" t="n">
        <f aca="false">IF(A4&lt;=Q,C4/itc,"")</f>
        <v>0.940155734022946</v>
      </c>
      <c r="E4" s="10" t="n">
        <f aca="false">IF(A4&lt;=Q,SZ/(1+D4),"")</f>
        <v>27.8328172594836</v>
      </c>
      <c r="F4" s="10" t="n">
        <f aca="false">IF(A4&lt;=Q,ROUND(E4,0),"")</f>
        <v>28</v>
      </c>
      <c r="G4" s="10" t="n">
        <f aca="false">IF(A4&lt;=Q,SZ-F4,"")</f>
        <v>26</v>
      </c>
      <c r="H4" s="10" t="n">
        <f aca="false">IF(A4&lt;=Q,itc*G4/F4,"")</f>
        <v>1.85714285714286</v>
      </c>
      <c r="I4" s="10" t="n">
        <f aca="false">IF(A4&lt;=Q,(H4-C4)/C4*100,"")</f>
        <v>-1.2321687814367</v>
      </c>
      <c r="J4" s="10" t="n">
        <f aca="false">IF(A4&lt;=Q,H4*igr,"")</f>
        <v>7.42857142857143</v>
      </c>
    </row>
    <row r="5" customFormat="false" ht="15" hidden="false" customHeight="false" outlineLevel="0" collapsed="false">
      <c r="A5" s="10" t="n">
        <v>2</v>
      </c>
      <c r="B5" s="10" t="n">
        <f aca="false">IF(A5&lt;=Q,i1*kg^(A5-1),"")</f>
        <v>5.75533120824861</v>
      </c>
      <c r="C5" s="10" t="n">
        <f aca="false">IF(A5&lt;=Q,B5/igr,"")</f>
        <v>1.43883280206215</v>
      </c>
      <c r="D5" s="10" t="n">
        <f aca="false">IF(A5&lt;=Q,C5/itc,"")</f>
        <v>0.719416401031076</v>
      </c>
      <c r="E5" s="10" t="n">
        <f aca="false">IF(A5&lt;=Q,SZ/(1+D5),"")</f>
        <v>31.406004948899</v>
      </c>
      <c r="F5" s="10" t="n">
        <f aca="false">IF(A5&lt;=Q,ROUND(E5,0),"")</f>
        <v>31</v>
      </c>
      <c r="G5" s="10" t="n">
        <f aca="false">IF(A5&lt;=Q,SZ-F5,"")</f>
        <v>23</v>
      </c>
      <c r="H5" s="10" t="n">
        <f aca="false">IF(A5&lt;=Q,itc*G5/F5,"")</f>
        <v>1.48387096774194</v>
      </c>
      <c r="I5" s="10" t="n">
        <f aca="false">IF(A5&lt;=Q,(H5-C5)/C5*100,"")</f>
        <v>3.13018758088049</v>
      </c>
      <c r="J5" s="10" t="n">
        <f aca="false">IF(A5&lt;=Q,H5*igr,"")</f>
        <v>5.93548387096774</v>
      </c>
    </row>
    <row r="6" customFormat="false" ht="15" hidden="false" customHeight="false" outlineLevel="0" collapsed="false">
      <c r="A6" s="10" t="n">
        <v>3</v>
      </c>
      <c r="B6" s="10" t="n">
        <f aca="false">IF(A6&lt;=Q,i1*kg^(A6-1),"")</f>
        <v>4.40403596419377</v>
      </c>
      <c r="C6" s="10" t="n">
        <f aca="false">IF(A6&lt;=Q,B6/igr,"")</f>
        <v>1.10100899104844</v>
      </c>
      <c r="D6" s="10" t="n">
        <f aca="false">IF(A6&lt;=Q,C6/itc,"")</f>
        <v>0.550504495524221</v>
      </c>
      <c r="E6" s="10" t="n">
        <f aca="false">IF(A6&lt;=Q,SZ/(1+D6),"")</f>
        <v>34.8273740294721</v>
      </c>
      <c r="F6" s="10" t="n">
        <f aca="false">IF(A6&lt;=Q,ROUND(E6,0),"")</f>
        <v>35</v>
      </c>
      <c r="G6" s="10" t="n">
        <f aca="false">IF(A6&lt;=Q,SZ-F6,"")</f>
        <v>19</v>
      </c>
      <c r="H6" s="10" t="n">
        <f aca="false">IF(A6&lt;=Q,itc*G6/F6,"")</f>
        <v>1.08571428571429</v>
      </c>
      <c r="I6" s="10" t="n">
        <f aca="false">IF(A6&lt;=Q,(H6-C6)/C6*100,"")</f>
        <v>-1.3891535363023</v>
      </c>
      <c r="J6" s="10" t="n">
        <f aca="false">IF(A6&lt;=Q,H6*igr,"")</f>
        <v>4.34285714285714</v>
      </c>
    </row>
    <row r="7" customFormat="false" ht="15" hidden="false" customHeight="false" outlineLevel="0" collapsed="false">
      <c r="A7" s="10" t="n">
        <v>4</v>
      </c>
      <c r="B7" s="10" t="n">
        <f aca="false">IF(A7&lt;=Q,i1*kg^(A7-1),"")</f>
        <v>3.370011572247</v>
      </c>
      <c r="C7" s="10" t="n">
        <f aca="false">IF(A7&lt;=Q,B7/igr,"")</f>
        <v>0.84250289306175</v>
      </c>
      <c r="D7" s="10" t="n">
        <f aca="false">IF(A7&lt;=Q,C7/itc,"")</f>
        <v>0.421251446530875</v>
      </c>
      <c r="E7" s="10" t="n">
        <f aca="false">IF(A7&lt;=Q,SZ/(1+D7),"")</f>
        <v>37.9946842846199</v>
      </c>
      <c r="F7" s="10" t="n">
        <f aca="false">IF(A7&lt;=Q,ROUND(E7,0),"")</f>
        <v>38</v>
      </c>
      <c r="G7" s="10" t="n">
        <f aca="false">IF(A7&lt;=Q,SZ-F7,"")</f>
        <v>16</v>
      </c>
      <c r="H7" s="10" t="n">
        <f aca="false">IF(A7&lt;=Q,itc*G7/F7,"")</f>
        <v>0.842105263157895</v>
      </c>
      <c r="I7" s="10" t="n">
        <f aca="false">IF(A7&lt;=Q,(H7-C7)/C7*100,"")</f>
        <v>-0.0471962656899904</v>
      </c>
      <c r="J7" s="10" t="n">
        <f aca="false">IF(A7&lt;=Q,H7*igr,"")</f>
        <v>3.36842105263158</v>
      </c>
    </row>
    <row r="8" customFormat="false" ht="15" hidden="false" customHeight="false" outlineLevel="0" collapsed="false">
      <c r="A8" s="10" t="n">
        <v>5</v>
      </c>
      <c r="B8" s="10" t="str">
        <f aca="false">IF(A8&lt;=Q,i1*kg^(A8-1),"")</f>
        <v/>
      </c>
      <c r="C8" s="10" t="str">
        <f aca="false">IF(A8&lt;=Q,B8/igr,"")</f>
        <v/>
      </c>
      <c r="D8" s="10" t="str">
        <f aca="false">IF(A8&lt;=Q,C8/itc,"")</f>
        <v/>
      </c>
      <c r="E8" s="10" t="str">
        <f aca="false">IF(A8&lt;=Q,SZ/(1+D8),"")</f>
        <v/>
      </c>
      <c r="F8" s="10" t="str">
        <f aca="false">IF(A8&lt;=Q,ROUND(E8,0),"")</f>
        <v/>
      </c>
      <c r="G8" s="10" t="str">
        <f aca="false">IF(A8&lt;=Q,SZ-F8,"")</f>
        <v/>
      </c>
      <c r="H8" s="10" t="str">
        <f aca="false">IF(A8&lt;=Q,itc*G8/F8,"")</f>
        <v/>
      </c>
      <c r="I8" s="10" t="str">
        <f aca="false">IF(A8&lt;=Q,(H8-C8)/C8*100,"")</f>
        <v/>
      </c>
      <c r="J8" s="10" t="str">
        <f aca="false">IF(A8&lt;=Q,H8*igr,"")</f>
        <v/>
      </c>
    </row>
    <row r="9" customFormat="false" ht="15" hidden="false" customHeight="false" outlineLevel="0" collapsed="false">
      <c r="A9" s="10" t="n">
        <v>6</v>
      </c>
      <c r="B9" s="10" t="str">
        <f aca="false">IF(A9&lt;=Q,i1*kg^(A9-1),"")</f>
        <v/>
      </c>
      <c r="C9" s="10" t="str">
        <f aca="false">IF(A9&lt;=Q,B9/igr,"")</f>
        <v/>
      </c>
      <c r="D9" s="10" t="str">
        <f aca="false">IF(A9&lt;=Q,C9/itc,"")</f>
        <v/>
      </c>
      <c r="E9" s="10" t="str">
        <f aca="false">IF(A9&lt;=Q,SZ/(1+D9),"")</f>
        <v/>
      </c>
      <c r="F9" s="10" t="str">
        <f aca="false">IF(A9&lt;=Q,ROUND(E9,0),"")</f>
        <v/>
      </c>
      <c r="G9" s="10" t="str">
        <f aca="false">IF(A9&lt;=Q,SZ-F9,"")</f>
        <v/>
      </c>
      <c r="H9" s="10" t="str">
        <f aca="false">IF(A9&lt;=Q,itc*G9/F9,"")</f>
        <v/>
      </c>
      <c r="I9" s="10" t="str">
        <f aca="false">IF(A9&lt;=Q,(H9-C9)/C9*100,"")</f>
        <v/>
      </c>
      <c r="J9" s="10" t="str">
        <f aca="false">IF(A9&lt;=Q,H9*igr,"")</f>
        <v/>
      </c>
    </row>
    <row r="11" customFormat="false" ht="15" hidden="false" customHeight="false" outlineLevel="0" collapsed="false">
      <c r="A11" s="0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6"/>
    <col collapsed="false" customWidth="true" hidden="false" outlineLevel="0" max="6" min="4" style="0" width="14"/>
  </cols>
  <sheetData>
    <row r="1" customFormat="false" ht="15" hidden="false" customHeight="false" outlineLevel="0" collapsed="false">
      <c r="A1" s="4" t="s">
        <v>125</v>
      </c>
    </row>
    <row r="3" customFormat="false" ht="28.35" hidden="false" customHeight="false" outlineLevel="0" collapsed="false">
      <c r="A3" s="5" t="s">
        <v>126</v>
      </c>
      <c r="B3" s="5" t="s">
        <v>127</v>
      </c>
      <c r="C3" s="5" t="s">
        <v>128</v>
      </c>
      <c r="D3" s="5" t="s">
        <v>129</v>
      </c>
      <c r="E3" s="5" t="s">
        <v>130</v>
      </c>
      <c r="F3" s="5" t="s">
        <v>131</v>
      </c>
      <c r="H3" s="7" t="s">
        <v>132</v>
      </c>
      <c r="I3" s="6" t="n">
        <v>18</v>
      </c>
    </row>
    <row r="4" customFormat="false" ht="15" hidden="false" customHeight="false" outlineLevel="0" collapsed="false">
      <c r="A4" s="10" t="s">
        <v>133</v>
      </c>
      <c r="B4" s="6" t="n">
        <v>28</v>
      </c>
      <c r="C4" s="6" t="n">
        <v>26</v>
      </c>
      <c r="D4" s="10" t="n">
        <f aca="false">IF(OR(B4="",C4=""),"",(C4/B4))</f>
        <v>0.928571428571429</v>
      </c>
      <c r="E4" s="10" t="n">
        <f aca="false">IF(D4="","",itc_lab*D4)</f>
        <v>1.85714285714286</v>
      </c>
      <c r="F4" s="10" t="n">
        <f aca="false">IF(E4="","",E4*id_lab)</f>
        <v>7.42857142857143</v>
      </c>
      <c r="H4" s="7" t="s">
        <v>134</v>
      </c>
      <c r="I4" s="6" t="n">
        <v>36</v>
      </c>
    </row>
    <row r="5" customFormat="false" ht="15" hidden="false" customHeight="false" outlineLevel="0" collapsed="false">
      <c r="A5" s="10" t="s">
        <v>135</v>
      </c>
      <c r="B5" s="6" t="n">
        <v>31</v>
      </c>
      <c r="C5" s="6" t="n">
        <v>23</v>
      </c>
      <c r="D5" s="10" t="n">
        <f aca="false">IF(OR(B5="",C5=""),"",(C5/B5))</f>
        <v>0.741935483870968</v>
      </c>
      <c r="E5" s="10" t="n">
        <f aca="false">IF(D5="","",itc_lab*D5)</f>
        <v>1.48387096774194</v>
      </c>
      <c r="F5" s="10" t="n">
        <f aca="false">IF(E5="","",E5*id_lab)</f>
        <v>5.93548387096774</v>
      </c>
      <c r="H5" s="7" t="s">
        <v>136</v>
      </c>
      <c r="I5" s="6" t="n">
        <v>4</v>
      </c>
    </row>
    <row r="6" customFormat="false" ht="15" hidden="false" customHeight="false" outlineLevel="0" collapsed="false">
      <c r="A6" s="10" t="s">
        <v>137</v>
      </c>
      <c r="B6" s="6" t="n">
        <v>35</v>
      </c>
      <c r="C6" s="6" t="n">
        <v>19</v>
      </c>
      <c r="D6" s="10" t="n">
        <f aca="false">IF(OR(B6="",C6=""),"",(C6/B6))</f>
        <v>0.542857142857143</v>
      </c>
      <c r="E6" s="10" t="n">
        <f aca="false">IF(D6="","",itc_lab*D6)</f>
        <v>1.08571428571429</v>
      </c>
      <c r="F6" s="10" t="n">
        <f aca="false">IF(E6="","",E6*id_lab)</f>
        <v>4.34285714285714</v>
      </c>
      <c r="H6" s="7" t="s">
        <v>138</v>
      </c>
      <c r="I6" s="11" t="n">
        <f aca="false">I4/I3</f>
        <v>2</v>
      </c>
    </row>
    <row r="7" customFormat="false" ht="15" hidden="false" customHeight="false" outlineLevel="0" collapsed="false">
      <c r="A7" s="10" t="s">
        <v>139</v>
      </c>
      <c r="B7" s="6" t="n">
        <v>38</v>
      </c>
      <c r="C7" s="6" t="n">
        <v>16</v>
      </c>
      <c r="D7" s="10" t="n">
        <f aca="false">IF(OR(B7="",C7=""),"",(C7/B7))</f>
        <v>0.421052631578947</v>
      </c>
      <c r="E7" s="10" t="n">
        <f aca="false">IF(D7="","",itc_lab*D7)</f>
        <v>0.842105263157895</v>
      </c>
      <c r="F7" s="10" t="n">
        <f aca="false">IF(E7="","",E7*id_lab)</f>
        <v>3.36842105263158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3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5" hidden="false" customHeight="false" outlineLevel="0" collapsed="false">
      <c r="A1" s="4" t="s">
        <v>140</v>
      </c>
    </row>
    <row r="3" customFormat="false" ht="41.75" hidden="false" customHeight="false" outlineLevel="0" collapsed="false">
      <c r="A3" s="5" t="s">
        <v>114</v>
      </c>
      <c r="B3" s="5" t="s">
        <v>123</v>
      </c>
      <c r="C3" s="5" t="s">
        <v>141</v>
      </c>
      <c r="D3" s="5" t="s">
        <v>142</v>
      </c>
      <c r="E3" s="5" t="s">
        <v>143</v>
      </c>
      <c r="F3" s="5" t="s">
        <v>144</v>
      </c>
      <c r="G3" s="5" t="s">
        <v>145</v>
      </c>
      <c r="H3" s="5" t="s">
        <v>146</v>
      </c>
    </row>
    <row r="4" customFormat="false" ht="15" hidden="false" customHeight="false" outlineLevel="0" collapsed="false">
      <c r="A4" s="10" t="n">
        <v>1</v>
      </c>
      <c r="B4" s="10" t="n">
        <f aca="false">IF(A4&lt;=Q,2_Diseno_dientes!J4,"")</f>
        <v>7.42857142857143</v>
      </c>
      <c r="C4" s="10" t="n">
        <f aca="false">IF(A4&lt;Q,2_Diseno_dientes!H4/2_Diseno_dientes!H5,"")</f>
        <v>1.25155279503106</v>
      </c>
      <c r="D4" s="10" t="n">
        <f aca="false">IF(A4&lt;Q,nP*2_Diseno_dientes!J5/2_Diseno_dientes!J4,"")</f>
        <v>5193.54838709678</v>
      </c>
      <c r="E4" s="10" t="n">
        <f aca="false">IF(A4&lt;=Q,0.377*rc*nM/B4,"")</f>
        <v>50.252244</v>
      </c>
      <c r="F4" s="10" t="n">
        <f aca="false">IF(A4&lt;=Q,0.377*rc*nP/B4,"")</f>
        <v>81.6598965</v>
      </c>
      <c r="G4" s="10" t="n">
        <f aca="false">IF(A4&lt;=Q,Mmax*B4*eta/rc,"")</f>
        <v>3420.98155855488</v>
      </c>
      <c r="H4" s="10" t="n">
        <f aca="false">IF(A4&lt;=Q,Mmax*2_Diseno_dientes!H4*eta,"")</f>
        <v>211.714285714286</v>
      </c>
    </row>
    <row r="5" customFormat="false" ht="15" hidden="false" customHeight="false" outlineLevel="0" collapsed="false">
      <c r="A5" s="10" t="n">
        <v>2</v>
      </c>
      <c r="B5" s="10" t="n">
        <f aca="false">IF(A5&lt;=Q,2_Diseno_dientes!J5,"")</f>
        <v>5.93548387096774</v>
      </c>
      <c r="C5" s="10" t="n">
        <f aca="false">IF(A5&lt;Q,2_Diseno_dientes!H5/2_Diseno_dientes!H6,"")</f>
        <v>1.36672325976231</v>
      </c>
      <c r="D5" s="10" t="n">
        <f aca="false">IF(A5&lt;Q,nP*2_Diseno_dientes!J6/2_Diseno_dientes!J5,"")</f>
        <v>4755.90062111801</v>
      </c>
      <c r="E5" s="10" t="n">
        <f aca="false">IF(A5&lt;=Q,0.377*rc*nM/B5,"")</f>
        <v>62.8933364347826</v>
      </c>
      <c r="F5" s="10" t="n">
        <f aca="false">IF(A5&lt;=Q,0.377*rc*nP/B5,"")</f>
        <v>102.201671706522</v>
      </c>
      <c r="G5" s="10" t="n">
        <f aca="false">IF(A5&lt;=Q,Mmax*B5*eta/rc,"")</f>
        <v>2733.38973164931</v>
      </c>
      <c r="H5" s="10" t="n">
        <f aca="false">IF(A5&lt;=Q,Mmax*2_Diseno_dientes!H5*eta,"")</f>
        <v>169.161290322581</v>
      </c>
    </row>
    <row r="6" customFormat="false" ht="15" hidden="false" customHeight="false" outlineLevel="0" collapsed="false">
      <c r="A6" s="10" t="n">
        <v>3</v>
      </c>
      <c r="B6" s="10" t="n">
        <f aca="false">IF(A6&lt;=Q,2_Diseno_dientes!J6,"")</f>
        <v>4.34285714285714</v>
      </c>
      <c r="C6" s="10" t="n">
        <f aca="false">IF(A6&lt;Q,2_Diseno_dientes!H6/2_Diseno_dientes!H7,"")</f>
        <v>1.28928571428571</v>
      </c>
      <c r="D6" s="10" t="n">
        <f aca="false">IF(A6&lt;Q,nP*2_Diseno_dientes!J7/2_Diseno_dientes!J6,"")</f>
        <v>5041.5512465374</v>
      </c>
      <c r="E6" s="10" t="n">
        <f aca="false">IF(A6&lt;=Q,0.377*rc*nM/B6,"")</f>
        <v>85.9577857894737</v>
      </c>
      <c r="F6" s="10" t="n">
        <f aca="false">IF(A6&lt;=Q,0.377*rc*nP/B6,"")</f>
        <v>139.681401907895</v>
      </c>
      <c r="G6" s="10" t="n">
        <f aca="false">IF(A6&lt;=Q,Mmax*B6*eta/rc,"")</f>
        <v>1999.9584496167</v>
      </c>
      <c r="H6" s="10" t="n">
        <f aca="false">IF(A6&lt;=Q,Mmax*2_Diseno_dientes!H6*eta,"")</f>
        <v>123.771428571429</v>
      </c>
    </row>
    <row r="7" customFormat="false" ht="15" hidden="false" customHeight="false" outlineLevel="0" collapsed="false">
      <c r="A7" s="10" t="n">
        <v>4</v>
      </c>
      <c r="B7" s="10" t="n">
        <f aca="false">IF(A7&lt;=Q,2_Diseno_dientes!J7,"")</f>
        <v>3.36842105263158</v>
      </c>
      <c r="C7" s="10" t="str">
        <f aca="false">IF(A7&lt;Q,2_Diseno_dientes!H7/2_Diseno_dientes!H8,"")</f>
        <v/>
      </c>
      <c r="D7" s="10" t="str">
        <f aca="false">IF(A7&lt;Q,nP*2_Diseno_dientes!J8/2_Diseno_dientes!J7,"")</f>
        <v/>
      </c>
      <c r="E7" s="10" t="n">
        <f aca="false">IF(A7&lt;=Q,0.377*rc*nM/B7,"")</f>
        <v>110.82414525</v>
      </c>
      <c r="F7" s="10" t="n">
        <f aca="false">IF(A7&lt;=Q,0.377*rc*nP/B7,"")</f>
        <v>180.08923603125</v>
      </c>
      <c r="G7" s="10" t="n">
        <f aca="false">IF(A7&lt;=Q,Mmax*B7*eta/rc,"")</f>
        <v>1551.21430995201</v>
      </c>
      <c r="H7" s="10" t="n">
        <f aca="false">IF(A7&lt;=Q,Mmax*2_Diseno_dientes!H7*eta,"")</f>
        <v>96</v>
      </c>
    </row>
    <row r="8" customFormat="false" ht="15" hidden="false" customHeight="false" outlineLevel="0" collapsed="false">
      <c r="A8" s="10" t="n">
        <v>5</v>
      </c>
      <c r="B8" s="10" t="str">
        <f aca="false">IF(A8&lt;=Q,2_Diseno_dientes!J8,"")</f>
        <v/>
      </c>
      <c r="C8" s="10" t="str">
        <f aca="false">IF(A8&lt;Q,2_Diseno_dientes!H8/2_Diseno_dientes!H9,"")</f>
        <v/>
      </c>
      <c r="D8" s="10" t="str">
        <f aca="false">IF(A8&lt;Q,nP*2_Diseno_dientes!J9/2_Diseno_dientes!J8,"")</f>
        <v/>
      </c>
      <c r="E8" s="10" t="str">
        <f aca="false">IF(A8&lt;=Q,0.377*rc*nM/B8,"")</f>
        <v/>
      </c>
      <c r="F8" s="10" t="str">
        <f aca="false">IF(A8&lt;=Q,0.377*rc*nP/B8,"")</f>
        <v/>
      </c>
      <c r="G8" s="10" t="str">
        <f aca="false">IF(A8&lt;=Q,Mmax*B8*eta/rc,"")</f>
        <v/>
      </c>
      <c r="H8" s="10" t="str">
        <f aca="false">IF(A8&lt;=Q,Mmax*2_Diseno_dientes!H8*eta,"")</f>
        <v/>
      </c>
    </row>
    <row r="9" customFormat="false" ht="15" hidden="false" customHeight="false" outlineLevel="0" collapsed="false">
      <c r="A9" s="10" t="n">
        <v>6</v>
      </c>
      <c r="B9" s="10" t="str">
        <f aca="false">IF(A9&lt;=Q,2_Diseno_dientes!J9,"")</f>
        <v/>
      </c>
      <c r="C9" s="10" t="str">
        <f aca="false">IF(A9&lt;Q,2_Diseno_dientes!H9/2_Diseno_dientes!H10,"")</f>
        <v/>
      </c>
      <c r="D9" s="10" t="str">
        <f aca="false">IF(A9&lt;Q,nP*2_Diseno_dientes!J10/2_Diseno_dientes!J9,"")</f>
        <v/>
      </c>
      <c r="E9" s="10" t="str">
        <f aca="false">IF(A9&lt;=Q,0.377*rc*nM/B9,"")</f>
        <v/>
      </c>
      <c r="F9" s="10" t="str">
        <f aca="false">IF(A9&lt;=Q,0.377*rc*nP/B9,"")</f>
        <v/>
      </c>
      <c r="G9" s="10" t="str">
        <f aca="false">IF(A9&lt;=Q,Mmax*B9*eta/rc,"")</f>
        <v/>
      </c>
      <c r="H9" s="10" t="str">
        <f aca="false">IF(A9&lt;=Q,Mmax*2_Diseno_dientes!H9*eta,"")</f>
        <v/>
      </c>
    </row>
    <row r="11" customFormat="false" ht="15" hidden="false" customHeight="false" outlineLevel="0" collapsed="false">
      <c r="A11" s="0" t="s">
        <v>147</v>
      </c>
      <c r="D11" s="11" t="n">
        <f aca="false">nM/itc</f>
        <v>2000</v>
      </c>
    </row>
    <row r="12" customFormat="false" ht="15" hidden="false" customHeight="false" outlineLevel="0" collapsed="false">
      <c r="A12" s="0" t="s">
        <v>148</v>
      </c>
      <c r="D12" s="11" t="n">
        <f aca="false">Mmax*itc*0.98</f>
        <v>235.2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5"/>
  </cols>
  <sheetData>
    <row r="1" customFormat="false" ht="15" hidden="false" customHeight="false" outlineLevel="0" collapsed="false">
      <c r="A1" s="4" t="s">
        <v>149</v>
      </c>
    </row>
    <row r="3" customFormat="false" ht="15" hidden="false" customHeight="false" outlineLevel="0" collapsed="false">
      <c r="A3" s="5" t="s">
        <v>150</v>
      </c>
      <c r="B3" s="5" t="s">
        <v>151</v>
      </c>
      <c r="C3" s="5" t="s">
        <v>152</v>
      </c>
      <c r="D3" s="5" t="s">
        <v>153</v>
      </c>
      <c r="E3" s="5" t="s">
        <v>154</v>
      </c>
    </row>
    <row r="4" customFormat="false" ht="15" hidden="false" customHeight="false" outlineLevel="0" collapsed="false">
      <c r="A4" s="6" t="n">
        <v>0</v>
      </c>
      <c r="B4" s="12" t="n">
        <f aca="false">0.377*rc*A4/2_Diseno_dientes!$J$4</f>
        <v>0</v>
      </c>
      <c r="C4" s="12" t="n">
        <f aca="false">0.377*rc*A4/2_Diseno_dientes!$J$5</f>
        <v>0</v>
      </c>
      <c r="D4" s="12" t="n">
        <f aca="false">0.377*rc*A4/2_Diseno_dientes!$J$6</f>
        <v>0</v>
      </c>
      <c r="E4" s="12" t="n">
        <f aca="false">0.377*rc*A4/2_Diseno_dientes!$J$7</f>
        <v>0</v>
      </c>
    </row>
    <row r="5" customFormat="false" ht="15" hidden="false" customHeight="false" outlineLevel="0" collapsed="false">
      <c r="A5" s="6" t="n">
        <v>500</v>
      </c>
      <c r="B5" s="12" t="n">
        <f aca="false">0.377*rc*A5/2_Diseno_dientes!$J$4</f>
        <v>6.2815305</v>
      </c>
      <c r="C5" s="12" t="n">
        <f aca="false">0.377*rc*A5/2_Diseno_dientes!$J$5</f>
        <v>7.86166705434783</v>
      </c>
      <c r="D5" s="12" t="n">
        <f aca="false">0.377*rc*A5/2_Diseno_dientes!$J$6</f>
        <v>10.7447232236842</v>
      </c>
      <c r="E5" s="12" t="n">
        <f aca="false">0.377*rc*A5/2_Diseno_dientes!$J$7</f>
        <v>13.85301815625</v>
      </c>
    </row>
    <row r="6" customFormat="false" ht="15" hidden="false" customHeight="false" outlineLevel="0" collapsed="false">
      <c r="A6" s="6" t="n">
        <v>1000</v>
      </c>
      <c r="B6" s="12" t="n">
        <f aca="false">0.377*rc*A6/2_Diseno_dientes!$J$4</f>
        <v>12.563061</v>
      </c>
      <c r="C6" s="12" t="n">
        <f aca="false">0.377*rc*A6/2_Diseno_dientes!$J$5</f>
        <v>15.7233341086957</v>
      </c>
      <c r="D6" s="12" t="n">
        <f aca="false">0.377*rc*A6/2_Diseno_dientes!$J$6</f>
        <v>21.4894464473684</v>
      </c>
      <c r="E6" s="12" t="n">
        <f aca="false">0.377*rc*A6/2_Diseno_dientes!$J$7</f>
        <v>27.7060363125</v>
      </c>
    </row>
    <row r="7" customFormat="false" ht="15" hidden="false" customHeight="false" outlineLevel="0" collapsed="false">
      <c r="A7" s="6" t="n">
        <v>1500</v>
      </c>
      <c r="B7" s="12" t="n">
        <f aca="false">0.377*rc*A7/2_Diseno_dientes!$J$4</f>
        <v>18.8445915</v>
      </c>
      <c r="C7" s="12" t="n">
        <f aca="false">0.377*rc*A7/2_Diseno_dientes!$J$5</f>
        <v>23.5850011630435</v>
      </c>
      <c r="D7" s="12" t="n">
        <f aca="false">0.377*rc*A7/2_Diseno_dientes!$J$6</f>
        <v>32.2341696710526</v>
      </c>
      <c r="E7" s="12" t="n">
        <f aca="false">0.377*rc*A7/2_Diseno_dientes!$J$7</f>
        <v>41.55905446875</v>
      </c>
    </row>
    <row r="8" customFormat="false" ht="15" hidden="false" customHeight="false" outlineLevel="0" collapsed="false">
      <c r="A8" s="6" t="n">
        <v>2000</v>
      </c>
      <c r="B8" s="12" t="n">
        <f aca="false">0.377*rc*A8/2_Diseno_dientes!$J$4</f>
        <v>25.126122</v>
      </c>
      <c r="C8" s="12" t="n">
        <f aca="false">0.377*rc*A8/2_Diseno_dientes!$J$5</f>
        <v>31.4466682173913</v>
      </c>
      <c r="D8" s="12" t="n">
        <f aca="false">0.377*rc*A8/2_Diseno_dientes!$J$6</f>
        <v>42.9788928947368</v>
      </c>
      <c r="E8" s="12" t="n">
        <f aca="false">0.377*rc*A8/2_Diseno_dientes!$J$7</f>
        <v>55.412072625</v>
      </c>
    </row>
    <row r="9" customFormat="false" ht="15" hidden="false" customHeight="false" outlineLevel="0" collapsed="false">
      <c r="A9" s="6" t="n">
        <v>2500</v>
      </c>
      <c r="B9" s="12" t="n">
        <f aca="false">0.377*rc*A9/2_Diseno_dientes!$J$4</f>
        <v>31.4076525</v>
      </c>
      <c r="C9" s="12" t="n">
        <f aca="false">0.377*rc*A9/2_Diseno_dientes!$J$5</f>
        <v>39.3083352717391</v>
      </c>
      <c r="D9" s="12" t="n">
        <f aca="false">0.377*rc*A9/2_Diseno_dientes!$J$6</f>
        <v>53.7236161184211</v>
      </c>
      <c r="E9" s="12" t="n">
        <f aca="false">0.377*rc*A9/2_Diseno_dientes!$J$7</f>
        <v>69.26509078125</v>
      </c>
    </row>
    <row r="10" customFormat="false" ht="15" hidden="false" customHeight="false" outlineLevel="0" collapsed="false">
      <c r="A10" s="6" t="n">
        <v>3000</v>
      </c>
      <c r="B10" s="12" t="n">
        <f aca="false">0.377*rc*A10/2_Diseno_dientes!$J$4</f>
        <v>37.689183</v>
      </c>
      <c r="C10" s="12" t="n">
        <f aca="false">0.377*rc*A10/2_Diseno_dientes!$J$5</f>
        <v>47.170002326087</v>
      </c>
      <c r="D10" s="12" t="n">
        <f aca="false">0.377*rc*A10/2_Diseno_dientes!$J$6</f>
        <v>64.4683393421053</v>
      </c>
      <c r="E10" s="12" t="n">
        <f aca="false">0.377*rc*A10/2_Diseno_dientes!$J$7</f>
        <v>83.1181089375</v>
      </c>
    </row>
    <row r="11" customFormat="false" ht="15" hidden="false" customHeight="false" outlineLevel="0" collapsed="false">
      <c r="A11" s="6" t="n">
        <v>3500</v>
      </c>
      <c r="B11" s="12" t="n">
        <f aca="false">0.377*rc*A11/2_Diseno_dientes!$J$4</f>
        <v>43.9707135</v>
      </c>
      <c r="C11" s="12" t="n">
        <f aca="false">0.377*rc*A11/2_Diseno_dientes!$J$5</f>
        <v>55.0316693804348</v>
      </c>
      <c r="D11" s="12" t="n">
        <f aca="false">0.377*rc*A11/2_Diseno_dientes!$J$6</f>
        <v>75.2130625657895</v>
      </c>
      <c r="E11" s="12" t="n">
        <f aca="false">0.377*rc*A11/2_Diseno_dientes!$J$7</f>
        <v>96.97112709375</v>
      </c>
    </row>
    <row r="12" customFormat="false" ht="15" hidden="false" customHeight="false" outlineLevel="0" collapsed="false">
      <c r="A12" s="6" t="n">
        <v>4000</v>
      </c>
      <c r="B12" s="12" t="n">
        <f aca="false">0.377*rc*A12/2_Diseno_dientes!$J$4</f>
        <v>50.252244</v>
      </c>
      <c r="C12" s="12" t="n">
        <f aca="false">0.377*rc*A12/2_Diseno_dientes!$J$5</f>
        <v>62.8933364347826</v>
      </c>
      <c r="D12" s="12" t="n">
        <f aca="false">0.377*rc*A12/2_Diseno_dientes!$J$6</f>
        <v>85.9577857894737</v>
      </c>
      <c r="E12" s="12" t="n">
        <f aca="false">0.377*rc*A12/2_Diseno_dientes!$J$7</f>
        <v>110.82414525</v>
      </c>
    </row>
    <row r="13" customFormat="false" ht="15" hidden="false" customHeight="false" outlineLevel="0" collapsed="false">
      <c r="A13" s="6" t="n">
        <v>4500</v>
      </c>
      <c r="B13" s="12" t="n">
        <f aca="false">0.377*rc*A13/2_Diseno_dientes!$J$4</f>
        <v>56.5337745</v>
      </c>
      <c r="C13" s="12" t="n">
        <f aca="false">0.377*rc*A13/2_Diseno_dientes!$J$5</f>
        <v>70.7550034891304</v>
      </c>
      <c r="D13" s="12" t="n">
        <f aca="false">0.377*rc*A13/2_Diseno_dientes!$J$6</f>
        <v>96.7025090131579</v>
      </c>
      <c r="E13" s="12" t="n">
        <f aca="false">0.377*rc*A13/2_Diseno_dientes!$J$7</f>
        <v>124.67716340625</v>
      </c>
    </row>
    <row r="14" customFormat="false" ht="15" hidden="false" customHeight="false" outlineLevel="0" collapsed="false">
      <c r="A14" s="6" t="n">
        <v>5000</v>
      </c>
      <c r="B14" s="12" t="n">
        <f aca="false">0.377*rc*A14/2_Diseno_dientes!$J$4</f>
        <v>62.815305</v>
      </c>
      <c r="C14" s="12" t="n">
        <f aca="false">0.377*rc*A14/2_Diseno_dientes!$J$5</f>
        <v>78.6166705434783</v>
      </c>
      <c r="D14" s="12" t="n">
        <f aca="false">0.377*rc*A14/2_Diseno_dientes!$J$6</f>
        <v>107.447232236842</v>
      </c>
      <c r="E14" s="12" t="n">
        <f aca="false">0.377*rc*A14/2_Diseno_dientes!$J$7</f>
        <v>138.5301815625</v>
      </c>
    </row>
    <row r="15" customFormat="false" ht="15" hidden="false" customHeight="false" outlineLevel="0" collapsed="false">
      <c r="A15" s="6" t="n">
        <v>5500</v>
      </c>
      <c r="B15" s="12" t="n">
        <f aca="false">0.377*rc*A15/2_Diseno_dientes!$J$4</f>
        <v>69.0968355</v>
      </c>
      <c r="C15" s="12" t="n">
        <f aca="false">0.377*rc*A15/2_Diseno_dientes!$J$5</f>
        <v>86.4783375978261</v>
      </c>
      <c r="D15" s="12" t="n">
        <f aca="false">0.377*rc*A15/2_Diseno_dientes!$J$6</f>
        <v>118.191955460526</v>
      </c>
      <c r="E15" s="12" t="n">
        <f aca="false">0.377*rc*A15/2_Diseno_dientes!$J$7</f>
        <v>152.38319971875</v>
      </c>
    </row>
    <row r="16" customFormat="false" ht="15" hidden="false" customHeight="false" outlineLevel="0" collapsed="false">
      <c r="A16" s="6" t="n">
        <v>6000</v>
      </c>
      <c r="B16" s="12" t="n">
        <f aca="false">0.377*rc*A16/2_Diseno_dientes!$J$4</f>
        <v>75.378366</v>
      </c>
      <c r="C16" s="12" t="n">
        <f aca="false">0.377*rc*A16/2_Diseno_dientes!$J$5</f>
        <v>94.3400046521739</v>
      </c>
      <c r="D16" s="12" t="n">
        <f aca="false">0.377*rc*A16/2_Diseno_dientes!$J$6</f>
        <v>128.936678684211</v>
      </c>
      <c r="E16" s="12" t="n">
        <f aca="false">0.377*rc*A16/2_Diseno_dientes!$J$7</f>
        <v>166.236217875</v>
      </c>
    </row>
    <row r="17" customFormat="false" ht="15" hidden="false" customHeight="false" outlineLevel="0" collapsed="false">
      <c r="A17" s="6" t="n">
        <v>6500</v>
      </c>
      <c r="B17" s="12" t="n">
        <f aca="false">0.377*rc*A17/2_Diseno_dientes!$J$4</f>
        <v>81.6598965</v>
      </c>
      <c r="C17" s="12" t="n">
        <f aca="false">0.377*rc*A17/2_Diseno_dientes!$J$5</f>
        <v>102.201671706522</v>
      </c>
      <c r="D17" s="12" t="n">
        <f aca="false">0.377*rc*A17/2_Diseno_dientes!$J$6</f>
        <v>139.681401907895</v>
      </c>
      <c r="E17" s="12" t="n">
        <f aca="false">0.377*rc*A17/2_Diseno_dientes!$J$7</f>
        <v>180.08923603125</v>
      </c>
    </row>
    <row r="19" customFormat="false" ht="15" hidden="false" customHeight="false" outlineLevel="0" collapsed="false">
      <c r="A19" s="0" t="s">
        <v>155</v>
      </c>
    </row>
    <row r="20" customFormat="false" ht="15" hidden="false" customHeight="false" outlineLevel="0" collapsed="false">
      <c r="A20" s="5" t="s">
        <v>156</v>
      </c>
      <c r="B20" s="5" t="s">
        <v>49</v>
      </c>
      <c r="C20" s="5" t="s">
        <v>52</v>
      </c>
    </row>
    <row r="21" customFormat="false" ht="15" hidden="false" customHeight="false" outlineLevel="0" collapsed="false">
      <c r="A21" s="0" t="n">
        <v>0</v>
      </c>
      <c r="B21" s="0" t="n">
        <f aca="false">nM</f>
        <v>4000</v>
      </c>
      <c r="C21" s="0" t="n">
        <f aca="false">nP</f>
        <v>6500</v>
      </c>
    </row>
    <row r="22" customFormat="false" ht="15" hidden="false" customHeight="false" outlineLevel="0" collapsed="false">
      <c r="A22" s="0" t="n">
        <v>200</v>
      </c>
      <c r="B22" s="0" t="n">
        <f aca="false">nM</f>
        <v>4000</v>
      </c>
      <c r="C22" s="0" t="n">
        <f aca="false">nP</f>
        <v>6500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4" t="s">
        <v>157</v>
      </c>
    </row>
    <row r="3" customFormat="false" ht="28.35" hidden="false" customHeight="false" outlineLevel="0" collapsed="false">
      <c r="A3" s="5" t="s">
        <v>126</v>
      </c>
      <c r="B3" s="5" t="s">
        <v>158</v>
      </c>
      <c r="C3" s="5" t="s">
        <v>159</v>
      </c>
      <c r="D3" s="5" t="s">
        <v>160</v>
      </c>
      <c r="E3" s="5" t="s">
        <v>161</v>
      </c>
    </row>
    <row r="4" customFormat="false" ht="15" hidden="false" customHeight="false" outlineLevel="0" collapsed="false">
      <c r="A4" s="12" t="n">
        <v>1</v>
      </c>
      <c r="B4" s="12" t="n">
        <f aca="false">4_Prestaciones!E4</f>
        <v>50.252244</v>
      </c>
      <c r="C4" s="12" t="n">
        <f aca="false">4_Prestaciones!F4</f>
        <v>81.6598965</v>
      </c>
      <c r="D4" s="12" t="n">
        <f aca="false">C4-B4</f>
        <v>31.4076525</v>
      </c>
      <c r="E4" s="12" t="str">
        <f aca="false">IF(A4&lt;4,IF(B5&lt;=C4,"SÍ","NO"),"")</f>
        <v>SÍ</v>
      </c>
    </row>
    <row r="5" customFormat="false" ht="15" hidden="false" customHeight="false" outlineLevel="0" collapsed="false">
      <c r="A5" s="12" t="n">
        <v>2</v>
      </c>
      <c r="B5" s="12" t="n">
        <f aca="false">4_Prestaciones!E5</f>
        <v>62.8933364347826</v>
      </c>
      <c r="C5" s="12" t="n">
        <f aca="false">4_Prestaciones!F5</f>
        <v>102.201671706522</v>
      </c>
      <c r="D5" s="12" t="n">
        <f aca="false">C5-B5</f>
        <v>39.3083352717391</v>
      </c>
      <c r="E5" s="12" t="str">
        <f aca="false">IF(A5&lt;4,IF(B6&lt;=C5,"SÍ","NO"),"")</f>
        <v>SÍ</v>
      </c>
    </row>
    <row r="6" customFormat="false" ht="15" hidden="false" customHeight="false" outlineLevel="0" collapsed="false">
      <c r="A6" s="12" t="n">
        <v>3</v>
      </c>
      <c r="B6" s="12" t="n">
        <f aca="false">4_Prestaciones!E6</f>
        <v>85.9577857894737</v>
      </c>
      <c r="C6" s="12" t="n">
        <f aca="false">4_Prestaciones!F6</f>
        <v>139.681401907895</v>
      </c>
      <c r="D6" s="12" t="n">
        <f aca="false">C6-B6</f>
        <v>53.7236161184211</v>
      </c>
      <c r="E6" s="12" t="str">
        <f aca="false">IF(A6&lt;4,IF(B7&lt;=C6,"SÍ","NO"),"")</f>
        <v>SÍ</v>
      </c>
    </row>
    <row r="7" customFormat="false" ht="15" hidden="false" customHeight="false" outlineLevel="0" collapsed="false">
      <c r="A7" s="12" t="n">
        <v>4</v>
      </c>
      <c r="B7" s="12" t="n">
        <f aca="false">4_Prestaciones!E7</f>
        <v>110.82414525</v>
      </c>
      <c r="C7" s="12" t="n">
        <f aca="false">4_Prestaciones!F7</f>
        <v>180.08923603125</v>
      </c>
      <c r="D7" s="12" t="n">
        <f aca="false">C7-B7</f>
        <v>69.26509078125</v>
      </c>
      <c r="E7" s="12" t="str">
        <f aca="false">IF(A7&lt;4,IF(B8&lt;=C7,"SÍ","NO"),"")</f>
        <v/>
      </c>
    </row>
    <row r="10" customFormat="false" ht="15" hidden="false" customHeight="false" outlineLevel="0" collapsed="false">
      <c r="A10" s="5" t="s">
        <v>162</v>
      </c>
      <c r="B10" s="5" t="s">
        <v>163</v>
      </c>
      <c r="C10" s="5" t="s">
        <v>164</v>
      </c>
    </row>
    <row r="11" customFormat="false" ht="15" hidden="false" customHeight="false" outlineLevel="0" collapsed="false">
      <c r="A11" s="13" t="n">
        <f aca="false">B4</f>
        <v>50.252244</v>
      </c>
      <c r="C11" s="0" t="n">
        <v>1</v>
      </c>
    </row>
    <row r="12" customFormat="false" ht="15" hidden="false" customHeight="false" outlineLevel="0" collapsed="false">
      <c r="A12" s="13" t="n">
        <f aca="false">C4</f>
        <v>81.6598965</v>
      </c>
      <c r="C12" s="0" t="n">
        <v>1</v>
      </c>
    </row>
    <row r="14" customFormat="false" ht="15" hidden="false" customHeight="false" outlineLevel="0" collapsed="false">
      <c r="A14" s="13" t="n">
        <f aca="false">B5</f>
        <v>62.8933364347826</v>
      </c>
      <c r="C14" s="0" t="n">
        <v>2</v>
      </c>
    </row>
    <row r="15" customFormat="false" ht="15" hidden="false" customHeight="false" outlineLevel="0" collapsed="false">
      <c r="A15" s="13" t="n">
        <f aca="false">C5</f>
        <v>102.201671706522</v>
      </c>
      <c r="C15" s="0" t="n">
        <v>2</v>
      </c>
    </row>
    <row r="17" customFormat="false" ht="15" hidden="false" customHeight="false" outlineLevel="0" collapsed="false">
      <c r="A17" s="13" t="n">
        <f aca="false">B6</f>
        <v>85.9577857894737</v>
      </c>
      <c r="C17" s="0" t="n">
        <v>3</v>
      </c>
    </row>
    <row r="18" customFormat="false" ht="15" hidden="false" customHeight="false" outlineLevel="0" collapsed="false">
      <c r="A18" s="13" t="n">
        <f aca="false">C6</f>
        <v>139.681401907895</v>
      </c>
      <c r="C18" s="0" t="n">
        <v>3</v>
      </c>
    </row>
    <row r="20" customFormat="false" ht="15" hidden="false" customHeight="false" outlineLevel="0" collapsed="false">
      <c r="A20" s="13" t="n">
        <f aca="false">B7</f>
        <v>110.82414525</v>
      </c>
      <c r="C20" s="0" t="n">
        <v>4</v>
      </c>
    </row>
    <row r="21" customFormat="false" ht="15" hidden="false" customHeight="false" outlineLevel="0" collapsed="false">
      <c r="A21" s="13" t="n">
        <f aca="false">C7</f>
        <v>180.08923603125</v>
      </c>
      <c r="C21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5"/>
  </cols>
  <sheetData>
    <row r="1" customFormat="false" ht="15" hidden="false" customHeight="false" outlineLevel="0" collapsed="false">
      <c r="A1" s="4" t="s">
        <v>165</v>
      </c>
    </row>
    <row r="3" customFormat="false" ht="15" hidden="false" customHeight="false" outlineLevel="0" collapsed="false">
      <c r="A3" s="5" t="s">
        <v>166</v>
      </c>
      <c r="B3" s="5" t="s">
        <v>167</v>
      </c>
      <c r="C3" s="5" t="s">
        <v>151</v>
      </c>
      <c r="D3" s="5" t="s">
        <v>168</v>
      </c>
      <c r="E3" s="5" t="s">
        <v>152</v>
      </c>
      <c r="F3" s="5" t="s">
        <v>169</v>
      </c>
      <c r="G3" s="5" t="s">
        <v>153</v>
      </c>
      <c r="H3" s="5" t="s">
        <v>170</v>
      </c>
      <c r="I3" s="5" t="s">
        <v>154</v>
      </c>
      <c r="J3" s="5" t="s">
        <v>171</v>
      </c>
    </row>
    <row r="4" customFormat="false" ht="15" hidden="false" customHeight="false" outlineLevel="0" collapsed="false">
      <c r="A4" s="6" t="n">
        <v>500</v>
      </c>
      <c r="B4" s="6" t="n">
        <v>100</v>
      </c>
      <c r="C4" s="12" t="n">
        <f aca="false">0.377*rc*A4/2_Diseno_dientes!$J$4</f>
        <v>6.2815305</v>
      </c>
      <c r="D4" s="12" t="n">
        <f aca="false">B4*2_Diseno_dientes!$J$4*eta/rc</f>
        <v>2850.8179654624</v>
      </c>
      <c r="E4" s="12" t="n">
        <f aca="false">0.377*rc*A4/2_Diseno_dientes!$J$5</f>
        <v>7.86166705434783</v>
      </c>
      <c r="F4" s="12" t="n">
        <f aca="false">B4*2_Diseno_dientes!$J$5*eta/rc</f>
        <v>2277.82477637442</v>
      </c>
      <c r="G4" s="12" t="n">
        <f aca="false">0.377*rc*A4/2_Diseno_dientes!$J$6</f>
        <v>10.7447232236842</v>
      </c>
      <c r="H4" s="12" t="n">
        <f aca="false">B4*2_Diseno_dientes!$J$6*eta/rc</f>
        <v>1666.63204134725</v>
      </c>
      <c r="I4" s="12" t="n">
        <f aca="false">0.377*rc*A4/2_Diseno_dientes!$J$7</f>
        <v>13.85301815625</v>
      </c>
      <c r="J4" s="12" t="n">
        <f aca="false">B4*2_Diseno_dientes!$J$7*eta/rc</f>
        <v>1292.67859162667</v>
      </c>
    </row>
    <row r="5" customFormat="false" ht="15" hidden="false" customHeight="false" outlineLevel="0" collapsed="false">
      <c r="A5" s="6" t="n">
        <v>1000</v>
      </c>
      <c r="B5" s="6" t="n">
        <v>105</v>
      </c>
      <c r="C5" s="12" t="n">
        <f aca="false">0.377*rc*A5/2_Diseno_dientes!$J$4</f>
        <v>12.563061</v>
      </c>
      <c r="D5" s="12" t="n">
        <f aca="false">B5*2_Diseno_dientes!$J$4*eta/rc</f>
        <v>2993.35886373552</v>
      </c>
      <c r="E5" s="12" t="n">
        <f aca="false">0.377*rc*A5/2_Diseno_dientes!$J$5</f>
        <v>15.7233341086957</v>
      </c>
      <c r="F5" s="12" t="n">
        <f aca="false">B5*2_Diseno_dientes!$J$5*eta/rc</f>
        <v>2391.71601519314</v>
      </c>
      <c r="G5" s="12" t="n">
        <f aca="false">0.377*rc*A5/2_Diseno_dientes!$J$6</f>
        <v>21.4894464473684</v>
      </c>
      <c r="H5" s="12" t="n">
        <f aca="false">B5*2_Diseno_dientes!$J$6*eta/rc</f>
        <v>1749.96364341461</v>
      </c>
      <c r="I5" s="12" t="n">
        <f aca="false">0.377*rc*A5/2_Diseno_dientes!$J$7</f>
        <v>27.7060363125</v>
      </c>
      <c r="J5" s="12" t="n">
        <f aca="false">B5*2_Diseno_dientes!$J$7*eta/rc</f>
        <v>1357.31252120801</v>
      </c>
    </row>
    <row r="6" customFormat="false" ht="15" hidden="false" customHeight="false" outlineLevel="0" collapsed="false">
      <c r="A6" s="6" t="n">
        <v>1500</v>
      </c>
      <c r="B6" s="6" t="n">
        <v>108</v>
      </c>
      <c r="C6" s="12" t="n">
        <f aca="false">0.377*rc*A6/2_Diseno_dientes!$J$4</f>
        <v>18.8445915</v>
      </c>
      <c r="D6" s="12" t="n">
        <f aca="false">B6*2_Diseno_dientes!$J$4*eta/rc</f>
        <v>3078.88340269939</v>
      </c>
      <c r="E6" s="12" t="n">
        <f aca="false">0.377*rc*A6/2_Diseno_dientes!$J$5</f>
        <v>23.5850011630435</v>
      </c>
      <c r="F6" s="12" t="n">
        <f aca="false">B6*2_Diseno_dientes!$J$5*eta/rc</f>
        <v>2460.05075848438</v>
      </c>
      <c r="G6" s="12" t="n">
        <f aca="false">0.377*rc*A6/2_Diseno_dientes!$J$6</f>
        <v>32.2341696710526</v>
      </c>
      <c r="H6" s="12" t="n">
        <f aca="false">B6*2_Diseno_dientes!$J$6*eta/rc</f>
        <v>1799.96260465503</v>
      </c>
      <c r="I6" s="12" t="n">
        <f aca="false">0.377*rc*A6/2_Diseno_dientes!$J$7</f>
        <v>41.55905446875</v>
      </c>
      <c r="J6" s="12" t="n">
        <f aca="false">B6*2_Diseno_dientes!$J$7*eta/rc</f>
        <v>1396.09287895681</v>
      </c>
    </row>
    <row r="7" customFormat="false" ht="15" hidden="false" customHeight="false" outlineLevel="0" collapsed="false">
      <c r="A7" s="6" t="n">
        <v>2000</v>
      </c>
      <c r="B7" s="6" t="n">
        <v>112</v>
      </c>
      <c r="C7" s="12" t="n">
        <f aca="false">0.377*rc*A7/2_Diseno_dientes!$J$4</f>
        <v>25.126122</v>
      </c>
      <c r="D7" s="12" t="n">
        <f aca="false">B7*2_Diseno_dientes!$J$4*eta/rc</f>
        <v>3192.91612131789</v>
      </c>
      <c r="E7" s="12" t="n">
        <f aca="false">0.377*rc*A7/2_Diseno_dientes!$J$5</f>
        <v>31.4466682173913</v>
      </c>
      <c r="F7" s="12" t="n">
        <f aca="false">B7*2_Diseno_dientes!$J$5*eta/rc</f>
        <v>2551.16374953935</v>
      </c>
      <c r="G7" s="12" t="n">
        <f aca="false">0.377*rc*A7/2_Diseno_dientes!$J$6</f>
        <v>42.9788928947368</v>
      </c>
      <c r="H7" s="12" t="n">
        <f aca="false">B7*2_Diseno_dientes!$J$6*eta/rc</f>
        <v>1866.62788630892</v>
      </c>
      <c r="I7" s="12" t="n">
        <f aca="false">0.377*rc*A7/2_Diseno_dientes!$J$7</f>
        <v>55.412072625</v>
      </c>
      <c r="J7" s="12" t="n">
        <f aca="false">B7*2_Diseno_dientes!$J$7*eta/rc</f>
        <v>1447.80002262188</v>
      </c>
    </row>
    <row r="8" customFormat="false" ht="15" hidden="false" customHeight="false" outlineLevel="0" collapsed="false">
      <c r="A8" s="6" t="n">
        <v>2500</v>
      </c>
      <c r="B8" s="6" t="n">
        <v>116</v>
      </c>
      <c r="C8" s="12" t="n">
        <f aca="false">0.377*rc*A8/2_Diseno_dientes!$J$4</f>
        <v>31.4076525</v>
      </c>
      <c r="D8" s="12" t="n">
        <f aca="false">B8*2_Diseno_dientes!$J$4*eta/rc</f>
        <v>3306.94883993638</v>
      </c>
      <c r="E8" s="12" t="n">
        <f aca="false">0.377*rc*A8/2_Diseno_dientes!$J$5</f>
        <v>39.3083352717391</v>
      </c>
      <c r="F8" s="12" t="n">
        <f aca="false">B8*2_Diseno_dientes!$J$5*eta/rc</f>
        <v>2642.27674059433</v>
      </c>
      <c r="G8" s="12" t="n">
        <f aca="false">0.377*rc*A8/2_Diseno_dientes!$J$6</f>
        <v>53.7236161184211</v>
      </c>
      <c r="H8" s="12" t="n">
        <f aca="false">B8*2_Diseno_dientes!$J$6*eta/rc</f>
        <v>1933.29316796281</v>
      </c>
      <c r="I8" s="12" t="n">
        <f aca="false">0.377*rc*A8/2_Diseno_dientes!$J$7</f>
        <v>69.26509078125</v>
      </c>
      <c r="J8" s="12" t="n">
        <f aca="false">B8*2_Diseno_dientes!$J$7*eta/rc</f>
        <v>1499.50716628694</v>
      </c>
    </row>
    <row r="9" customFormat="false" ht="15" hidden="false" customHeight="false" outlineLevel="0" collapsed="false">
      <c r="A9" s="6" t="n">
        <v>3000</v>
      </c>
      <c r="B9" s="6" t="n">
        <v>117</v>
      </c>
      <c r="C9" s="12" t="n">
        <f aca="false">0.377*rc*A9/2_Diseno_dientes!$J$4</f>
        <v>37.689183</v>
      </c>
      <c r="D9" s="12" t="n">
        <f aca="false">B9*2_Diseno_dientes!$J$4*eta/rc</f>
        <v>3335.45701959101</v>
      </c>
      <c r="E9" s="12" t="n">
        <f aca="false">0.377*rc*A9/2_Diseno_dientes!$J$5</f>
        <v>47.170002326087</v>
      </c>
      <c r="F9" s="12" t="n">
        <f aca="false">B9*2_Diseno_dientes!$J$5*eta/rc</f>
        <v>2665.05498835807</v>
      </c>
      <c r="G9" s="12" t="n">
        <f aca="false">0.377*rc*A9/2_Diseno_dientes!$J$6</f>
        <v>64.4683393421053</v>
      </c>
      <c r="H9" s="12" t="n">
        <f aca="false">B9*2_Diseno_dientes!$J$6*eta/rc</f>
        <v>1949.95948837628</v>
      </c>
      <c r="I9" s="12" t="n">
        <f aca="false">0.377*rc*A9/2_Diseno_dientes!$J$7</f>
        <v>83.1181089375</v>
      </c>
      <c r="J9" s="12" t="n">
        <f aca="false">B9*2_Diseno_dientes!$J$7*eta/rc</f>
        <v>1512.43395220321</v>
      </c>
    </row>
    <row r="10" customFormat="false" ht="15" hidden="false" customHeight="false" outlineLevel="0" collapsed="false">
      <c r="A10" s="6" t="n">
        <v>3500</v>
      </c>
      <c r="B10" s="6" t="n">
        <v>118</v>
      </c>
      <c r="C10" s="12" t="n">
        <f aca="false">0.377*rc*A10/2_Diseno_dientes!$J$4</f>
        <v>43.9707135</v>
      </c>
      <c r="D10" s="12" t="n">
        <f aca="false">B10*2_Diseno_dientes!$J$4*eta/rc</f>
        <v>3363.96519924563</v>
      </c>
      <c r="E10" s="12" t="n">
        <f aca="false">0.377*rc*A10/2_Diseno_dientes!$J$5</f>
        <v>55.0316693804348</v>
      </c>
      <c r="F10" s="12" t="n">
        <f aca="false">B10*2_Diseno_dientes!$J$5*eta/rc</f>
        <v>2687.83323612182</v>
      </c>
      <c r="G10" s="12" t="n">
        <f aca="false">0.377*rc*A10/2_Diseno_dientes!$J$6</f>
        <v>75.2130625657895</v>
      </c>
      <c r="H10" s="12" t="n">
        <f aca="false">B10*2_Diseno_dientes!$J$6*eta/rc</f>
        <v>1966.62580878975</v>
      </c>
      <c r="I10" s="12" t="n">
        <f aca="false">0.377*rc*A10/2_Diseno_dientes!$J$7</f>
        <v>96.97112709375</v>
      </c>
      <c r="J10" s="12" t="n">
        <f aca="false">B10*2_Diseno_dientes!$J$7*eta/rc</f>
        <v>1525.36073811948</v>
      </c>
    </row>
    <row r="11" customFormat="false" ht="15" hidden="false" customHeight="false" outlineLevel="0" collapsed="false">
      <c r="A11" s="6" t="n">
        <v>4000</v>
      </c>
      <c r="B11" s="6" t="n">
        <v>120</v>
      </c>
      <c r="C11" s="12" t="n">
        <f aca="false">0.377*rc*A11/2_Diseno_dientes!$J$4</f>
        <v>50.252244</v>
      </c>
      <c r="D11" s="12" t="n">
        <f aca="false">B11*2_Diseno_dientes!$J$4*eta/rc</f>
        <v>3420.98155855488</v>
      </c>
      <c r="E11" s="12" t="n">
        <f aca="false">0.377*rc*A11/2_Diseno_dientes!$J$5</f>
        <v>62.8933364347826</v>
      </c>
      <c r="F11" s="12" t="n">
        <f aca="false">B11*2_Diseno_dientes!$J$5*eta/rc</f>
        <v>2733.38973164931</v>
      </c>
      <c r="G11" s="12" t="n">
        <f aca="false">0.377*rc*A11/2_Diseno_dientes!$J$6</f>
        <v>85.9577857894737</v>
      </c>
      <c r="H11" s="12" t="n">
        <f aca="false">B11*2_Diseno_dientes!$J$6*eta/rc</f>
        <v>1999.9584496167</v>
      </c>
      <c r="I11" s="12" t="n">
        <f aca="false">0.377*rc*A11/2_Diseno_dientes!$J$7</f>
        <v>110.82414525</v>
      </c>
      <c r="J11" s="12" t="n">
        <f aca="false">B11*2_Diseno_dientes!$J$7*eta/rc</f>
        <v>1551.21430995201</v>
      </c>
    </row>
    <row r="12" customFormat="false" ht="15" hidden="false" customHeight="false" outlineLevel="0" collapsed="false">
      <c r="A12" s="6" t="n">
        <v>4500</v>
      </c>
      <c r="B12" s="6" t="n">
        <v>118</v>
      </c>
      <c r="C12" s="12" t="n">
        <f aca="false">0.377*rc*A12/2_Diseno_dientes!$J$4</f>
        <v>56.5337745</v>
      </c>
      <c r="D12" s="12" t="n">
        <f aca="false">B12*2_Diseno_dientes!$J$4*eta/rc</f>
        <v>3363.96519924563</v>
      </c>
      <c r="E12" s="12" t="n">
        <f aca="false">0.377*rc*A12/2_Diseno_dientes!$J$5</f>
        <v>70.7550034891304</v>
      </c>
      <c r="F12" s="12" t="n">
        <f aca="false">B12*2_Diseno_dientes!$J$5*eta/rc</f>
        <v>2687.83323612182</v>
      </c>
      <c r="G12" s="12" t="n">
        <f aca="false">0.377*rc*A12/2_Diseno_dientes!$J$6</f>
        <v>96.7025090131579</v>
      </c>
      <c r="H12" s="12" t="n">
        <f aca="false">B12*2_Diseno_dientes!$J$6*eta/rc</f>
        <v>1966.62580878975</v>
      </c>
      <c r="I12" s="12" t="n">
        <f aca="false">0.377*rc*A12/2_Diseno_dientes!$J$7</f>
        <v>124.67716340625</v>
      </c>
      <c r="J12" s="12" t="n">
        <f aca="false">B12*2_Diseno_dientes!$J$7*eta/rc</f>
        <v>1525.36073811948</v>
      </c>
    </row>
    <row r="13" customFormat="false" ht="15" hidden="false" customHeight="false" outlineLevel="0" collapsed="false">
      <c r="A13" s="6" t="n">
        <v>5000</v>
      </c>
      <c r="B13" s="6" t="n">
        <v>116</v>
      </c>
      <c r="C13" s="12" t="n">
        <f aca="false">0.377*rc*A13/2_Diseno_dientes!$J$4</f>
        <v>62.815305</v>
      </c>
      <c r="D13" s="12" t="n">
        <f aca="false">B13*2_Diseno_dientes!$J$4*eta/rc</f>
        <v>3306.94883993638</v>
      </c>
      <c r="E13" s="12" t="n">
        <f aca="false">0.377*rc*A13/2_Diseno_dientes!$J$5</f>
        <v>78.6166705434783</v>
      </c>
      <c r="F13" s="12" t="n">
        <f aca="false">B13*2_Diseno_dientes!$J$5*eta/rc</f>
        <v>2642.27674059433</v>
      </c>
      <c r="G13" s="12" t="n">
        <f aca="false">0.377*rc*A13/2_Diseno_dientes!$J$6</f>
        <v>107.447232236842</v>
      </c>
      <c r="H13" s="12" t="n">
        <f aca="false">B13*2_Diseno_dientes!$J$6*eta/rc</f>
        <v>1933.29316796281</v>
      </c>
      <c r="I13" s="12" t="n">
        <f aca="false">0.377*rc*A13/2_Diseno_dientes!$J$7</f>
        <v>138.5301815625</v>
      </c>
      <c r="J13" s="12" t="n">
        <f aca="false">B13*2_Diseno_dientes!$J$7*eta/rc</f>
        <v>1499.50716628694</v>
      </c>
    </row>
    <row r="14" customFormat="false" ht="15" hidden="false" customHeight="false" outlineLevel="0" collapsed="false">
      <c r="A14" s="6" t="n">
        <v>5500</v>
      </c>
      <c r="B14" s="6" t="n">
        <v>112</v>
      </c>
      <c r="C14" s="12" t="n">
        <f aca="false">0.377*rc*A14/2_Diseno_dientes!$J$4</f>
        <v>69.0968355</v>
      </c>
      <c r="D14" s="12" t="n">
        <f aca="false">B14*2_Diseno_dientes!$J$4*eta/rc</f>
        <v>3192.91612131789</v>
      </c>
      <c r="E14" s="12" t="n">
        <f aca="false">0.377*rc*A14/2_Diseno_dientes!$J$5</f>
        <v>86.4783375978261</v>
      </c>
      <c r="F14" s="12" t="n">
        <f aca="false">B14*2_Diseno_dientes!$J$5*eta/rc</f>
        <v>2551.16374953935</v>
      </c>
      <c r="G14" s="12" t="n">
        <f aca="false">0.377*rc*A14/2_Diseno_dientes!$J$6</f>
        <v>118.191955460526</v>
      </c>
      <c r="H14" s="12" t="n">
        <f aca="false">B14*2_Diseno_dientes!$J$6*eta/rc</f>
        <v>1866.62788630892</v>
      </c>
      <c r="I14" s="12" t="n">
        <f aca="false">0.377*rc*A14/2_Diseno_dientes!$J$7</f>
        <v>152.38319971875</v>
      </c>
      <c r="J14" s="12" t="n">
        <f aca="false">B14*2_Diseno_dientes!$J$7*eta/rc</f>
        <v>1447.80002262188</v>
      </c>
    </row>
    <row r="15" customFormat="false" ht="15" hidden="false" customHeight="false" outlineLevel="0" collapsed="false">
      <c r="A15" s="6" t="n">
        <v>6000</v>
      </c>
      <c r="B15" s="6" t="n">
        <v>108</v>
      </c>
      <c r="C15" s="12" t="n">
        <f aca="false">0.377*rc*A15/2_Diseno_dientes!$J$4</f>
        <v>75.378366</v>
      </c>
      <c r="D15" s="12" t="n">
        <f aca="false">B15*2_Diseno_dientes!$J$4*eta/rc</f>
        <v>3078.88340269939</v>
      </c>
      <c r="E15" s="12" t="n">
        <f aca="false">0.377*rc*A15/2_Diseno_dientes!$J$5</f>
        <v>94.3400046521739</v>
      </c>
      <c r="F15" s="12" t="n">
        <f aca="false">B15*2_Diseno_dientes!$J$5*eta/rc</f>
        <v>2460.05075848438</v>
      </c>
      <c r="G15" s="12" t="n">
        <f aca="false">0.377*rc*A15/2_Diseno_dientes!$J$6</f>
        <v>128.936678684211</v>
      </c>
      <c r="H15" s="12" t="n">
        <f aca="false">B15*2_Diseno_dientes!$J$6*eta/rc</f>
        <v>1799.96260465503</v>
      </c>
      <c r="I15" s="12" t="n">
        <f aca="false">0.377*rc*A15/2_Diseno_dientes!$J$7</f>
        <v>166.236217875</v>
      </c>
      <c r="J15" s="12" t="n">
        <f aca="false">B15*2_Diseno_dientes!$J$7*eta/rc</f>
        <v>1396.09287895681</v>
      </c>
    </row>
    <row r="16" customFormat="false" ht="15" hidden="false" customHeight="false" outlineLevel="0" collapsed="false">
      <c r="A16" s="6" t="n">
        <v>6500</v>
      </c>
      <c r="B16" s="6" t="n">
        <v>100</v>
      </c>
      <c r="C16" s="12" t="n">
        <f aca="false">0.377*rc*A16/2_Diseno_dientes!$J$4</f>
        <v>81.6598965</v>
      </c>
      <c r="D16" s="12" t="n">
        <f aca="false">B16*2_Diseno_dientes!$J$4*eta/rc</f>
        <v>2850.8179654624</v>
      </c>
      <c r="E16" s="12" t="n">
        <f aca="false">0.377*rc*A16/2_Diseno_dientes!$J$5</f>
        <v>102.201671706522</v>
      </c>
      <c r="F16" s="12" t="n">
        <f aca="false">B16*2_Diseno_dientes!$J$5*eta/rc</f>
        <v>2277.82477637442</v>
      </c>
      <c r="G16" s="12" t="n">
        <f aca="false">0.377*rc*A16/2_Diseno_dientes!$J$6</f>
        <v>139.681401907895</v>
      </c>
      <c r="H16" s="12" t="n">
        <f aca="false">B16*2_Diseno_dientes!$J$6*eta/rc</f>
        <v>1666.63204134725</v>
      </c>
      <c r="I16" s="12" t="n">
        <f aca="false">0.377*rc*A16/2_Diseno_dientes!$J$7</f>
        <v>180.08923603125</v>
      </c>
      <c r="J16" s="12" t="n">
        <f aca="false">B16*2_Diseno_dientes!$J$7*eta/rc</f>
        <v>1292.67859162667</v>
      </c>
    </row>
    <row r="17" customFormat="false" ht="15" hidden="false" customHeight="false" outlineLevel="0" collapsed="false">
      <c r="A17" s="6" t="n">
        <v>7000</v>
      </c>
      <c r="B17" s="6" t="n">
        <v>90</v>
      </c>
      <c r="C17" s="12" t="n">
        <f aca="false">0.377*rc*A17/2_Diseno_dientes!$J$4</f>
        <v>87.941427</v>
      </c>
      <c r="D17" s="12" t="n">
        <f aca="false">B17*2_Diseno_dientes!$J$4*eta/rc</f>
        <v>2565.73616891616</v>
      </c>
      <c r="E17" s="12" t="n">
        <f aca="false">0.377*rc*A17/2_Diseno_dientes!$J$5</f>
        <v>110.06333876087</v>
      </c>
      <c r="F17" s="12" t="n">
        <f aca="false">B17*2_Diseno_dientes!$J$5*eta/rc</f>
        <v>2050.04229873698</v>
      </c>
      <c r="G17" s="12" t="n">
        <f aca="false">0.377*rc*A17/2_Diseno_dientes!$J$6</f>
        <v>150.426125131579</v>
      </c>
      <c r="H17" s="12" t="n">
        <f aca="false">B17*2_Diseno_dientes!$J$6*eta/rc</f>
        <v>1499.96883721252</v>
      </c>
      <c r="I17" s="12" t="n">
        <f aca="false">0.377*rc*A17/2_Diseno_dientes!$J$7</f>
        <v>193.9422541875</v>
      </c>
      <c r="J17" s="12" t="n">
        <f aca="false">B17*2_Diseno_dientes!$J$7*eta/rc</f>
        <v>1163.41073246401</v>
      </c>
    </row>
    <row r="20" customFormat="false" ht="15" hidden="false" customHeight="false" outlineLevel="0" collapsed="false">
      <c r="A20" s="5" t="s">
        <v>156</v>
      </c>
      <c r="B20" s="5" t="s">
        <v>172</v>
      </c>
      <c r="C20" s="5" t="s">
        <v>173</v>
      </c>
      <c r="D20" s="5" t="s">
        <v>174</v>
      </c>
    </row>
    <row r="21" customFormat="false" ht="15" hidden="false" customHeight="false" outlineLevel="0" collapsed="false">
      <c r="A21" s="0" t="n">
        <v>0</v>
      </c>
      <c r="B21" s="11" t="n">
        <f aca="false">0.5*rho*Cx*Af*(A21/3.6)^2+(f0+fs*(A21/100)^2)*Gw*COS(ATAN(0/100))+Gw*SIN(ATAN(0/100))</f>
        <v>74.99745</v>
      </c>
      <c r="C21" s="11" t="n">
        <f aca="false">0.5*rho*Cx*Af*(A21/3.6)^2+(f0+fs*(A21/100)^2)*Gw*COS(ATAN(10/100))+Gw*SIN(ATAN(10/100))</f>
        <v>753.036633020134</v>
      </c>
      <c r="D21" s="11" t="n">
        <f aca="false">0.5*rho*Cx*Af*(A21/3.6)^2+(f0+fs*(A21/100)^2)*Gw*COS(ATAN(20/100))+Gw*SIN(ATAN(20/100))</f>
        <v>1410.65105376148</v>
      </c>
    </row>
    <row r="22" customFormat="false" ht="15" hidden="false" customHeight="false" outlineLevel="0" collapsed="false">
      <c r="A22" s="0" t="n">
        <v>10</v>
      </c>
      <c r="B22" s="11" t="n">
        <f aca="false">0.5*rho*Cx*Af*(A22/3.6)^2+(f0+fs*(A22/100)^2)*Gw*COS(ATAN(0/100))+Gw*SIN(ATAN(0/100))</f>
        <v>77.9531869259259</v>
      </c>
      <c r="C22" s="11" t="n">
        <f aca="false">0.5*rho*Cx*Af*(A22/3.6)^2+(f0+fs*(A22/100)^2)*Gw*COS(ATAN(10/100))+Gw*SIN(ATAN(10/100))</f>
        <v>755.989663050939</v>
      </c>
      <c r="D22" s="11" t="n">
        <f aca="false">0.5*rho*Cx*Af*(A22/3.6)^2+(f0+fs*(A22/100)^2)*Gw*COS(ATAN(20/100))+Gw*SIN(ATAN(20/100))</f>
        <v>1413.59619868883</v>
      </c>
    </row>
    <row r="23" customFormat="false" ht="15" hidden="false" customHeight="false" outlineLevel="0" collapsed="false">
      <c r="A23" s="0" t="n">
        <v>20</v>
      </c>
      <c r="B23" s="11" t="n">
        <f aca="false">0.5*rho*Cx*Af*(A23/3.6)^2+(f0+fs*(A23/100)^2)*Gw*COS(ATAN(0/100))+Gw*SIN(ATAN(0/100))</f>
        <v>86.8203977037037</v>
      </c>
      <c r="C23" s="11" t="n">
        <f aca="false">0.5*rho*Cx*Af*(A23/3.6)^2+(f0+fs*(A23/100)^2)*Gw*COS(ATAN(10/100))+Gw*SIN(ATAN(10/100))</f>
        <v>764.848753143355</v>
      </c>
      <c r="D23" s="11" t="n">
        <f aca="false">0.5*rho*Cx*Af*(A23/3.6)^2+(f0+fs*(A23/100)^2)*Gw*COS(ATAN(20/100))+Gw*SIN(ATAN(20/100))</f>
        <v>1422.43163347089</v>
      </c>
    </row>
    <row r="24" customFormat="false" ht="15" hidden="false" customHeight="false" outlineLevel="0" collapsed="false">
      <c r="A24" s="0" t="n">
        <v>30</v>
      </c>
      <c r="B24" s="11" t="n">
        <f aca="false">0.5*rho*Cx*Af*(A24/3.6)^2+(f0+fs*(A24/100)^2)*Gw*COS(ATAN(0/100))+Gw*SIN(ATAN(0/100))</f>
        <v>101.599082333333</v>
      </c>
      <c r="C24" s="11" t="n">
        <f aca="false">0.5*rho*Cx*Af*(A24/3.6)^2+(f0+fs*(A24/100)^2)*Gw*COS(ATAN(10/100))+Gw*SIN(ATAN(10/100))</f>
        <v>779.613903297382</v>
      </c>
      <c r="D24" s="11" t="n">
        <f aca="false">0.5*rho*Cx*Af*(A24/3.6)^2+(f0+fs*(A24/100)^2)*Gw*COS(ATAN(20/100))+Gw*SIN(ATAN(20/100))</f>
        <v>1437.15735810765</v>
      </c>
    </row>
    <row r="25" customFormat="false" ht="15" hidden="false" customHeight="false" outlineLevel="0" collapsed="false">
      <c r="A25" s="0" t="n">
        <v>40</v>
      </c>
      <c r="B25" s="11" t="n">
        <f aca="false">0.5*rho*Cx*Af*(A25/3.6)^2+(f0+fs*(A25/100)^2)*Gw*COS(ATAN(0/100))+Gw*SIN(ATAN(0/100))</f>
        <v>122.289240814815</v>
      </c>
      <c r="C25" s="11" t="n">
        <f aca="false">0.5*rho*Cx*Af*(A25/3.6)^2+(f0+fs*(A25/100)^2)*Gw*COS(ATAN(10/100))+Gw*SIN(ATAN(10/100))</f>
        <v>800.285113513019</v>
      </c>
      <c r="D25" s="11" t="n">
        <f aca="false">0.5*rho*Cx*Af*(A25/3.6)^2+(f0+fs*(A25/100)^2)*Gw*COS(ATAN(20/100))+Gw*SIN(ATAN(20/100))</f>
        <v>1457.77337259911</v>
      </c>
    </row>
    <row r="26" customFormat="false" ht="15" hidden="false" customHeight="false" outlineLevel="0" collapsed="false">
      <c r="A26" s="0" t="n">
        <v>50</v>
      </c>
      <c r="B26" s="11" t="n">
        <f aca="false">0.5*rho*Cx*Af*(A26/3.6)^2+(f0+fs*(A26/100)^2)*Gw*COS(ATAN(0/100))+Gw*SIN(ATAN(0/100))</f>
        <v>148.890873148148</v>
      </c>
      <c r="C26" s="11" t="n">
        <f aca="false">0.5*rho*Cx*Af*(A26/3.6)^2+(f0+fs*(A26/100)^2)*Gw*COS(ATAN(10/100))+Gw*SIN(ATAN(10/100))</f>
        <v>826.862383790266</v>
      </c>
      <c r="D26" s="11" t="n">
        <f aca="false">0.5*rho*Cx*Af*(A26/3.6)^2+(f0+fs*(A26/100)^2)*Gw*COS(ATAN(20/100))+Gw*SIN(ATAN(20/100))</f>
        <v>1484.27967694528</v>
      </c>
    </row>
    <row r="27" customFormat="false" ht="15" hidden="false" customHeight="false" outlineLevel="0" collapsed="false">
      <c r="A27" s="0" t="n">
        <v>60</v>
      </c>
      <c r="B27" s="11" t="n">
        <f aca="false">0.5*rho*Cx*Af*(A27/3.6)^2+(f0+fs*(A27/100)^2)*Gw*COS(ATAN(0/100))+Gw*SIN(ATAN(0/100))</f>
        <v>181.403979333333</v>
      </c>
      <c r="C27" s="11" t="n">
        <f aca="false">0.5*rho*Cx*Af*(A27/3.6)^2+(f0+fs*(A27/100)^2)*Gw*COS(ATAN(10/100))+Gw*SIN(ATAN(10/100))</f>
        <v>859.345714129125</v>
      </c>
      <c r="D27" s="11" t="n">
        <f aca="false">0.5*rho*Cx*Af*(A27/3.6)^2+(f0+fs*(A27/100)^2)*Gw*COS(ATAN(20/100))+Gw*SIN(ATAN(20/100))</f>
        <v>1516.67627114615</v>
      </c>
    </row>
    <row r="28" customFormat="false" ht="15" hidden="false" customHeight="false" outlineLevel="0" collapsed="false">
      <c r="A28" s="0" t="n">
        <v>70</v>
      </c>
      <c r="B28" s="11" t="n">
        <f aca="false">0.5*rho*Cx*Af*(A28/3.6)^2+(f0+fs*(A28/100)^2)*Gw*COS(ATAN(0/100))+Gw*SIN(ATAN(0/100))</f>
        <v>219.82855937037</v>
      </c>
      <c r="C28" s="11" t="n">
        <f aca="false">0.5*rho*Cx*Af*(A28/3.6)^2+(f0+fs*(A28/100)^2)*Gw*COS(ATAN(10/100))+Gw*SIN(ATAN(10/100))</f>
        <v>897.735104529594</v>
      </c>
      <c r="D28" s="11" t="n">
        <f aca="false">0.5*rho*Cx*Af*(A28/3.6)^2+(f0+fs*(A28/100)^2)*Gw*COS(ATAN(20/100))+Gw*SIN(ATAN(20/100))</f>
        <v>1554.96315520173</v>
      </c>
    </row>
    <row r="29" customFormat="false" ht="15" hidden="false" customHeight="false" outlineLevel="0" collapsed="false">
      <c r="A29" s="0" t="n">
        <v>80</v>
      </c>
      <c r="B29" s="11" t="n">
        <f aca="false">0.5*rho*Cx*Af*(A29/3.6)^2+(f0+fs*(A29/100)^2)*Gw*COS(ATAN(0/100))+Gw*SIN(ATAN(0/100))</f>
        <v>264.164613259259</v>
      </c>
      <c r="C29" s="11" t="n">
        <f aca="false">0.5*rho*Cx*Af*(A29/3.6)^2+(f0+fs*(A29/100)^2)*Gw*COS(ATAN(10/100))+Gw*SIN(ATAN(10/100))</f>
        <v>942.030554991673</v>
      </c>
      <c r="D29" s="11" t="n">
        <f aca="false">0.5*rho*Cx*Af*(A29/3.6)^2+(f0+fs*(A29/100)^2)*Gw*COS(ATAN(20/100))+Gw*SIN(ATAN(20/100))</f>
        <v>1599.14032911201</v>
      </c>
    </row>
    <row r="30" customFormat="false" ht="15" hidden="false" customHeight="false" outlineLevel="0" collapsed="false">
      <c r="A30" s="0" t="n">
        <v>90</v>
      </c>
      <c r="B30" s="11" t="n">
        <f aca="false">0.5*rho*Cx*Af*(A30/3.6)^2+(f0+fs*(A30/100)^2)*Gw*COS(ATAN(0/100))+Gw*SIN(ATAN(0/100))</f>
        <v>314.412141</v>
      </c>
      <c r="C30" s="11" t="n">
        <f aca="false">0.5*rho*Cx*Af*(A30/3.6)^2+(f0+fs*(A30/100)^2)*Gw*COS(ATAN(10/100))+Gw*SIN(ATAN(10/100))</f>
        <v>992.232065515363</v>
      </c>
      <c r="D30" s="11" t="n">
        <f aca="false">0.5*rho*Cx*Af*(A30/3.6)^2+(f0+fs*(A30/100)^2)*Gw*COS(ATAN(20/100))+Gw*SIN(ATAN(20/100))</f>
        <v>1649.207792877</v>
      </c>
    </row>
    <row r="31" customFormat="false" ht="15" hidden="false" customHeight="false" outlineLevel="0" collapsed="false">
      <c r="A31" s="0" t="n">
        <v>100</v>
      </c>
      <c r="B31" s="11" t="n">
        <f aca="false">0.5*rho*Cx*Af*(A31/3.6)^2+(f0+fs*(A31/100)^2)*Gw*COS(ATAN(0/100))+Gw*SIN(ATAN(0/100))</f>
        <v>370.571142592593</v>
      </c>
      <c r="C31" s="11" t="n">
        <f aca="false">0.5*rho*Cx*Af*(A31/3.6)^2+(f0+fs*(A31/100)^2)*Gw*COS(ATAN(10/100))+Gw*SIN(ATAN(10/100))</f>
        <v>1048.33963610066</v>
      </c>
      <c r="D31" s="11" t="n">
        <f aca="false">0.5*rho*Cx*Af*(A31/3.6)^2+(f0+fs*(A31/100)^2)*Gw*COS(ATAN(20/100))+Gw*SIN(ATAN(20/100))</f>
        <v>1705.16554649669</v>
      </c>
    </row>
    <row r="32" customFormat="false" ht="15" hidden="false" customHeight="false" outlineLevel="0" collapsed="false">
      <c r="A32" s="0" t="n">
        <v>110</v>
      </c>
      <c r="B32" s="11" t="n">
        <f aca="false">0.5*rho*Cx*Af*(A32/3.6)^2+(f0+fs*(A32/100)^2)*Gw*COS(ATAN(0/100))+Gw*SIN(ATAN(0/100))</f>
        <v>432.641618037037</v>
      </c>
      <c r="C32" s="11" t="n">
        <f aca="false">0.5*rho*Cx*Af*(A32/3.6)^2+(f0+fs*(A32/100)^2)*Gw*COS(ATAN(10/100))+Gw*SIN(ATAN(10/100))</f>
        <v>1110.35326674758</v>
      </c>
      <c r="D32" s="11" t="n">
        <f aca="false">0.5*rho*Cx*Af*(A32/3.6)^2+(f0+fs*(A32/100)^2)*Gw*COS(ATAN(20/100))+Gw*SIN(ATAN(20/100))</f>
        <v>1767.01358997108</v>
      </c>
    </row>
    <row r="33" customFormat="false" ht="15" hidden="false" customHeight="false" outlineLevel="0" collapsed="false">
      <c r="A33" s="0" t="n">
        <v>120</v>
      </c>
      <c r="B33" s="11" t="n">
        <f aca="false">0.5*rho*Cx*Af*(A33/3.6)^2+(f0+fs*(A33/100)^2)*Gw*COS(ATAN(0/100))+Gw*SIN(ATAN(0/100))</f>
        <v>500.623567333333</v>
      </c>
      <c r="C33" s="11" t="n">
        <f aca="false">0.5*rho*Cx*Af*(A33/3.6)^2+(f0+fs*(A33/100)^2)*Gw*COS(ATAN(10/100))+Gw*SIN(ATAN(10/100))</f>
        <v>1178.2729574561</v>
      </c>
      <c r="D33" s="11" t="n">
        <f aca="false">0.5*rho*Cx*Af*(A33/3.6)^2+(f0+fs*(A33/100)^2)*Gw*COS(ATAN(20/100))+Gw*SIN(ATAN(20/100))</f>
        <v>1834.75192330018</v>
      </c>
    </row>
    <row r="34" customFormat="false" ht="15" hidden="false" customHeight="false" outlineLevel="0" collapsed="false">
      <c r="A34" s="0" t="n">
        <v>130</v>
      </c>
      <c r="B34" s="11" t="n">
        <f aca="false">0.5*rho*Cx*Af*(A34/3.6)^2+(f0+fs*(A34/100)^2)*Gw*COS(ATAN(0/100))+Gw*SIN(ATAN(0/100))</f>
        <v>574.516990481482</v>
      </c>
      <c r="C34" s="11" t="n">
        <f aca="false">0.5*rho*Cx*Af*(A34/3.6)^2+(f0+fs*(A34/100)^2)*Gw*COS(ATAN(10/100))+Gw*SIN(ATAN(10/100))</f>
        <v>1252.09870822623</v>
      </c>
      <c r="D34" s="11" t="n">
        <f aca="false">0.5*rho*Cx*Af*(A34/3.6)^2+(f0+fs*(A34/100)^2)*Gw*COS(ATAN(20/100))+Gw*SIN(ATAN(20/100))</f>
        <v>1908.38054648398</v>
      </c>
    </row>
    <row r="35" customFormat="false" ht="15" hidden="false" customHeight="false" outlineLevel="0" collapsed="false">
      <c r="A35" s="0" t="n">
        <v>140</v>
      </c>
      <c r="B35" s="11" t="n">
        <f aca="false">0.5*rho*Cx*Af*(A35/3.6)^2+(f0+fs*(A35/100)^2)*Gw*COS(ATAN(0/100))+Gw*SIN(ATAN(0/100))</f>
        <v>654.321887481481</v>
      </c>
      <c r="C35" s="11" t="n">
        <f aca="false">0.5*rho*Cx*Af*(A35/3.6)^2+(f0+fs*(A35/100)^2)*Gw*COS(ATAN(10/100))+Gw*SIN(ATAN(10/100))</f>
        <v>1331.83051905797</v>
      </c>
      <c r="D35" s="11" t="n">
        <f aca="false">0.5*rho*Cx*Af*(A35/3.6)^2+(f0+fs*(A35/100)^2)*Gw*COS(ATAN(20/100))+Gw*SIN(ATAN(20/100))</f>
        <v>1987.89945952249</v>
      </c>
    </row>
    <row r="36" customFormat="false" ht="15" hidden="false" customHeight="false" outlineLevel="0" collapsed="false">
      <c r="A36" s="0" t="n">
        <v>150</v>
      </c>
      <c r="B36" s="11" t="n">
        <f aca="false">0.5*rho*Cx*Af*(A36/3.6)^2+(f0+fs*(A36/100)^2)*Gw*COS(ATAN(0/100))+Gw*SIN(ATAN(0/100))</f>
        <v>740.038258333333</v>
      </c>
      <c r="C36" s="11" t="n">
        <f aca="false">0.5*rho*Cx*Af*(A36/3.6)^2+(f0+fs*(A36/100)^2)*Gw*COS(ATAN(10/100))+Gw*SIN(ATAN(10/100))</f>
        <v>1417.46838995133</v>
      </c>
      <c r="D36" s="11" t="n">
        <f aca="false">0.5*rho*Cx*Af*(A36/3.6)^2+(f0+fs*(A36/100)^2)*Gw*COS(ATAN(20/100))+Gw*SIN(ATAN(20/100))</f>
        <v>2073.3086624157</v>
      </c>
    </row>
    <row r="37" customFormat="false" ht="15" hidden="false" customHeight="false" outlineLevel="0" collapsed="false">
      <c r="A37" s="0" t="n">
        <v>160</v>
      </c>
      <c r="B37" s="11" t="n">
        <f aca="false">0.5*rho*Cx*Af*(A37/3.6)^2+(f0+fs*(A37/100)^2)*Gw*COS(ATAN(0/100))+Gw*SIN(ATAN(0/100))</f>
        <v>831.666103037037</v>
      </c>
      <c r="C37" s="11" t="n">
        <f aca="false">0.5*rho*Cx*Af*(A37/3.6)^2+(f0+fs*(A37/100)^2)*Gw*COS(ATAN(10/100))+Gw*SIN(ATAN(10/100))</f>
        <v>1509.01232090629</v>
      </c>
      <c r="D37" s="11" t="n">
        <f aca="false">0.5*rho*Cx*Af*(A37/3.6)^2+(f0+fs*(A37/100)^2)*Gw*COS(ATAN(20/100))+Gw*SIN(ATAN(20/100))</f>
        <v>2164.60815516361</v>
      </c>
    </row>
    <row r="38" customFormat="false" ht="15" hidden="false" customHeight="false" outlineLevel="0" collapsed="false">
      <c r="A38" s="0" t="n">
        <v>170</v>
      </c>
      <c r="B38" s="11" t="n">
        <f aca="false">0.5*rho*Cx*Af*(A38/3.6)^2+(f0+fs*(A38/100)^2)*Gw*COS(ATAN(0/100))+Gw*SIN(ATAN(0/100))</f>
        <v>929.205421592593</v>
      </c>
      <c r="C38" s="11" t="n">
        <f aca="false">0.5*rho*Cx*Af*(A38/3.6)^2+(f0+fs*(A38/100)^2)*Gw*COS(ATAN(10/100))+Gw*SIN(ATAN(10/100))</f>
        <v>1606.46231192287</v>
      </c>
      <c r="D38" s="11" t="n">
        <f aca="false">0.5*rho*Cx*Af*(A38/3.6)^2+(f0+fs*(A38/100)^2)*Gw*COS(ATAN(20/100))+Gw*SIN(ATAN(20/100))</f>
        <v>2261.79793776623</v>
      </c>
    </row>
    <row r="39" customFormat="false" ht="15" hidden="false" customHeight="false" outlineLevel="0" collapsed="false">
      <c r="A39" s="0" t="n">
        <v>180</v>
      </c>
      <c r="B39" s="11" t="n">
        <f aca="false">0.5*rho*Cx*Af*(A39/3.6)^2+(f0+fs*(A39/100)^2)*Gw*COS(ATAN(0/100))+Gw*SIN(ATAN(0/100))</f>
        <v>1032.656214</v>
      </c>
      <c r="C39" s="11" t="n">
        <f aca="false">0.5*rho*Cx*Af*(A39/3.6)^2+(f0+fs*(A39/100)^2)*Gw*COS(ATAN(10/100))+Gw*SIN(ATAN(10/100))</f>
        <v>1709.81836300105</v>
      </c>
      <c r="D39" s="11" t="n">
        <f aca="false">0.5*rho*Cx*Af*(A39/3.6)^2+(f0+fs*(A39/100)^2)*Gw*COS(ATAN(20/100))+Gw*SIN(ATAN(20/100))</f>
        <v>2364.87801022355</v>
      </c>
    </row>
    <row r="40" customFormat="false" ht="15" hidden="false" customHeight="false" outlineLevel="0" collapsed="false">
      <c r="A40" s="0" t="n">
        <v>190</v>
      </c>
      <c r="B40" s="11" t="n">
        <f aca="false">0.5*rho*Cx*Af*(A40/3.6)^2+(f0+fs*(A40/100)^2)*Gw*COS(ATAN(0/100))+Gw*SIN(ATAN(0/100))</f>
        <v>1142.01848025926</v>
      </c>
      <c r="C40" s="11" t="n">
        <f aca="false">0.5*rho*Cx*Af*(A40/3.6)^2+(f0+fs*(A40/100)^2)*Gw*COS(ATAN(10/100))+Gw*SIN(ATAN(10/100))</f>
        <v>1819.08047414085</v>
      </c>
      <c r="D40" s="11" t="n">
        <f aca="false">0.5*rho*Cx*Af*(A40/3.6)^2+(f0+fs*(A40/100)^2)*Gw*COS(ATAN(20/100))+Gw*SIN(ATAN(20/100))</f>
        <v>2473.84837253558</v>
      </c>
    </row>
    <row r="41" customFormat="false" ht="15" hidden="false" customHeight="false" outlineLevel="0" collapsed="false">
      <c r="A41" s="0" t="n">
        <v>200</v>
      </c>
      <c r="B41" s="11" t="n">
        <f aca="false">0.5*rho*Cx*Af*(A41/3.6)^2+(f0+fs*(A41/100)^2)*Gw*COS(ATAN(0/100))+Gw*SIN(ATAN(0/100))</f>
        <v>1257.29222037037</v>
      </c>
      <c r="C41" s="11" t="n">
        <f aca="false">0.5*rho*Cx*Af*(A41/3.6)^2+(f0+fs*(A41/100)^2)*Gw*COS(ATAN(10/100))+Gw*SIN(ATAN(10/100))</f>
        <v>1934.24864534225</v>
      </c>
      <c r="D41" s="11" t="n">
        <f aca="false">0.5*rho*Cx*Af*(A41/3.6)^2+(f0+fs*(A41/100)^2)*Gw*COS(ATAN(20/100))+Gw*SIN(ATAN(20/100))</f>
        <v>2588.70902470231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175</v>
      </c>
    </row>
    <row r="3" customFormat="false" ht="1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customFormat="false" ht="15" hidden="false" customHeight="false" outlineLevel="0" collapsed="false">
      <c r="A4" s="0" t="s">
        <v>176</v>
      </c>
      <c r="B4" s="0" t="s">
        <v>177</v>
      </c>
      <c r="C4" s="6" t="n">
        <v>100</v>
      </c>
      <c r="D4" s="7" t="s">
        <v>55</v>
      </c>
    </row>
    <row r="5" customFormat="false" ht="15" hidden="false" customHeight="false" outlineLevel="0" collapsed="false">
      <c r="A5" s="0" t="s">
        <v>178</v>
      </c>
      <c r="B5" s="0" t="s">
        <v>179</v>
      </c>
      <c r="C5" s="6" t="n">
        <v>17</v>
      </c>
      <c r="D5" s="7" t="s">
        <v>32</v>
      </c>
      <c r="E5" s="7" t="s">
        <v>180</v>
      </c>
    </row>
    <row r="7" customFormat="false" ht="15" hidden="false" customHeight="false" outlineLevel="0" collapsed="false">
      <c r="A7" s="8" t="s">
        <v>82</v>
      </c>
    </row>
    <row r="8" customFormat="false" ht="15" hidden="false" customHeight="false" outlineLevel="0" collapsed="false">
      <c r="A8" s="0" t="s">
        <v>181</v>
      </c>
      <c r="B8" s="0" t="s">
        <v>182</v>
      </c>
      <c r="C8" s="9" t="n">
        <f aca="false">Vss_v*igr/(0.377*rc)</f>
        <v>4286.0696008842</v>
      </c>
      <c r="D8" s="7" t="s">
        <v>50</v>
      </c>
      <c r="E8" s="7" t="s">
        <v>183</v>
      </c>
    </row>
    <row r="9" customFormat="false" ht="15" hidden="false" customHeight="false" outlineLevel="0" collapsed="false">
      <c r="A9" s="0" t="s">
        <v>184</v>
      </c>
      <c r="B9" s="0" t="s">
        <v>185</v>
      </c>
      <c r="C9" s="9" t="n">
        <f aca="false">nsec*zvss/60</f>
        <v>1214.38638691719</v>
      </c>
      <c r="D9" s="7" t="s">
        <v>186</v>
      </c>
      <c r="E9" s="7" t="s">
        <v>183</v>
      </c>
    </row>
    <row r="11" customFormat="false" ht="15" hidden="false" customHeight="false" outlineLevel="0" collapsed="false">
      <c r="A11" s="5" t="s">
        <v>156</v>
      </c>
      <c r="B11" s="5" t="s">
        <v>187</v>
      </c>
    </row>
    <row r="12" customFormat="false" ht="15" hidden="false" customHeight="false" outlineLevel="0" collapsed="false">
      <c r="A12" s="0" t="n">
        <v>0</v>
      </c>
      <c r="B12" s="11" t="n">
        <f aca="false">A12*igr/(0.377*rc)*zvss/60</f>
        <v>0</v>
      </c>
    </row>
    <row r="13" customFormat="false" ht="15" hidden="false" customHeight="false" outlineLevel="0" collapsed="false">
      <c r="A13" s="0" t="n">
        <v>20</v>
      </c>
      <c r="B13" s="11" t="n">
        <f aca="false">A13*igr/(0.377*rc)*zvss/60</f>
        <v>242.877277383438</v>
      </c>
    </row>
    <row r="14" customFormat="false" ht="15" hidden="false" customHeight="false" outlineLevel="0" collapsed="false">
      <c r="A14" s="0" t="n">
        <v>40</v>
      </c>
      <c r="B14" s="11" t="n">
        <f aca="false">A14*igr/(0.377*rc)*zvss/60</f>
        <v>485.754554766876</v>
      </c>
    </row>
    <row r="15" customFormat="false" ht="15" hidden="false" customHeight="false" outlineLevel="0" collapsed="false">
      <c r="A15" s="0" t="n">
        <v>60</v>
      </c>
      <c r="B15" s="11" t="n">
        <f aca="false">A15*igr/(0.377*rc)*zvss/60</f>
        <v>728.631832150314</v>
      </c>
    </row>
    <row r="16" customFormat="false" ht="15" hidden="false" customHeight="false" outlineLevel="0" collapsed="false">
      <c r="A16" s="0" t="n">
        <v>80</v>
      </c>
      <c r="B16" s="11" t="n">
        <f aca="false">A16*igr/(0.377*rc)*zvss/60</f>
        <v>971.509109533752</v>
      </c>
    </row>
    <row r="17" customFormat="false" ht="15" hidden="false" customHeight="false" outlineLevel="0" collapsed="false">
      <c r="A17" s="0" t="n">
        <v>100</v>
      </c>
      <c r="B17" s="11" t="n">
        <f aca="false">A17*igr/(0.377*rc)*zvss/60</f>
        <v>1214.38638691719</v>
      </c>
    </row>
    <row r="18" customFormat="false" ht="15" hidden="false" customHeight="false" outlineLevel="0" collapsed="false">
      <c r="A18" s="0" t="n">
        <v>120</v>
      </c>
      <c r="B18" s="11" t="n">
        <f aca="false">A18*igr/(0.377*rc)*zvss/60</f>
        <v>1457.26366430063</v>
      </c>
    </row>
    <row r="19" customFormat="false" ht="15" hidden="false" customHeight="false" outlineLevel="0" collapsed="false">
      <c r="A19" s="0" t="n">
        <v>140</v>
      </c>
      <c r="B19" s="11" t="n">
        <f aca="false">A19*igr/(0.377*rc)*zvss/60</f>
        <v>1700.14094168407</v>
      </c>
    </row>
    <row r="20" customFormat="false" ht="15" hidden="false" customHeight="false" outlineLevel="0" collapsed="false">
      <c r="A20" s="0" t="n">
        <v>160</v>
      </c>
      <c r="B20" s="11" t="n">
        <f aca="false">A20*igr/(0.377*rc)*zvss/60</f>
        <v>1943.0182190675</v>
      </c>
    </row>
    <row r="21" customFormat="false" ht="15" hidden="false" customHeight="false" outlineLevel="0" collapsed="false">
      <c r="A21" s="0" t="n">
        <v>180</v>
      </c>
      <c r="B21" s="11" t="n">
        <f aca="false">A21*igr/(0.377*rc)*zvss/60</f>
        <v>2185.89549645094</v>
      </c>
    </row>
    <row r="22" customFormat="false" ht="15" hidden="false" customHeight="false" outlineLevel="0" collapsed="false">
      <c r="A22" s="0" t="n">
        <v>200</v>
      </c>
      <c r="B22" s="11" t="n">
        <f aca="false">A22*igr/(0.377*rc)*zvss/60</f>
        <v>2428.77277383438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2026-09-16T11:45:32Z</dcterms:created>
  <dc:creator>openpyxl</dc:creator>
  <dc:description/>
  <dc:language>en-US</dc:language>
  <cp:lastModifiedBy/>
  <dcterms:modified xsi:type="dcterms:W3CDTF">2026-09-16T11:45:43Z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