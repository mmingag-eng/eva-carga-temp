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Instrucciones" sheetId="1" state="visible" r:id="rId3"/>
    <sheet name="1_Datos" sheetId="2" state="visible" r:id="rId4"/>
    <sheet name="2_Operaciones" sheetId="3" state="visible" r:id="rId5"/>
    <sheet name="3_Plan_km" sheetId="4" state="visible" r:id="rId6"/>
    <sheet name="4_Costos" sheetId="5" state="visible" r:id="rId7"/>
  </sheets>
  <definedNames>
    <definedName function="false" hidden="false" name="fap" vbProcedure="false">1_Datos!$C$10</definedName>
    <definedName function="false" hidden="false" name="fs" vbProcedure="false">1_Datos!$C$7</definedName>
    <definedName function="false" hidden="false" name="Hk" vbProcedure="false">1_Datos!$C$4</definedName>
    <definedName function="false" hidden="false" name="kmact" vbProcedure="false">1_Datos!$C$5</definedName>
    <definedName function="false" hidden="false" name="sev" vbProcedure="false">1_Datos!$C$6</definedName>
    <definedName function="false" hidden="false" name="tMO" vbProcedure="false">1_Datos!$C$8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<sst xmlns="http://schemas.openxmlformats.org/spreadsheetml/2006/main" count="78" uniqueCount="72">
  <si>
    <t xml:space="preserve">PRÁCTICA 6 – PLAN DE MANTENIMIENTO PREVENTIVO DEL SISTEMA DE TRANSMISIÓN: PROGRAMACIÓN Y COSTOS</t>
  </si>
  <si>
    <t xml:space="preserve">Mecánica de Patio III – Instituto Superior Tecnológico Sudamericano – Ing. Miguel Angel Minga González</t>
  </si>
  <si>
    <t xml:space="preserve">Cómo usar este libro:</t>
  </si>
  <si>
    <t xml:space="preserve">1. Las celdas amarillas con texto azul son DATOS DE ENTRADA. Cámbielas con los datos del conjunto del laboratorio; las demás hojas se recalculan solas.</t>
  </si>
  <si>
    <t xml:space="preserve">2. Las celdas verdes son RESULTADOS calculados con fórmulas: no escriba sobre ellas.</t>
  </si>
  <si>
    <t xml:space="preserve">3. Cada hoja corresponde a un paso del ejemplo resuelto de la guía y a una sección del código MATLAB.</t>
  </si>
  <si>
    <t xml:space="preserve">Hojas del libro:</t>
  </si>
  <si>
    <t xml:space="preserve">1_Datos: horizonte del plan, kilometraje actual, condición de uso, factor de severidad y tarifa de mano de obra.</t>
  </si>
  <si>
    <t xml:space="preserve">2_Operaciones: intervalos del fabricante, capacidades, precios, horas y repuestos; intervalo efectivo, número de intervenciones, próximo servicio y costos. Ecuaciones (1) a (7).</t>
  </si>
  <si>
    <t xml:space="preserve">3_Plan_km: matriz de intervenciones por kilometraje generada automáticamente (X = realizar).</t>
  </si>
  <si>
    <t xml:space="preserve">4_Costos: costo acumulado por kilometraje y aceite usado a gestionar como residuo.</t>
  </si>
  <si>
    <t xml:space="preserve">Interpretación:</t>
  </si>
  <si>
    <t xml:space="preserve">• Cambiar la condición de uso a SÍ reduce los intervalos y aumenta el costo por kilómetro. • El costo por kilómetro permite comparar planes y justificar el mantenimiento preventivo frente al costo de una reparación. • Los precios son referenciales: actualícelos con cotizaciones locales.</t>
  </si>
  <si>
    <t xml:space="preserve">Datos generales del plan</t>
  </si>
  <si>
    <t xml:space="preserve">Parámetro</t>
  </si>
  <si>
    <t xml:space="preserve">Símbolo</t>
  </si>
  <si>
    <t xml:space="preserve">Valor</t>
  </si>
  <si>
    <t xml:space="preserve">Unidad</t>
  </si>
  <si>
    <t xml:space="preserve">Observación</t>
  </si>
  <si>
    <t xml:space="preserve">Horizonte del plan</t>
  </si>
  <si>
    <t xml:space="preserve">H</t>
  </si>
  <si>
    <t xml:space="preserve">km</t>
  </si>
  <si>
    <t xml:space="preserve">Kilometraje actual del vehículo</t>
  </si>
  <si>
    <t xml:space="preserve">Leer en el odómetro</t>
  </si>
  <si>
    <t xml:space="preserve">¿Uso severo? (SÍ/NO)</t>
  </si>
  <si>
    <t xml:space="preserve">—</t>
  </si>
  <si>
    <t xml:space="preserve">NO</t>
  </si>
  <si>
    <t xml:space="preserve">Remolque, ciudad intensa, polvo, taxi</t>
  </si>
  <si>
    <t xml:space="preserve">Factor de severidad</t>
  </si>
  <si>
    <t xml:space="preserve">fs</t>
  </si>
  <si>
    <t xml:space="preserve">Reduce el intervalo</t>
  </si>
  <si>
    <t xml:space="preserve">Tarifa de mano de obra</t>
  </si>
  <si>
    <t xml:space="preserve">tMO</t>
  </si>
  <si>
    <t xml:space="preserve">USD/h</t>
  </si>
  <si>
    <t xml:space="preserve">Referencial</t>
  </si>
  <si>
    <t xml:space="preserve">Factor aplicado</t>
  </si>
  <si>
    <t xml:space="preserve">Operaciones, intervalos y costos</t>
  </si>
  <si>
    <t xml:space="preserve">Operación</t>
  </si>
  <si>
    <t xml:space="preserve">Intervalo fabricante (km)</t>
  </si>
  <si>
    <t xml:space="preserve">Capacidad (L)</t>
  </si>
  <si>
    <t xml:space="preserve">Precio insumo (USD/L)</t>
  </si>
  <si>
    <t xml:space="preserve">Mano de obra (h)</t>
  </si>
  <si>
    <t xml:space="preserve">Repuestos (USD)</t>
  </si>
  <si>
    <t xml:space="preserve">Intervalo efectivo Ie (km)</t>
  </si>
  <si>
    <t xml:space="preserve">N.º de intervenciones N</t>
  </si>
  <si>
    <t xml:space="preserve">Próximo servicio (km)</t>
  </si>
  <si>
    <t xml:space="preserve">Costo por intervención (USD)</t>
  </si>
  <si>
    <t xml:space="preserve">Costo en el horizonte (USD)</t>
  </si>
  <si>
    <t xml:space="preserve">Aceite usado (L)</t>
  </si>
  <si>
    <t xml:space="preserve">Cambio de aceite de caja manual (API GL-4)</t>
  </si>
  <si>
    <t xml:space="preserve">Cambio de aceite del diferencial (API GL-5)</t>
  </si>
  <si>
    <t xml:space="preserve">Cambio de aceite de la caja de transferencia</t>
  </si>
  <si>
    <t xml:space="preserve">Cambio del líquido de embrague (DOT 4)</t>
  </si>
  <si>
    <t xml:space="preserve">Engrase de crucetas del árbol</t>
  </si>
  <si>
    <t xml:space="preserve">Inspección de fuelles y juntas homocinéticas</t>
  </si>
  <si>
    <t xml:space="preserve">Revisión de fugas, soportes y respiraderos</t>
  </si>
  <si>
    <t xml:space="preserve">TOTAL</t>
  </si>
  <si>
    <t xml:space="preserve">Costo por kilómetro (USD/km)</t>
  </si>
  <si>
    <t xml:space="preserve">Matriz de intervenciones por kilometraje</t>
  </si>
  <si>
    <t xml:space="preserve">10 000 km</t>
  </si>
  <si>
    <t xml:space="preserve">20 000 km</t>
  </si>
  <si>
    <t xml:space="preserve">30 000 km</t>
  </si>
  <si>
    <t xml:space="preserve">40 000 km</t>
  </si>
  <si>
    <t xml:space="preserve">50 000 km</t>
  </si>
  <si>
    <t xml:space="preserve">60 000 km</t>
  </si>
  <si>
    <t xml:space="preserve">70 000 km</t>
  </si>
  <si>
    <t xml:space="preserve">80 000 km</t>
  </si>
  <si>
    <t xml:space="preserve">90 000 km</t>
  </si>
  <si>
    <t xml:space="preserve">100 000 km</t>
  </si>
  <si>
    <t xml:space="preserve">Costo acumulado y residuos</t>
  </si>
  <si>
    <t xml:space="preserve">Costo acumulado (USD)</t>
  </si>
  <si>
    <t xml:space="preserve">Aceite usado acumulado (L)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</si>
</sst>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0"/>
    <numFmt numFmtId="167" formatCode="0.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Costo acumulado del plan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"Costo acumulado"</c:f>
              <c:strCache>
                <c:ptCount val="1"/>
                <c:pt idx="0">
                  <c:v>Costo acumulado</c:v>
                </c:pt>
              </c:strCache>
            </c:strRef>
          </c:tx>
          <c:spPr>
            <a:solidFill>
              <a:srgbClr val="1f4e79"/>
            </a:solidFill>
            <a:ln w="2196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4_Costos!$A$4:$A$13</c:f>
              <c:numCache>
                <c:formatCode>General</c:formatCode>
                <c:ptCount val="10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</c:numCache>
            </c:numRef>
          </c:xVal>
          <c:yVal>
            <c:numRef>
              <c:f>4_Costos!$B$4:$B$13</c:f>
              <c:numCache>
                <c:formatCode>General</c:formatCode>
                <c:ptCount val="10"/>
                <c:pt idx="0">
                  <c:v>14</c:v>
                </c:pt>
                <c:pt idx="1">
                  <c:v>38</c:v>
                </c:pt>
                <c:pt idx="2">
                  <c:v>52</c:v>
                </c:pt>
                <c:pt idx="3">
                  <c:v>139.4</c:v>
                </c:pt>
                <c:pt idx="4">
                  <c:v>153.4</c:v>
                </c:pt>
                <c:pt idx="5">
                  <c:v>212.4</c:v>
                </c:pt>
                <c:pt idx="6">
                  <c:v>226.4</c:v>
                </c:pt>
                <c:pt idx="7">
                  <c:v>313.8</c:v>
                </c:pt>
                <c:pt idx="8">
                  <c:v>327.8</c:v>
                </c:pt>
                <c:pt idx="9">
                  <c:v>351.8</c:v>
                </c:pt>
              </c:numCache>
            </c:numRef>
          </c:yVal>
          <c:smooth val="0"/>
        </c:ser>
        <c:axId val="92137577"/>
        <c:axId val="34088220"/>
      </c:scatterChart>
      <c:valAx>
        <c:axId val="92137577"/>
        <c:scaling>
          <c:orientation val="minMax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088220"/>
        <c:crosses val="autoZero"/>
        <c:crossBetween val="midCat"/>
      </c:valAx>
      <c:valAx>
        <c:axId val="34088220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137577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0</xdr:rowOff>
    </xdr:from>
    <xdr:to>
      <xdr:col>16</xdr:col>
      <xdr:colOff>581760</xdr:colOff>
      <xdr:row>21</xdr:row>
      <xdr:rowOff>189360</xdr:rowOff>
    </xdr:to>
    <xdr:graphicFrame>
      <xdr:nvGraphicFramePr>
        <xdr:cNvPr id="0" name="Chart 1"/>
        <xdr:cNvGraphicFramePr/>
      </xdr:nvGraphicFramePr>
      <xdr:xfrm>
        <a:off x="2446200" y="3808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28.3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11</v>
      </c>
    </row>
    <row r="16" customFormat="false" ht="28.35" hidden="false" customHeight="false" outlineLevel="0" collapsed="false">
      <c r="A16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55"/>
  </cols>
  <sheetData>
    <row r="1" customFormat="false" ht="15" hidden="false" customHeight="false" outlineLevel="0" collapsed="false">
      <c r="A1" s="4" t="s">
        <v>13</v>
      </c>
    </row>
    <row r="3" customFormat="false" ht="15" hidden="false" customHeight="false" outlineLevel="0" collapsed="false">
      <c r="A3" s="5" t="s">
        <v>14</v>
      </c>
      <c r="B3" s="5" t="s">
        <v>15</v>
      </c>
      <c r="C3" s="5" t="s">
        <v>16</v>
      </c>
      <c r="D3" s="5" t="s">
        <v>17</v>
      </c>
      <c r="E3" s="5" t="s">
        <v>18</v>
      </c>
    </row>
    <row r="4" customFormat="false" ht="15" hidden="false" customHeight="false" outlineLevel="0" collapsed="false">
      <c r="A4" s="0" t="s">
        <v>19</v>
      </c>
      <c r="B4" s="0" t="s">
        <v>20</v>
      </c>
      <c r="C4" s="6" t="n">
        <v>100000</v>
      </c>
      <c r="D4" s="7" t="s">
        <v>21</v>
      </c>
    </row>
    <row r="5" customFormat="false" ht="15" hidden="false" customHeight="false" outlineLevel="0" collapsed="false">
      <c r="A5" s="0" t="s">
        <v>22</v>
      </c>
      <c r="B5" s="0" t="s">
        <v>21</v>
      </c>
      <c r="C5" s="6" t="n">
        <v>37500</v>
      </c>
      <c r="D5" s="7" t="s">
        <v>21</v>
      </c>
      <c r="E5" s="7" t="s">
        <v>23</v>
      </c>
    </row>
    <row r="6" customFormat="false" ht="15" hidden="false" customHeight="false" outlineLevel="0" collapsed="false">
      <c r="A6" s="0" t="s">
        <v>24</v>
      </c>
      <c r="B6" s="0" t="s">
        <v>25</v>
      </c>
      <c r="C6" s="6" t="s">
        <v>26</v>
      </c>
      <c r="D6" s="7" t="s">
        <v>25</v>
      </c>
      <c r="E6" s="7" t="s">
        <v>27</v>
      </c>
    </row>
    <row r="7" customFormat="false" ht="15" hidden="false" customHeight="false" outlineLevel="0" collapsed="false">
      <c r="A7" s="0" t="s">
        <v>28</v>
      </c>
      <c r="B7" s="0" t="s">
        <v>29</v>
      </c>
      <c r="C7" s="6" t="n">
        <v>0.5</v>
      </c>
      <c r="D7" s="7" t="s">
        <v>25</v>
      </c>
      <c r="E7" s="7" t="s">
        <v>30</v>
      </c>
    </row>
    <row r="8" customFormat="false" ht="15" hidden="false" customHeight="false" outlineLevel="0" collapsed="false">
      <c r="A8" s="0" t="s">
        <v>31</v>
      </c>
      <c r="B8" s="0" t="s">
        <v>32</v>
      </c>
      <c r="C8" s="6" t="n">
        <v>20</v>
      </c>
      <c r="D8" s="7" t="s">
        <v>33</v>
      </c>
      <c r="E8" s="7" t="s">
        <v>34</v>
      </c>
    </row>
    <row r="10" customFormat="false" ht="15" hidden="false" customHeight="false" outlineLevel="0" collapsed="false">
      <c r="A10" s="0" t="s">
        <v>35</v>
      </c>
      <c r="C10" s="8" t="n">
        <f aca="false">IF(UPPER(sev)="SÍ",fs,IF(UPPER(sev)="SI",fs,1))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6" min="5" style="0" width="11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1" min="10" style="0" width="15"/>
    <col collapsed="false" customWidth="true" hidden="false" outlineLevel="0" max="12" min="12" style="0" width="12"/>
  </cols>
  <sheetData>
    <row r="1" customFormat="false" ht="15" hidden="false" customHeight="false" outlineLevel="0" collapsed="false">
      <c r="A1" s="4" t="s">
        <v>36</v>
      </c>
    </row>
    <row r="3" customFormat="false" ht="41.75" hidden="false" customHeight="false" outlineLevel="0" collapsed="false">
      <c r="A3" s="5" t="s">
        <v>37</v>
      </c>
      <c r="B3" s="5" t="s">
        <v>38</v>
      </c>
      <c r="C3" s="5" t="s">
        <v>39</v>
      </c>
      <c r="D3" s="5" t="s">
        <v>40</v>
      </c>
      <c r="E3" s="5" t="s">
        <v>41</v>
      </c>
      <c r="F3" s="5" t="s">
        <v>42</v>
      </c>
      <c r="G3" s="5" t="s">
        <v>43</v>
      </c>
      <c r="H3" s="5" t="s">
        <v>44</v>
      </c>
      <c r="I3" s="5" t="s">
        <v>45</v>
      </c>
      <c r="J3" s="5" t="s">
        <v>46</v>
      </c>
      <c r="K3" s="5" t="s">
        <v>47</v>
      </c>
      <c r="L3" s="5" t="s">
        <v>48</v>
      </c>
    </row>
    <row r="4" customFormat="false" ht="15" hidden="false" customHeight="false" outlineLevel="0" collapsed="false">
      <c r="A4" s="6" t="s">
        <v>49</v>
      </c>
      <c r="B4" s="6" t="n">
        <v>60000</v>
      </c>
      <c r="C4" s="6" t="n">
        <v>2</v>
      </c>
      <c r="D4" s="6" t="n">
        <v>12</v>
      </c>
      <c r="E4" s="6" t="n">
        <v>0.5</v>
      </c>
      <c r="F4" s="6" t="n">
        <v>1</v>
      </c>
      <c r="G4" s="9" t="n">
        <f aca="false">B4*fap</f>
        <v>60000</v>
      </c>
      <c r="H4" s="9" t="n">
        <f aca="false">INT(Hk/G4)</f>
        <v>1</v>
      </c>
      <c r="I4" s="9" t="n">
        <f aca="false">CEILING((kmact+1)/G4,1)*G4</f>
        <v>60000</v>
      </c>
      <c r="J4" s="9" t="n">
        <f aca="false">C4*D4+E4*tMO+F4</f>
        <v>35</v>
      </c>
      <c r="K4" s="9" t="n">
        <f aca="false">H4*J4</f>
        <v>35</v>
      </c>
      <c r="L4" s="9" t="n">
        <f aca="false">H4*C4</f>
        <v>2</v>
      </c>
    </row>
    <row r="5" customFormat="false" ht="15" hidden="false" customHeight="false" outlineLevel="0" collapsed="false">
      <c r="A5" s="6" t="s">
        <v>50</v>
      </c>
      <c r="B5" s="6" t="n">
        <v>40000</v>
      </c>
      <c r="C5" s="6" t="n">
        <v>1.2</v>
      </c>
      <c r="D5" s="6" t="n">
        <v>12</v>
      </c>
      <c r="E5" s="6" t="n">
        <v>0.5</v>
      </c>
      <c r="F5" s="6" t="n">
        <v>1</v>
      </c>
      <c r="G5" s="9" t="n">
        <f aca="false">B5*fap</f>
        <v>40000</v>
      </c>
      <c r="H5" s="9" t="n">
        <f aca="false">INT(Hk/G5)</f>
        <v>2</v>
      </c>
      <c r="I5" s="9" t="n">
        <f aca="false">CEILING((kmact+1)/G5,1)*G5</f>
        <v>40000</v>
      </c>
      <c r="J5" s="9" t="n">
        <f aca="false">C5*D5+E5*tMO+F5</f>
        <v>25.4</v>
      </c>
      <c r="K5" s="9" t="n">
        <f aca="false">H5*J5</f>
        <v>50.8</v>
      </c>
      <c r="L5" s="9" t="n">
        <f aca="false">H5*C5</f>
        <v>2.4</v>
      </c>
    </row>
    <row r="6" customFormat="false" ht="15" hidden="false" customHeight="false" outlineLevel="0" collapsed="false">
      <c r="A6" s="6" t="s">
        <v>51</v>
      </c>
      <c r="B6" s="6" t="n">
        <v>40000</v>
      </c>
      <c r="C6" s="6" t="n">
        <v>1</v>
      </c>
      <c r="D6" s="6" t="n">
        <v>14</v>
      </c>
      <c r="E6" s="6" t="n">
        <v>0.5</v>
      </c>
      <c r="F6" s="6" t="n">
        <v>1</v>
      </c>
      <c r="G6" s="9" t="n">
        <f aca="false">B6*fap</f>
        <v>40000</v>
      </c>
      <c r="H6" s="9" t="n">
        <f aca="false">INT(Hk/G6)</f>
        <v>2</v>
      </c>
      <c r="I6" s="9" t="n">
        <f aca="false">CEILING((kmact+1)/G6,1)*G6</f>
        <v>40000</v>
      </c>
      <c r="J6" s="9" t="n">
        <f aca="false">C6*D6+E6*tMO+F6</f>
        <v>25</v>
      </c>
      <c r="K6" s="9" t="n">
        <f aca="false">H6*J6</f>
        <v>50</v>
      </c>
      <c r="L6" s="9" t="n">
        <f aca="false">H6*C6</f>
        <v>2</v>
      </c>
    </row>
    <row r="7" customFormat="false" ht="15" hidden="false" customHeight="false" outlineLevel="0" collapsed="false">
      <c r="A7" s="6" t="s">
        <v>52</v>
      </c>
      <c r="B7" s="6" t="n">
        <v>40000</v>
      </c>
      <c r="C7" s="6" t="n">
        <v>0.3</v>
      </c>
      <c r="D7" s="6" t="n">
        <v>10</v>
      </c>
      <c r="E7" s="6" t="n">
        <v>0.5</v>
      </c>
      <c r="F7" s="6" t="n">
        <v>0</v>
      </c>
      <c r="G7" s="9" t="n">
        <f aca="false">B7*fap</f>
        <v>40000</v>
      </c>
      <c r="H7" s="9" t="n">
        <f aca="false">INT(Hk/G7)</f>
        <v>2</v>
      </c>
      <c r="I7" s="9" t="n">
        <f aca="false">CEILING((kmact+1)/G7,1)*G7</f>
        <v>40000</v>
      </c>
      <c r="J7" s="9" t="n">
        <f aca="false">C7*D7+E7*tMO+F7</f>
        <v>13</v>
      </c>
      <c r="K7" s="9" t="n">
        <f aca="false">H7*J7</f>
        <v>26</v>
      </c>
      <c r="L7" s="9" t="n">
        <f aca="false">H7*C7</f>
        <v>0.6</v>
      </c>
    </row>
    <row r="8" customFormat="false" ht="15" hidden="false" customHeight="false" outlineLevel="0" collapsed="false">
      <c r="A8" s="6" t="s">
        <v>53</v>
      </c>
      <c r="B8" s="6" t="n">
        <v>10000</v>
      </c>
      <c r="C8" s="6" t="n">
        <v>0</v>
      </c>
      <c r="D8" s="6" t="n">
        <v>0</v>
      </c>
      <c r="E8" s="6" t="n">
        <v>0.3</v>
      </c>
      <c r="F8" s="6" t="n">
        <v>2</v>
      </c>
      <c r="G8" s="9" t="n">
        <f aca="false">B8*fap</f>
        <v>10000</v>
      </c>
      <c r="H8" s="9" t="n">
        <f aca="false">INT(Hk/G8)</f>
        <v>10</v>
      </c>
      <c r="I8" s="9" t="n">
        <f aca="false">CEILING((kmact+1)/G8,1)*G8</f>
        <v>40000</v>
      </c>
      <c r="J8" s="9" t="n">
        <f aca="false">C8*D8+E8*tMO+F8</f>
        <v>8</v>
      </c>
      <c r="K8" s="9" t="n">
        <f aca="false">H8*J8</f>
        <v>80</v>
      </c>
      <c r="L8" s="9" t="n">
        <f aca="false">H8*C8</f>
        <v>0</v>
      </c>
    </row>
    <row r="9" customFormat="false" ht="15" hidden="false" customHeight="false" outlineLevel="0" collapsed="false">
      <c r="A9" s="6" t="s">
        <v>54</v>
      </c>
      <c r="B9" s="6" t="n">
        <v>10000</v>
      </c>
      <c r="C9" s="6" t="n">
        <v>0</v>
      </c>
      <c r="D9" s="6" t="n">
        <v>0</v>
      </c>
      <c r="E9" s="6" t="n">
        <v>0.3</v>
      </c>
      <c r="F9" s="6" t="n">
        <v>0</v>
      </c>
      <c r="G9" s="9" t="n">
        <f aca="false">B9*fap</f>
        <v>10000</v>
      </c>
      <c r="H9" s="9" t="n">
        <f aca="false">INT(Hk/G9)</f>
        <v>10</v>
      </c>
      <c r="I9" s="9" t="n">
        <f aca="false">CEILING((kmact+1)/G9,1)*G9</f>
        <v>40000</v>
      </c>
      <c r="J9" s="9" t="n">
        <f aca="false">C9*D9+E9*tMO+F9</f>
        <v>6</v>
      </c>
      <c r="K9" s="9" t="n">
        <f aca="false">H9*J9</f>
        <v>60</v>
      </c>
      <c r="L9" s="9" t="n">
        <f aca="false">H9*C9</f>
        <v>0</v>
      </c>
    </row>
    <row r="10" customFormat="false" ht="15" hidden="false" customHeight="false" outlineLevel="0" collapsed="false">
      <c r="A10" s="6" t="s">
        <v>55</v>
      </c>
      <c r="B10" s="6" t="n">
        <v>20000</v>
      </c>
      <c r="C10" s="6" t="n">
        <v>0</v>
      </c>
      <c r="D10" s="6" t="n">
        <v>0</v>
      </c>
      <c r="E10" s="6" t="n">
        <v>0.5</v>
      </c>
      <c r="F10" s="6" t="n">
        <v>0</v>
      </c>
      <c r="G10" s="9" t="n">
        <f aca="false">B10*fap</f>
        <v>20000</v>
      </c>
      <c r="H10" s="9" t="n">
        <f aca="false">INT(Hk/G10)</f>
        <v>5</v>
      </c>
      <c r="I10" s="9" t="n">
        <f aca="false">CEILING((kmact+1)/G10,1)*G10</f>
        <v>40000</v>
      </c>
      <c r="J10" s="9" t="n">
        <f aca="false">C10*D10+E10*tMO+F10</f>
        <v>10</v>
      </c>
      <c r="K10" s="9" t="n">
        <f aca="false">H10*J10</f>
        <v>50</v>
      </c>
      <c r="L10" s="9" t="n">
        <f aca="false">H10*C10</f>
        <v>0</v>
      </c>
    </row>
    <row r="12" customFormat="false" ht="15" hidden="false" customHeight="false" outlineLevel="0" collapsed="false">
      <c r="A12" s="0" t="s">
        <v>56</v>
      </c>
      <c r="K12" s="8" t="n">
        <f aca="false">SUM(K4:K10)</f>
        <v>351.8</v>
      </c>
      <c r="L12" s="8" t="n">
        <f aca="false">SUM(L4:L10)</f>
        <v>7</v>
      </c>
    </row>
    <row r="13" customFormat="false" ht="15" hidden="false" customHeight="false" outlineLevel="0" collapsed="false">
      <c r="A13" s="0" t="s">
        <v>57</v>
      </c>
      <c r="K13" s="10" t="n">
        <f aca="false">K12/Hk</f>
        <v>0.003518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</cols>
  <sheetData>
    <row r="1" customFormat="false" ht="15" hidden="false" customHeight="false" outlineLevel="0" collapsed="false">
      <c r="A1" s="4" t="s">
        <v>58</v>
      </c>
    </row>
    <row r="3" customFormat="false" ht="28.35" hidden="false" customHeight="false" outlineLevel="0" collapsed="false">
      <c r="A3" s="5" t="s">
        <v>37</v>
      </c>
      <c r="B3" s="5" t="s">
        <v>59</v>
      </c>
      <c r="C3" s="5" t="s">
        <v>60</v>
      </c>
      <c r="D3" s="5" t="s">
        <v>61</v>
      </c>
      <c r="E3" s="5" t="s">
        <v>62</v>
      </c>
      <c r="F3" s="5" t="s">
        <v>63</v>
      </c>
      <c r="G3" s="5" t="s">
        <v>64</v>
      </c>
      <c r="H3" s="5" t="s">
        <v>65</v>
      </c>
      <c r="I3" s="5" t="s">
        <v>66</v>
      </c>
      <c r="J3" s="5" t="s">
        <v>67</v>
      </c>
      <c r="K3" s="5" t="s">
        <v>68</v>
      </c>
    </row>
    <row r="4" customFormat="false" ht="15" hidden="false" customHeight="false" outlineLevel="0" collapsed="false">
      <c r="A4" s="0" t="str">
        <f aca="false">2_Operaciones!A4</f>
        <v>Cambio de aceite de caja manual (API GL-4)</v>
      </c>
      <c r="B4" s="8" t="str">
        <f aca="false">IF(MOD(10000,2_Operaciones!G4)=0,"X","")</f>
        <v/>
      </c>
      <c r="C4" s="8" t="str">
        <f aca="false">IF(MOD(20000,2_Operaciones!G4)=0,"X","")</f>
        <v/>
      </c>
      <c r="D4" s="8" t="str">
        <f aca="false">IF(MOD(30000,2_Operaciones!G4)=0,"X","")</f>
        <v/>
      </c>
      <c r="E4" s="8" t="str">
        <f aca="false">IF(MOD(40000,2_Operaciones!G4)=0,"X","")</f>
        <v/>
      </c>
      <c r="F4" s="8" t="str">
        <f aca="false">IF(MOD(50000,2_Operaciones!G4)=0,"X","")</f>
        <v/>
      </c>
      <c r="G4" s="8" t="str">
        <f aca="false">IF(MOD(60000,2_Operaciones!G4)=0,"X","")</f>
        <v>X</v>
      </c>
      <c r="H4" s="8" t="str">
        <f aca="false">IF(MOD(70000,2_Operaciones!G4)=0,"X","")</f>
        <v/>
      </c>
      <c r="I4" s="8" t="str">
        <f aca="false">IF(MOD(80000,2_Operaciones!G4)=0,"X","")</f>
        <v/>
      </c>
      <c r="J4" s="8" t="str">
        <f aca="false">IF(MOD(90000,2_Operaciones!G4)=0,"X","")</f>
        <v/>
      </c>
      <c r="K4" s="8" t="str">
        <f aca="false">IF(MOD(100000,2_Operaciones!G4)=0,"X","")</f>
        <v/>
      </c>
    </row>
    <row r="5" customFormat="false" ht="15" hidden="false" customHeight="false" outlineLevel="0" collapsed="false">
      <c r="A5" s="0" t="str">
        <f aca="false">2_Operaciones!A5</f>
        <v>Cambio de aceite del diferencial (API GL-5)</v>
      </c>
      <c r="B5" s="8" t="str">
        <f aca="false">IF(MOD(10000,2_Operaciones!G5)=0,"X","")</f>
        <v/>
      </c>
      <c r="C5" s="8" t="str">
        <f aca="false">IF(MOD(20000,2_Operaciones!G5)=0,"X","")</f>
        <v/>
      </c>
      <c r="D5" s="8" t="str">
        <f aca="false">IF(MOD(30000,2_Operaciones!G5)=0,"X","")</f>
        <v/>
      </c>
      <c r="E5" s="8" t="str">
        <f aca="false">IF(MOD(40000,2_Operaciones!G5)=0,"X","")</f>
        <v>X</v>
      </c>
      <c r="F5" s="8" t="str">
        <f aca="false">IF(MOD(50000,2_Operaciones!G5)=0,"X","")</f>
        <v/>
      </c>
      <c r="G5" s="8" t="str">
        <f aca="false">IF(MOD(60000,2_Operaciones!G5)=0,"X","")</f>
        <v/>
      </c>
      <c r="H5" s="8" t="str">
        <f aca="false">IF(MOD(70000,2_Operaciones!G5)=0,"X","")</f>
        <v/>
      </c>
      <c r="I5" s="8" t="str">
        <f aca="false">IF(MOD(80000,2_Operaciones!G5)=0,"X","")</f>
        <v>X</v>
      </c>
      <c r="J5" s="8" t="str">
        <f aca="false">IF(MOD(90000,2_Operaciones!G5)=0,"X","")</f>
        <v/>
      </c>
      <c r="K5" s="8" t="str">
        <f aca="false">IF(MOD(100000,2_Operaciones!G5)=0,"X","")</f>
        <v/>
      </c>
    </row>
    <row r="6" customFormat="false" ht="15" hidden="false" customHeight="false" outlineLevel="0" collapsed="false">
      <c r="A6" s="0" t="str">
        <f aca="false">2_Operaciones!A6</f>
        <v>Cambio de aceite de la caja de transferencia</v>
      </c>
      <c r="B6" s="8" t="str">
        <f aca="false">IF(MOD(10000,2_Operaciones!G6)=0,"X","")</f>
        <v/>
      </c>
      <c r="C6" s="8" t="str">
        <f aca="false">IF(MOD(20000,2_Operaciones!G6)=0,"X","")</f>
        <v/>
      </c>
      <c r="D6" s="8" t="str">
        <f aca="false">IF(MOD(30000,2_Operaciones!G6)=0,"X","")</f>
        <v/>
      </c>
      <c r="E6" s="8" t="str">
        <f aca="false">IF(MOD(40000,2_Operaciones!G6)=0,"X","")</f>
        <v>X</v>
      </c>
      <c r="F6" s="8" t="str">
        <f aca="false">IF(MOD(50000,2_Operaciones!G6)=0,"X","")</f>
        <v/>
      </c>
      <c r="G6" s="8" t="str">
        <f aca="false">IF(MOD(60000,2_Operaciones!G6)=0,"X","")</f>
        <v/>
      </c>
      <c r="H6" s="8" t="str">
        <f aca="false">IF(MOD(70000,2_Operaciones!G6)=0,"X","")</f>
        <v/>
      </c>
      <c r="I6" s="8" t="str">
        <f aca="false">IF(MOD(80000,2_Operaciones!G6)=0,"X","")</f>
        <v>X</v>
      </c>
      <c r="J6" s="8" t="str">
        <f aca="false">IF(MOD(90000,2_Operaciones!G6)=0,"X","")</f>
        <v/>
      </c>
      <c r="K6" s="8" t="str">
        <f aca="false">IF(MOD(100000,2_Operaciones!G6)=0,"X","")</f>
        <v/>
      </c>
    </row>
    <row r="7" customFormat="false" ht="15" hidden="false" customHeight="false" outlineLevel="0" collapsed="false">
      <c r="A7" s="0" t="str">
        <f aca="false">2_Operaciones!A7</f>
        <v>Cambio del líquido de embrague (DOT 4)</v>
      </c>
      <c r="B7" s="8" t="str">
        <f aca="false">IF(MOD(10000,2_Operaciones!G7)=0,"X","")</f>
        <v/>
      </c>
      <c r="C7" s="8" t="str">
        <f aca="false">IF(MOD(20000,2_Operaciones!G7)=0,"X","")</f>
        <v/>
      </c>
      <c r="D7" s="8" t="str">
        <f aca="false">IF(MOD(30000,2_Operaciones!G7)=0,"X","")</f>
        <v/>
      </c>
      <c r="E7" s="8" t="str">
        <f aca="false">IF(MOD(40000,2_Operaciones!G7)=0,"X","")</f>
        <v>X</v>
      </c>
      <c r="F7" s="8" t="str">
        <f aca="false">IF(MOD(50000,2_Operaciones!G7)=0,"X","")</f>
        <v/>
      </c>
      <c r="G7" s="8" t="str">
        <f aca="false">IF(MOD(60000,2_Operaciones!G7)=0,"X","")</f>
        <v/>
      </c>
      <c r="H7" s="8" t="str">
        <f aca="false">IF(MOD(70000,2_Operaciones!G7)=0,"X","")</f>
        <v/>
      </c>
      <c r="I7" s="8" t="str">
        <f aca="false">IF(MOD(80000,2_Operaciones!G7)=0,"X","")</f>
        <v>X</v>
      </c>
      <c r="J7" s="8" t="str">
        <f aca="false">IF(MOD(90000,2_Operaciones!G7)=0,"X","")</f>
        <v/>
      </c>
      <c r="K7" s="8" t="str">
        <f aca="false">IF(MOD(100000,2_Operaciones!G7)=0,"X","")</f>
        <v/>
      </c>
    </row>
    <row r="8" customFormat="false" ht="15" hidden="false" customHeight="false" outlineLevel="0" collapsed="false">
      <c r="A8" s="0" t="str">
        <f aca="false">2_Operaciones!A8</f>
        <v>Engrase de crucetas del árbol</v>
      </c>
      <c r="B8" s="8" t="str">
        <f aca="false">IF(MOD(10000,2_Operaciones!G8)=0,"X","")</f>
        <v>X</v>
      </c>
      <c r="C8" s="8" t="str">
        <f aca="false">IF(MOD(20000,2_Operaciones!G8)=0,"X","")</f>
        <v>X</v>
      </c>
      <c r="D8" s="8" t="str">
        <f aca="false">IF(MOD(30000,2_Operaciones!G8)=0,"X","")</f>
        <v>X</v>
      </c>
      <c r="E8" s="8" t="str">
        <f aca="false">IF(MOD(40000,2_Operaciones!G8)=0,"X","")</f>
        <v>X</v>
      </c>
      <c r="F8" s="8" t="str">
        <f aca="false">IF(MOD(50000,2_Operaciones!G8)=0,"X","")</f>
        <v>X</v>
      </c>
      <c r="G8" s="8" t="str">
        <f aca="false">IF(MOD(60000,2_Operaciones!G8)=0,"X","")</f>
        <v>X</v>
      </c>
      <c r="H8" s="8" t="str">
        <f aca="false">IF(MOD(70000,2_Operaciones!G8)=0,"X","")</f>
        <v>X</v>
      </c>
      <c r="I8" s="8" t="str">
        <f aca="false">IF(MOD(80000,2_Operaciones!G8)=0,"X","")</f>
        <v>X</v>
      </c>
      <c r="J8" s="8" t="str">
        <f aca="false">IF(MOD(90000,2_Operaciones!G8)=0,"X","")</f>
        <v>X</v>
      </c>
      <c r="K8" s="8" t="str">
        <f aca="false">IF(MOD(100000,2_Operaciones!G8)=0,"X","")</f>
        <v>X</v>
      </c>
    </row>
    <row r="9" customFormat="false" ht="15" hidden="false" customHeight="false" outlineLevel="0" collapsed="false">
      <c r="A9" s="0" t="str">
        <f aca="false">2_Operaciones!A9</f>
        <v>Inspección de fuelles y juntas homocinéticas</v>
      </c>
      <c r="B9" s="8" t="str">
        <f aca="false">IF(MOD(10000,2_Operaciones!G9)=0,"X","")</f>
        <v>X</v>
      </c>
      <c r="C9" s="8" t="str">
        <f aca="false">IF(MOD(20000,2_Operaciones!G9)=0,"X","")</f>
        <v>X</v>
      </c>
      <c r="D9" s="8" t="str">
        <f aca="false">IF(MOD(30000,2_Operaciones!G9)=0,"X","")</f>
        <v>X</v>
      </c>
      <c r="E9" s="8" t="str">
        <f aca="false">IF(MOD(40000,2_Operaciones!G9)=0,"X","")</f>
        <v>X</v>
      </c>
      <c r="F9" s="8" t="str">
        <f aca="false">IF(MOD(50000,2_Operaciones!G9)=0,"X","")</f>
        <v>X</v>
      </c>
      <c r="G9" s="8" t="str">
        <f aca="false">IF(MOD(60000,2_Operaciones!G9)=0,"X","")</f>
        <v>X</v>
      </c>
      <c r="H9" s="8" t="str">
        <f aca="false">IF(MOD(70000,2_Operaciones!G9)=0,"X","")</f>
        <v>X</v>
      </c>
      <c r="I9" s="8" t="str">
        <f aca="false">IF(MOD(80000,2_Operaciones!G9)=0,"X","")</f>
        <v>X</v>
      </c>
      <c r="J9" s="8" t="str">
        <f aca="false">IF(MOD(90000,2_Operaciones!G9)=0,"X","")</f>
        <v>X</v>
      </c>
      <c r="K9" s="8" t="str">
        <f aca="false">IF(MOD(100000,2_Operaciones!G9)=0,"X","")</f>
        <v>X</v>
      </c>
    </row>
    <row r="10" customFormat="false" ht="15" hidden="false" customHeight="false" outlineLevel="0" collapsed="false">
      <c r="A10" s="0" t="str">
        <f aca="false">2_Operaciones!A10</f>
        <v>Revisión de fugas, soportes y respiraderos</v>
      </c>
      <c r="B10" s="8" t="str">
        <f aca="false">IF(MOD(10000,2_Operaciones!G10)=0,"X","")</f>
        <v/>
      </c>
      <c r="C10" s="8" t="str">
        <f aca="false">IF(MOD(20000,2_Operaciones!G10)=0,"X","")</f>
        <v>X</v>
      </c>
      <c r="D10" s="8" t="str">
        <f aca="false">IF(MOD(30000,2_Operaciones!G10)=0,"X","")</f>
        <v/>
      </c>
      <c r="E10" s="8" t="str">
        <f aca="false">IF(MOD(40000,2_Operaciones!G10)=0,"X","")</f>
        <v>X</v>
      </c>
      <c r="F10" s="8" t="str">
        <f aca="false">IF(MOD(50000,2_Operaciones!G10)=0,"X","")</f>
        <v/>
      </c>
      <c r="G10" s="8" t="str">
        <f aca="false">IF(MOD(60000,2_Operaciones!G10)=0,"X","")</f>
        <v>X</v>
      </c>
      <c r="H10" s="8" t="str">
        <f aca="false">IF(MOD(70000,2_Operaciones!G10)=0,"X","")</f>
        <v/>
      </c>
      <c r="I10" s="8" t="str">
        <f aca="false">IF(MOD(80000,2_Operaciones!G10)=0,"X","")</f>
        <v>X</v>
      </c>
      <c r="J10" s="8" t="str">
        <f aca="false">IF(MOD(90000,2_Operaciones!G10)=0,"X","")</f>
        <v/>
      </c>
      <c r="K10" s="8" t="str">
        <f aca="false">IF(MOD(100000,2_Operaciones!G10)=0,"X","")</f>
        <v>X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4" t="s">
        <v>69</v>
      </c>
    </row>
    <row r="3" customFormat="false" ht="55.2" hidden="false" customHeight="false" outlineLevel="0" collapsed="false">
      <c r="A3" s="5" t="s">
        <v>21</v>
      </c>
      <c r="B3" s="5" t="s">
        <v>70</v>
      </c>
      <c r="C3" s="5" t="s">
        <v>71</v>
      </c>
    </row>
    <row r="4" customFormat="false" ht="15" hidden="false" customHeight="false" outlineLevel="0" collapsed="false">
      <c r="A4" s="0" t="n">
        <v>10000</v>
      </c>
      <c r="B4" s="8" t="n">
        <f aca="false">SUMPRODUCT(INT(A4/2_Operaciones!G4:G10),2_Operaciones!J4:J10)</f>
        <v>14</v>
      </c>
      <c r="C4" s="8" t="n">
        <f aca="false">SUMPRODUCT(INT(A4/2_Operaciones!G4:G10),2_Operaciones!C4:C10)</f>
        <v>0</v>
      </c>
    </row>
    <row r="5" customFormat="false" ht="15" hidden="false" customHeight="false" outlineLevel="0" collapsed="false">
      <c r="A5" s="0" t="n">
        <v>20000</v>
      </c>
      <c r="B5" s="8" t="n">
        <f aca="false">SUMPRODUCT(INT(A5/2_Operaciones!G4:G10),2_Operaciones!J4:J10)</f>
        <v>38</v>
      </c>
      <c r="C5" s="8" t="n">
        <f aca="false">SUMPRODUCT(INT(A5/2_Operaciones!G4:G10),2_Operaciones!C4:C10)</f>
        <v>0</v>
      </c>
    </row>
    <row r="6" customFormat="false" ht="15" hidden="false" customHeight="false" outlineLevel="0" collapsed="false">
      <c r="A6" s="0" t="n">
        <v>30000</v>
      </c>
      <c r="B6" s="8" t="n">
        <f aca="false">SUMPRODUCT(INT(A6/2_Operaciones!G4:G10),2_Operaciones!J4:J10)</f>
        <v>52</v>
      </c>
      <c r="C6" s="8" t="n">
        <f aca="false">SUMPRODUCT(INT(A6/2_Operaciones!G4:G10),2_Operaciones!C4:C10)</f>
        <v>0</v>
      </c>
    </row>
    <row r="7" customFormat="false" ht="15" hidden="false" customHeight="false" outlineLevel="0" collapsed="false">
      <c r="A7" s="0" t="n">
        <v>40000</v>
      </c>
      <c r="B7" s="8" t="n">
        <f aca="false">SUMPRODUCT(INT(A7/2_Operaciones!G4:G10),2_Operaciones!J4:J10)</f>
        <v>139.4</v>
      </c>
      <c r="C7" s="8" t="n">
        <f aca="false">SUMPRODUCT(INT(A7/2_Operaciones!G4:G10),2_Operaciones!C4:C10)</f>
        <v>2.5</v>
      </c>
    </row>
    <row r="8" customFormat="false" ht="15" hidden="false" customHeight="false" outlineLevel="0" collapsed="false">
      <c r="A8" s="0" t="n">
        <v>50000</v>
      </c>
      <c r="B8" s="8" t="n">
        <f aca="false">SUMPRODUCT(INT(A8/2_Operaciones!G4:G10),2_Operaciones!J4:J10)</f>
        <v>153.4</v>
      </c>
      <c r="C8" s="8" t="n">
        <f aca="false">SUMPRODUCT(INT(A8/2_Operaciones!G4:G10),2_Operaciones!C4:C10)</f>
        <v>2.5</v>
      </c>
    </row>
    <row r="9" customFormat="false" ht="15" hidden="false" customHeight="false" outlineLevel="0" collapsed="false">
      <c r="A9" s="0" t="n">
        <v>60000</v>
      </c>
      <c r="B9" s="8" t="n">
        <f aca="false">SUMPRODUCT(INT(A9/2_Operaciones!G4:G10),2_Operaciones!J4:J10)</f>
        <v>212.4</v>
      </c>
      <c r="C9" s="8" t="n">
        <f aca="false">SUMPRODUCT(INT(A9/2_Operaciones!G4:G10),2_Operaciones!C4:C10)</f>
        <v>4.5</v>
      </c>
    </row>
    <row r="10" customFormat="false" ht="15" hidden="false" customHeight="false" outlineLevel="0" collapsed="false">
      <c r="A10" s="0" t="n">
        <v>70000</v>
      </c>
      <c r="B10" s="8" t="n">
        <f aca="false">SUMPRODUCT(INT(A10/2_Operaciones!G4:G10),2_Operaciones!J4:J10)</f>
        <v>226.4</v>
      </c>
      <c r="C10" s="8" t="n">
        <f aca="false">SUMPRODUCT(INT(A10/2_Operaciones!G4:G10),2_Operaciones!C4:C10)</f>
        <v>4.5</v>
      </c>
    </row>
    <row r="11" customFormat="false" ht="15" hidden="false" customHeight="false" outlineLevel="0" collapsed="false">
      <c r="A11" s="0" t="n">
        <v>80000</v>
      </c>
      <c r="B11" s="8" t="n">
        <f aca="false">SUMPRODUCT(INT(A11/2_Operaciones!G4:G10),2_Operaciones!J4:J10)</f>
        <v>313.8</v>
      </c>
      <c r="C11" s="8" t="n">
        <f aca="false">SUMPRODUCT(INT(A11/2_Operaciones!G4:G10),2_Operaciones!C4:C10)</f>
        <v>7</v>
      </c>
    </row>
    <row r="12" customFormat="false" ht="15" hidden="false" customHeight="false" outlineLevel="0" collapsed="false">
      <c r="A12" s="0" t="n">
        <v>90000</v>
      </c>
      <c r="B12" s="8" t="n">
        <f aca="false">SUMPRODUCT(INT(A12/2_Operaciones!G4:G10),2_Operaciones!J4:J10)</f>
        <v>327.8</v>
      </c>
      <c r="C12" s="8" t="n">
        <f aca="false">SUMPRODUCT(INT(A12/2_Operaciones!G4:G10),2_Operaciones!C4:C10)</f>
        <v>7</v>
      </c>
    </row>
    <row r="13" customFormat="false" ht="15" hidden="false" customHeight="false" outlineLevel="0" collapsed="false">
      <c r="A13" s="0" t="n">
        <v>100000</v>
      </c>
      <c r="B13" s="8" t="n">
        <f aca="false">SUMPRODUCT(INT(A13/2_Operaciones!G4:G10),2_Operaciones!J4:J10)</f>
        <v>351.8</v>
      </c>
      <c r="C13" s="8" t="n">
        <f aca="false">SUMPRODUCT(INT(A13/2_Operaciones!G4:G10),2_Operaciones!C4:C10)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2026-09-16T05:40:16Z</dcterms:created>
  <dc:creator>openpyxl</dc:creator>
  <dc:description/>
  <dc:language>en-US</dc:language>
  <cp:lastModifiedBy/>
  <dcterms:modified xsi:type="dcterms:W3CDTF">2026-09-16T05:40:18Z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