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charts/chartT1_chart2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tor" sheetId="1" state="visible" r:id="rId1"/>
    <sheet xmlns:r="http://schemas.openxmlformats.org/officeDocument/2006/relationships" name="Cigueñal" sheetId="2" state="visible" r:id="rId2"/>
    <sheet xmlns:r="http://schemas.openxmlformats.org/officeDocument/2006/relationships" name="Segmentos" sheetId="3" state="visible" r:id="rId3"/>
    <sheet xmlns:r="http://schemas.openxmlformats.org/officeDocument/2006/relationships" name="Graficas" sheetId="4" state="visible" r:id="rId4"/>
    <sheet xmlns:r="http://schemas.openxmlformats.org/officeDocument/2006/relationships" name="Retenes_rodamiento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##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1F3864"/>
      <sz val="13"/>
    </font>
    <font>
      <b val="1"/>
    </font>
    <font>
      <b val="1"/>
      <color rgb="FF0000FF"/>
    </font>
    <font>
      <b val="1"/>
      <color rgb="FFFFFFFF"/>
    </font>
    <font>
      <b val="1"/>
      <color rgb="FF000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2" fontId="8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8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1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  <xf numFmtId="165" fontId="15" fillId="6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18" fillId="6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2" fontId="18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8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65911"/>
          <bgColor rgb="00C659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Holgura de aceite con hilo calibrado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Cigueñal!I12</f>
              <strCache>
                <ptCount val="1"/>
                <pt idx="0">
                  <v>Holgura hilo calibrado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Cigueñal!$A$13:$A$21</f>
              <strCache>
                <ptCount val="9"/>
                <pt idx="0">
                  <v>Bancada 1</v>
                </pt>
                <pt idx="1">
                  <v>Bancada 2</v>
                </pt>
                <pt idx="2">
                  <v>Bancada 3</v>
                </pt>
                <pt idx="3">
                  <v>Bancada 4</v>
                </pt>
                <pt idx="4">
                  <v>Bancada 5</v>
                </pt>
                <pt idx="5">
                  <v>Biela 1</v>
                </pt>
                <pt idx="6">
                  <v>Biela 2</v>
                </pt>
                <pt idx="7">
                  <v>Biela 3</v>
                </pt>
                <pt idx="8">
                  <v>Biela 4</v>
                </pt>
              </strCache>
            </strRef>
          </cat>
          <val>
            <numRef>
              <f>Cigueñal!$I$13:$I$21</f>
              <numCache>
                <formatCode>0.000</formatCode>
                <ptCount val="9"/>
                <pt idx="0">
                  <v>0.03</v>
                </pt>
                <pt idx="1">
                  <v>0.035</v>
                </pt>
                <pt idx="2">
                  <v>0.05</v>
                </pt>
                <pt idx="3">
                  <v>0.032</v>
                </pt>
                <pt idx="4">
                  <v>0.028</v>
                </pt>
                <pt idx="5">
                  <v>0.03</v>
                </pt>
                <pt idx="6">
                  <v>0.034</v>
                </pt>
                <pt idx="7">
                  <v>0.07000000000000001</v>
                </pt>
                <pt idx="8">
                  <v>0.029</v>
                </pt>
              </numCache>
            </numRef>
          </val>
        </ser>
        <gapWidth val="150"/>
        <overlap val="0"/>
        <axId val="71686029"/>
        <axId val="19774286"/>
      </barChart>
      <catAx>
        <axId val="7168602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9774286"/>
        <crosses val="autoZero"/>
        <auto val="1"/>
        <lblAlgn val="ctr"/>
        <lblOffset val="100"/>
        <noMultiLvlLbl val="0"/>
      </catAx>
      <valAx>
        <axId val="1977428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168602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Juego entre puntas de segmentos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Segmentos!B11</f>
              <strCache>
                <ptCount val="1"/>
                <pt idx="0">
                  <v>Puntas 1.º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Segmentos!$A$12:$A$15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Segmentos!$B$12:$B$15</f>
              <numCache>
                <formatCode>0.000</formatCode>
                <ptCount val="4"/>
                <pt idx="0">
                  <v>0.3</v>
                </pt>
                <pt idx="1">
                  <v>0.32</v>
                </pt>
                <pt idx="2">
                  <v>0.58</v>
                </pt>
                <pt idx="3">
                  <v>0.28</v>
                </pt>
              </numCache>
            </numRef>
          </val>
        </ser>
        <ser>
          <idx val="1"/>
          <order val="1"/>
          <tx>
            <strRef>
              <f>Segmentos!C11</f>
              <strCache>
                <ptCount val="1"/>
                <pt idx="0">
                  <v>Puntas 2.º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Segmentos!$A$12:$A$15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Segmentos!$C$12:$C$15</f>
              <numCache>
                <formatCode>0.000</formatCode>
                <ptCount val="4"/>
                <pt idx="0">
                  <v>0.45</v>
                </pt>
                <pt idx="1">
                  <v>0.47</v>
                </pt>
                <pt idx="2">
                  <v>0.7</v>
                </pt>
                <pt idx="3">
                  <v>0.44</v>
                </pt>
              </numCache>
            </numRef>
          </val>
        </ser>
        <ser>
          <idx val="2"/>
          <order val="2"/>
          <tx>
            <strRef>
              <f>Segmentos!D11</f>
              <strCache>
                <ptCount val="1"/>
                <pt idx="0">
                  <v>Puntas rascador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Segmentos!$A$12:$A$15</f>
              <strCach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strCache>
            </strRef>
          </cat>
          <val>
            <numRef>
              <f>Segmentos!$D$12:$D$15</f>
              <numCache>
                <formatCode>0.000</formatCode>
                <ptCount val="4"/>
                <pt idx="0">
                  <v>0.35</v>
                </pt>
                <pt idx="1">
                  <v>0.38</v>
                </pt>
                <pt idx="2">
                  <v>0.6</v>
                </pt>
                <pt idx="3">
                  <v>0.34</v>
                </pt>
              </numCache>
            </numRef>
          </val>
        </ser>
        <gapWidth val="150"/>
        <overlap val="0"/>
        <axId val="21541803"/>
        <axId val="39915277"/>
      </barChart>
      <catAx>
        <axId val="215418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9915277"/>
        <crosses val="autoZero"/>
        <auto val="1"/>
        <lblAlgn val="ctr"/>
        <lblOffset val="100"/>
        <noMultiLvlLbl val="0"/>
      </catAx>
      <valAx>
        <axId val="3991527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154180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Holgura de aceite con hilo calibrado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Cigueñal!I12</c:f>
              <c:strCache>
                <c:ptCount val="1"/>
                <c:pt idx="0">
                  <c:v>Holgura hilo calibrado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Cigueñal!$A$13:$A$21</c:f>
              <c:strCache>
                <c:ptCount val="9"/>
                <c:pt idx="0">
                  <c:v>Bancada 1</c:v>
                </c:pt>
                <c:pt idx="1">
                  <c:v>Bancada 2</c:v>
                </c:pt>
                <c:pt idx="2">
                  <c:v>Bancada 3</c:v>
                </c:pt>
                <c:pt idx="3">
                  <c:v>Bancada 4</c:v>
                </c:pt>
                <c:pt idx="4">
                  <c:v>Bancada 5</c:v>
                </c:pt>
                <c:pt idx="5">
                  <c:v>Biela 1</c:v>
                </c:pt>
                <c:pt idx="6">
                  <c:v>Biela 2</c:v>
                </c:pt>
                <c:pt idx="7">
                  <c:v>Biela 3</c:v>
                </c:pt>
                <c:pt idx="8">
                  <c:v>Biela 4</c:v>
                </c:pt>
              </c:strCache>
            </c:strRef>
          </c:cat>
          <c:val>
            <c:numRef>
              <c:f>Cigueñal!$I$13:$I$21</c:f>
              <c:numCache>
                <c:formatCode>0.000</c:formatCode>
                <c:ptCount val="9"/>
                <c:pt idx="0">
                  <c:v>0.03</c:v>
                </c:pt>
                <c:pt idx="1">
                  <c:v>0.035</c:v>
                </c:pt>
                <c:pt idx="2">
                  <c:v>0.05</c:v>
                </c:pt>
                <c:pt idx="3">
                  <c:v>0.032</c:v>
                </c:pt>
                <c:pt idx="4">
                  <c:v>0.028</c:v>
                </c:pt>
                <c:pt idx="5">
                  <c:v>0.03</c:v>
                </c:pt>
                <c:pt idx="6">
                  <c:v>0.034</c:v>
                </c:pt>
                <c:pt idx="7">
                  <c:v>0.07</c:v>
                </c:pt>
                <c:pt idx="8">
                  <c:v>0.029</c:v>
                </c:pt>
              </c:numCache>
            </c:numRef>
          </c:val>
        </c:ser>
        <c:gapWidth val="150"/>
        <c:overlap val="0"/>
        <c:axId val="71686029"/>
        <c:axId val="19774286"/>
      </c:barChart>
      <c:catAx>
        <c:axId val="716860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74286"/>
        <c:crosses val="autoZero"/>
        <c:auto val="1"/>
        <c:lblAlgn val="ctr"/>
        <c:lblOffset val="100"/>
        <c:noMultiLvlLbl val="0"/>
      </c:catAx>
      <c:valAx>
        <c:axId val="197742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860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T1_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Juego entre puntas de segmentos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Segmentos!B11</c:f>
              <c:strCache>
                <c:ptCount val="1"/>
                <c:pt idx="0">
                  <c:v>Puntas 1.º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Segmentos!$A$12:$A$15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Segmentos!$B$12:$B$15</c:f>
              <c:numCache>
                <c:formatCode>0.000</c:formatCode>
                <c:ptCount val="4"/>
                <c:pt idx="0">
                  <c:v>0.3</c:v>
                </c:pt>
                <c:pt idx="1">
                  <c:v>0.32</c:v>
                </c:pt>
                <c:pt idx="2">
                  <c:v>0.58</c:v>
                </c:pt>
                <c:pt idx="3">
                  <c:v>0.28</c:v>
                </c:pt>
              </c:numCache>
            </c:numRef>
          </c:val>
        </c:ser>
        <c:ser>
          <c:idx val="1"/>
          <c:order val="1"/>
          <c:tx>
            <c:strRef>
              <c:f>Segmentos!C11</c:f>
              <c:strCache>
                <c:ptCount val="1"/>
                <c:pt idx="0">
                  <c:v>Puntas 2.º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Segmentos!$A$12:$A$15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Segmentos!$C$12:$C$15</c:f>
              <c:numCache>
                <c:formatCode>0.000</c:formatCode>
                <c:ptCount val="4"/>
                <c:pt idx="0">
                  <c:v>0.45</c:v>
                </c:pt>
                <c:pt idx="1">
                  <c:v>0.47</c:v>
                </c:pt>
                <c:pt idx="2">
                  <c:v>0.7</c:v>
                </c:pt>
                <c:pt idx="3">
                  <c:v>0.44</c:v>
                </c:pt>
              </c:numCache>
            </c:numRef>
          </c:val>
        </c:ser>
        <c:ser>
          <c:idx val="2"/>
          <c:order val="2"/>
          <c:tx>
            <c:strRef>
              <c:f>Segmentos!D11</c:f>
              <c:strCache>
                <c:ptCount val="1"/>
                <c:pt idx="0">
                  <c:v>Puntas rascador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Segmentos!$A$12:$A$15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Segmentos!$D$12:$D$15</c:f>
              <c:numCache>
                <c:formatCode>0.000</c:formatCode>
                <c:ptCount val="4"/>
                <c:pt idx="0">
                  <c:v>0.35</c:v>
                </c:pt>
                <c:pt idx="1">
                  <c:v>0.38</c:v>
                </c:pt>
                <c:pt idx="2">
                  <c:v>0.6</c:v>
                </c:pt>
                <c:pt idx="3">
                  <c:v>0.34</c:v>
                </c:pt>
              </c:numCache>
            </c:numRef>
          </c:val>
        </c:ser>
        <c:gapWidth val="150"/>
        <c:overlap val="0"/>
        <c:axId val="21541803"/>
        <c:axId val="39915277"/>
      </c:barChart>
      <c:catAx>
        <c:axId val="21541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15277"/>
        <c:crosses val="autoZero"/>
        <c:auto val="1"/>
        <c:lblAlgn val="ctr"/>
        <c:lblOffset val="100"/>
        <c:noMultiLvlLbl val="0"/>
      </c:catAx>
      <c:valAx>
        <c:axId val="39915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418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<Relationship Id="rId2" Type="http://schemas.openxmlformats.org/officeDocument/2006/relationships/chart" Target="../charts/chartT1_chart2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364680</colOff>
      <row>16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18</row>
      <rowOff>0</rowOff>
    </from>
    <to>
      <col>10</col>
      <colOff>364680</colOff>
      <row>34</row>
      <rowOff>11520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364680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364680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>
    <tabColor rgb="00C65911"/>
    <outlinePr summaryBelow="1" summaryRight="1"/>
    <pageSetUpPr/>
  </sheetPr>
  <dimension ref="A1:J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style="14" min="1" max="1"/>
    <col width="8" customWidth="1" style="14" min="2" max="2"/>
    <col width="13" customWidth="1" style="14" min="3" max="3"/>
    <col width="13" customWidth="1" style="14" min="4" max="4"/>
    <col width="13" customWidth="1" style="14" min="5" max="5"/>
    <col width="15" customWidth="1" style="14" min="6" max="6"/>
    <col width="13" customWidth="1" style="14" min="7" max="7"/>
    <col width="13" customWidth="1" style="14" min="8" max="8"/>
    <col width="24" customWidth="1" style="14" min="9" max="9"/>
    <col width="60" customWidth="1" style="14" min="10" max="10"/>
  </cols>
  <sheetData>
    <row r="1">
      <c r="A1" s="15" t="inlineStr">
        <is>
          <t>ESPECIFICACIONES DEL FABRICANTE – MOTOR ASIGNADO</t>
        </is>
      </c>
    </row>
    <row r="3">
      <c r="A3" s="16" t="inlineStr">
        <is>
          <t>Motor asignado (elija de la lista):</t>
        </is>
      </c>
      <c r="C3" s="17" t="inlineStr">
        <is>
          <t>Daihatsu CB-20</t>
        </is>
      </c>
      <c r="D3" s="18" t="n"/>
      <c r="E3" s="19" t="n"/>
    </row>
    <row r="4" ht="45" customHeight="1" s="14">
      <c r="A4" s="20" t="inlineStr">
        <is>
          <t>Las celdas verdes de las demás hojas toman el «Valor aplicado» de esta tabla. Cuando el manual da un límite de servicio, el máximo/mínimo es ese límite. Si el manual del motor no especifica el dato, se aplica el valor orientativo y la columna «Origen» lo indica.</t>
        </is>
      </c>
    </row>
    <row r="6" ht="32" customHeight="1" s="14">
      <c r="A6" s="21" t="inlineStr">
        <is>
          <t>Comprobación</t>
        </is>
      </c>
      <c r="B6" s="21" t="inlineStr">
        <is>
          <t>Unidad</t>
        </is>
      </c>
      <c r="C6" s="21" t="inlineStr">
        <is>
          <t>Daihatsu CB-20</t>
        </is>
      </c>
      <c r="D6" s="21" t="inlineStr">
        <is>
          <t>Nissan A14</t>
        </is>
      </c>
      <c r="E6" s="21" t="inlineStr">
        <is>
          <t>Hyundai G4EC</t>
        </is>
      </c>
      <c r="F6" s="21" t="inlineStr">
        <is>
          <t>Chevrolet Monza 2.0</t>
        </is>
      </c>
      <c r="G6" s="21" t="inlineStr">
        <is>
          <t>Valor orientativo</t>
        </is>
      </c>
      <c r="H6" s="21" t="inlineStr">
        <is>
          <t>Valor aplicado</t>
        </is>
      </c>
      <c r="I6" s="21" t="inlineStr">
        <is>
          <t>Origen</t>
        </is>
      </c>
      <c r="J6" s="21" t="inlineStr">
        <is>
          <t>Fuente en el manual</t>
        </is>
      </c>
    </row>
    <row r="7">
      <c r="A7" s="22" t="inlineStr">
        <is>
          <t>Ø nominal (máx.) del muñón de bancada</t>
        </is>
      </c>
      <c r="B7" s="23" t="inlineStr">
        <is>
          <t>mm</t>
        </is>
      </c>
      <c r="C7" s="24" t="n">
        <v>42</v>
      </c>
      <c r="D7" s="24" t="n">
        <v>49.964</v>
      </c>
      <c r="E7" s="24" t="n">
        <v>50</v>
      </c>
      <c r="F7" s="24" t="n">
        <v>57.995</v>
      </c>
      <c r="G7" s="24" t="n">
        <v>54.985</v>
      </c>
      <c r="H7" s="25">
        <f>IF(ISNUMBER(INDEX($C7:$F7,MATCH($C$3,$C$6:$F$6,0))),INDEX($C7:$F7,MATCH($C$3,$C$6:$F$6,0)),IF(INDEX($C7:$F7,MATCH($C$3,$C$6:$F$6,0))&lt;&gt;"","",IF($G7="","",$G7)))</f>
        <v/>
      </c>
      <c r="I7" s="22">
        <f>IF(ISNUMBER(INDEX($C7:$F7,MATCH($C$3,$C$6:$F$6,0))),"Manual",IF(INDEX($C7:$F7,MATCH($C$3,$C$6:$F$6,0))&lt;&gt;"","No aplica a este motor",IF($G7="","Sin dato","Orientativo: el manual no lo especifica")))</f>
        <v/>
      </c>
      <c r="J7" s="22" t="inlineStr">
        <is>
          <t>Daihatsu Type CB, pp. 13-5 a 13-9 (col. CB-23/CB-61, mismo bloque y culata); Haynes p. 20; Hyundai (nominal); GM Monza, pp. 6Z-01 a 6Z-03</t>
        </is>
      </c>
    </row>
    <row r="8">
      <c r="A8" s="22" t="inlineStr">
        <is>
          <t>Ø mínimo del muñón de bancada</t>
        </is>
      </c>
      <c r="B8" s="23" t="inlineStr">
        <is>
          <t>mm</t>
        </is>
      </c>
      <c r="C8" s="24" t="n">
        <v>41.976</v>
      </c>
      <c r="D8" s="24" t="n">
        <v>49.951</v>
      </c>
      <c r="E8" s="24" t="n"/>
      <c r="F8" s="24" t="n">
        <v>57.982</v>
      </c>
      <c r="G8" s="24" t="n">
        <v>54.97</v>
      </c>
      <c r="H8" s="25">
        <f>IF(ISNUMBER(INDEX($C8:$F8,MATCH($C$3,$C$6:$F$6,0))),INDEX($C8:$F8,MATCH($C$3,$C$6:$F$6,0)),IF(INDEX($C8:$F8,MATCH($C$3,$C$6:$F$6,0))&lt;&gt;"","",IF($G8="","",$G8)))</f>
        <v/>
      </c>
      <c r="I8" s="22">
        <f>IF(ISNUMBER(INDEX($C8:$F8,MATCH($C$3,$C$6:$F$6,0))),"Manual",IF(INDEX($C8:$F8,MATCH($C$3,$C$6:$F$6,0))&lt;&gt;"","No aplica a este motor",IF($G8="","Sin dato","Orientativo: el manual no lo especifica")))</f>
        <v/>
      </c>
      <c r="J8" s="22" t="inlineStr">
        <is>
          <t>Daihatsu Type CB, pp. 13-5 a 13-9 (col. CB-23/CB-61, mismo bloque y culata); Haynes p. 20; GM Monza, pp. 6Z-01 a 6Z-03</t>
        </is>
      </c>
    </row>
    <row r="9">
      <c r="A9" s="22" t="inlineStr">
        <is>
          <t>Ø nominal (máx.) de la muñequilla</t>
        </is>
      </c>
      <c r="B9" s="23" t="inlineStr">
        <is>
          <t>mm</t>
        </is>
      </c>
      <c r="C9" s="24" t="n">
        <v>40</v>
      </c>
      <c r="D9" s="24" t="n">
        <v>44.974</v>
      </c>
      <c r="E9" s="24" t="n">
        <v>45</v>
      </c>
      <c r="F9" s="24" t="n">
        <v>48.987</v>
      </c>
      <c r="G9" s="24" t="n">
        <v>44.985</v>
      </c>
      <c r="H9" s="25">
        <f>IF(ISNUMBER(INDEX($C9:$F9,MATCH($C$3,$C$6:$F$6,0))),INDEX($C9:$F9,MATCH($C$3,$C$6:$F$6,0)),IF(INDEX($C9:$F9,MATCH($C$3,$C$6:$F$6,0))&lt;&gt;"","",IF($G9="","",$G9)))</f>
        <v/>
      </c>
      <c r="I9" s="22">
        <f>IF(ISNUMBER(INDEX($C9:$F9,MATCH($C$3,$C$6:$F$6,0))),"Manual",IF(INDEX($C9:$F9,MATCH($C$3,$C$6:$F$6,0))&lt;&gt;"","No aplica a este motor",IF($G9="","Sin dato","Orientativo: el manual no lo especifica")))</f>
        <v/>
      </c>
      <c r="J9" s="22" t="inlineStr">
        <is>
          <t>Daihatsu Type CB, pp. 13-5 a 13-9 (col. CB-23/CB-61, mismo bloque y culata); Haynes p. 20; Hyundai (nominal); GM Monza, pp. 6Z-01 a 6Z-03</t>
        </is>
      </c>
    </row>
    <row r="10">
      <c r="A10" s="22" t="inlineStr">
        <is>
          <t>Ø mínimo de la muñequilla</t>
        </is>
      </c>
      <c r="B10" s="23" t="inlineStr">
        <is>
          <t>mm</t>
        </is>
      </c>
      <c r="C10" s="24" t="n">
        <v>39.976</v>
      </c>
      <c r="D10" s="24" t="n">
        <v>44.961</v>
      </c>
      <c r="E10" s="24" t="n"/>
      <c r="F10" s="24" t="n">
        <v>48.971</v>
      </c>
      <c r="G10" s="24" t="n">
        <v>44.97</v>
      </c>
      <c r="H10" s="25">
        <f>IF(ISNUMBER(INDEX($C10:$F10,MATCH($C$3,$C$6:$F$6,0))),INDEX($C10:$F10,MATCH($C$3,$C$6:$F$6,0)),IF(INDEX($C10:$F10,MATCH($C$3,$C$6:$F$6,0))&lt;&gt;"","",IF($G10="","",$G10)))</f>
        <v/>
      </c>
      <c r="I10" s="22">
        <f>IF(ISNUMBER(INDEX($C10:$F10,MATCH($C$3,$C$6:$F$6,0))),"Manual",IF(INDEX($C10:$F10,MATCH($C$3,$C$6:$F$6,0))&lt;&gt;"","No aplica a este motor",IF($G10="","Sin dato","Orientativo: el manual no lo especifica")))</f>
        <v/>
      </c>
      <c r="J10" s="22" t="inlineStr">
        <is>
          <t>Daihatsu Type CB, pp. 13-5 a 13-9 (col. CB-23/CB-61, mismo bloque y culata); Haynes p. 20; GM Monza, pp. 6Z-01 a 6Z-03</t>
        </is>
      </c>
    </row>
    <row r="11">
      <c r="A11" s="22" t="inlineStr">
        <is>
          <t>Ovalización/conicidad máx. de muñones y muñequillas</t>
        </is>
      </c>
      <c r="B11" s="23" t="inlineStr">
        <is>
          <t>mm</t>
        </is>
      </c>
      <c r="C11" s="24" t="n">
        <v>0.01</v>
      </c>
      <c r="D11" s="24" t="n">
        <v>0.005</v>
      </c>
      <c r="E11" s="24" t="n">
        <v>0.005</v>
      </c>
      <c r="F11" s="24" t="n">
        <v>0.004</v>
      </c>
      <c r="G11" s="24" t="n">
        <v>0.008</v>
      </c>
      <c r="H11" s="25">
        <f>IF(ISNUMBER(INDEX($C11:$F11,MATCH($C$3,$C$6:$F$6,0))),INDEX($C11:$F11,MATCH($C$3,$C$6:$F$6,0)),IF(INDEX($C11:$F11,MATCH($C$3,$C$6:$F$6,0))&lt;&gt;"","",IF($G11="","",$G11)))</f>
        <v/>
      </c>
      <c r="I11" s="22">
        <f>IF(ISNUMBER(INDEX($C11:$F11,MATCH($C$3,$C$6:$F$6,0))),"Manual",IF(INDEX($C11:$F11,MATCH($C$3,$C$6:$F$6,0))&lt;&gt;"","No aplica a este motor",IF($G11="","Sin dato","Orientativo: el manual no lo especifica")))</f>
        <v/>
      </c>
      <c r="J11" s="22" t="inlineStr">
        <is>
          <t>Daihatsu Type CB, pp. 13-5 a 13-9 (col. CB-23/CB-61, mismo bloque y culata); Haynes p. 20; Hyundai Accent LC 1.6 DOHC (familia Alpha), EM General Information; GM Monza, pp. 6Z-01 a 6Z-03</t>
        </is>
      </c>
    </row>
    <row r="12">
      <c r="A12" s="22" t="inlineStr">
        <is>
          <t>Holgura de aceite de cojinetes – mín.</t>
        </is>
      </c>
      <c r="B12" s="23" t="inlineStr">
        <is>
          <t>mm</t>
        </is>
      </c>
      <c r="C12" s="24" t="n">
        <v>0.02</v>
      </c>
      <c r="D12" s="24" t="n">
        <v>0.02</v>
      </c>
      <c r="E12" s="24" t="n">
        <v>0.018</v>
      </c>
      <c r="F12" s="24" t="n">
        <v>0.015</v>
      </c>
      <c r="G12" s="24" t="n">
        <v>0.02</v>
      </c>
      <c r="H12" s="25">
        <f>IF(ISNUMBER(INDEX($C12:$F12,MATCH($C$3,$C$6:$F$6,0))),INDEX($C12:$F12,MATCH($C$3,$C$6:$F$6,0)),IF(INDEX($C12:$F12,MATCH($C$3,$C$6:$F$6,0))&lt;&gt;"","",IF($G12="","",$G12)))</f>
        <v/>
      </c>
      <c r="I12" s="22">
        <f>IF(ISNUMBER(INDEX($C12:$F12,MATCH($C$3,$C$6:$F$6,0))),"Manual",IF(INDEX($C12:$F12,MATCH($C$3,$C$6:$F$6,0))&lt;&gt;"","No aplica a este motor",IF($G12="","Sin dato","Orientativo: el manual no lo especifica")))</f>
        <v/>
      </c>
      <c r="J12" s="22" t="inlineStr">
        <is>
          <t>CB; A14 y Hyundai: cojinete de biela; Monza: bancada</t>
        </is>
      </c>
    </row>
    <row r="13">
      <c r="A13" s="22" t="inlineStr">
        <is>
          <t>Holgura de aceite de cojinetes – máx.</t>
        </is>
      </c>
      <c r="B13" s="23" t="inlineStr">
        <is>
          <t>mm</t>
        </is>
      </c>
      <c r="C13" s="24" t="n">
        <v>0.07000000000000001</v>
      </c>
      <c r="D13" s="24" t="n">
        <v>0.1</v>
      </c>
      <c r="E13" s="24" t="n">
        <v>0.036</v>
      </c>
      <c r="F13" s="24" t="n">
        <v>0.041</v>
      </c>
      <c r="G13" s="24" t="n">
        <v>0.06</v>
      </c>
      <c r="H13" s="25">
        <f>IF(ISNUMBER(INDEX($C13:$F13,MATCH($C$3,$C$6:$F$6,0))),INDEX($C13:$F13,MATCH($C$3,$C$6:$F$6,0)),IF(INDEX($C13:$F13,MATCH($C$3,$C$6:$F$6,0))&lt;&gt;"","",IF($G13="","",$G13)))</f>
        <v/>
      </c>
      <c r="I13" s="22">
        <f>IF(ISNUMBER(INDEX($C13:$F13,MATCH($C$3,$C$6:$F$6,0))),"Manual",IF(INDEX($C13:$F13,MATCH($C$3,$C$6:$F$6,0))&lt;&gt;"","No aplica a este motor",IF($G13="","Sin dato","Orientativo: el manual no lo especifica")))</f>
        <v/>
      </c>
      <c r="J13" s="22" t="inlineStr">
        <is>
          <t>CB: límite; A14: desgaste máx. (Haynes p. 20); Hyundai; Monza</t>
        </is>
      </c>
    </row>
    <row r="14">
      <c r="A14" s="22" t="inlineStr">
        <is>
          <t>Juego axial del cigüeñal – mín.</t>
        </is>
      </c>
      <c r="B14" s="23" t="inlineStr">
        <is>
          <t>mm</t>
        </is>
      </c>
      <c r="C14" s="24" t="n">
        <v>0.02</v>
      </c>
      <c r="D14" s="24" t="n">
        <v>0.05</v>
      </c>
      <c r="E14" s="24" t="n">
        <v>0.05</v>
      </c>
      <c r="F14" s="24" t="n">
        <v>0.07000000000000001</v>
      </c>
      <c r="G14" s="24" t="n">
        <v>0.05</v>
      </c>
      <c r="H14" s="25">
        <f>IF(ISNUMBER(INDEX($C14:$F14,MATCH($C$3,$C$6:$F$6,0))),INDEX($C14:$F14,MATCH($C$3,$C$6:$F$6,0)),IF(INDEX($C14:$F14,MATCH($C$3,$C$6:$F$6,0))&lt;&gt;"","",IF($G14="","",$G14)))</f>
        <v/>
      </c>
      <c r="I14" s="22">
        <f>IF(ISNUMBER(INDEX($C14:$F14,MATCH($C$3,$C$6:$F$6,0))),"Manual",IF(INDEX($C14:$F14,MATCH($C$3,$C$6:$F$6,0))&lt;&gt;"","No aplica a este motor",IF($G14="","Sin dato","Orientativo: el manual no lo especifica")))</f>
        <v/>
      </c>
      <c r="J14" s="22" t="inlineStr">
        <is>
          <t>Daihatsu Type CB, pp. 13-5 a 13-9 (col. CB-23/CB-61, mismo bloque y culata); Haynes p. 20; Hyundai; Monza</t>
        </is>
      </c>
    </row>
    <row r="15">
      <c r="A15" s="22" t="inlineStr">
        <is>
          <t>Juego axial del cigüeñal – máx.</t>
        </is>
      </c>
      <c r="B15" s="23" t="inlineStr">
        <is>
          <t>mm</t>
        </is>
      </c>
      <c r="C15" s="24" t="n">
        <v>0.3</v>
      </c>
      <c r="D15" s="24" t="n">
        <v>0.3</v>
      </c>
      <c r="E15" s="24" t="n">
        <v>0.175</v>
      </c>
      <c r="F15" s="24" t="n">
        <v>0.302</v>
      </c>
      <c r="G15" s="24" t="n">
        <v>0.25</v>
      </c>
      <c r="H15" s="25">
        <f>IF(ISNUMBER(INDEX($C15:$F15,MATCH($C$3,$C$6:$F$6,0))),INDEX($C15:$F15,MATCH($C$3,$C$6:$F$6,0)),IF(INDEX($C15:$F15,MATCH($C$3,$C$6:$F$6,0))&lt;&gt;"","",IF($G15="","",$G15)))</f>
        <v/>
      </c>
      <c r="I15" s="22">
        <f>IF(ISNUMBER(INDEX($C15:$F15,MATCH($C$3,$C$6:$F$6,0))),"Manual",IF(INDEX($C15:$F15,MATCH($C$3,$C$6:$F$6,0))&lt;&gt;"","No aplica a este motor",IF($G15="","Sin dato","Orientativo: el manual no lo especifica")))</f>
        <v/>
      </c>
      <c r="J15" s="22" t="inlineStr">
        <is>
          <t>CB y A14: límite; Hyundai; Monza</t>
        </is>
      </c>
    </row>
    <row r="16">
      <c r="A16" s="22" t="inlineStr">
        <is>
          <t>Juego entre puntas 1.er segmento – mín.</t>
        </is>
      </c>
      <c r="B16" s="23" t="inlineStr">
        <is>
          <t>mm</t>
        </is>
      </c>
      <c r="C16" s="24" t="n">
        <v>0.2</v>
      </c>
      <c r="D16" s="24" t="n">
        <v>0.2</v>
      </c>
      <c r="E16" s="24" t="n">
        <v>0.2</v>
      </c>
      <c r="F16" s="24" t="n">
        <v>0.2</v>
      </c>
      <c r="G16" s="24" t="n">
        <v>0.2</v>
      </c>
      <c r="H16" s="25">
        <f>IF(ISNUMBER(INDEX($C16:$F16,MATCH($C$3,$C$6:$F$6,0))),INDEX($C16:$F16,MATCH($C$3,$C$6:$F$6,0)),IF(INDEX($C16:$F16,MATCH($C$3,$C$6:$F$6,0))&lt;&gt;"","",IF($G16="","",$G16)))</f>
        <v/>
      </c>
      <c r="I16" s="22">
        <f>IF(ISNUMBER(INDEX($C16:$F16,MATCH($C$3,$C$6:$F$6,0))),"Manual",IF(INDEX($C16:$F16,MATCH($C$3,$C$6:$F$6,0))&lt;&gt;"","No aplica a este motor",IF($G16="","Sin dato","Orientativo: el manual no lo especifica")))</f>
        <v/>
      </c>
      <c r="J16" s="22" t="inlineStr">
        <is>
          <t>Daihatsu Type CB, pp. 13-5 a 13-9 (col. CB-23/CB-61, mismo bloque y culata); Haynes p. 20; Hyundai; Monza</t>
        </is>
      </c>
    </row>
    <row r="17">
      <c r="A17" s="22" t="inlineStr">
        <is>
          <t>Juego entre puntas 1.er segmento – máx.</t>
        </is>
      </c>
      <c r="B17" s="23" t="inlineStr">
        <is>
          <t>mm</t>
        </is>
      </c>
      <c r="C17" s="24" t="n">
        <v>0.7</v>
      </c>
      <c r="D17" s="24" t="n">
        <v>0.35</v>
      </c>
      <c r="E17" s="24" t="n">
        <v>1</v>
      </c>
      <c r="F17" s="24" t="n">
        <v>0.4</v>
      </c>
      <c r="G17" s="24" t="n">
        <v>0.5</v>
      </c>
      <c r="H17" s="25">
        <f>IF(ISNUMBER(INDEX($C17:$F17,MATCH($C$3,$C$6:$F$6,0))),INDEX($C17:$F17,MATCH($C$3,$C$6:$F$6,0)),IF(INDEX($C17:$F17,MATCH($C$3,$C$6:$F$6,0))&lt;&gt;"","",IF($G17="","",$G17)))</f>
        <v/>
      </c>
      <c r="I17" s="22">
        <f>IF(ISNUMBER(INDEX($C17:$F17,MATCH($C$3,$C$6:$F$6,0))),"Manual",IF(INDEX($C17:$F17,MATCH($C$3,$C$6:$F$6,0))&lt;&gt;"","No aplica a este motor",IF($G17="","Sin dato","Orientativo: el manual no lo especifica")))</f>
        <v/>
      </c>
      <c r="J17" s="22" t="inlineStr">
        <is>
          <t>CB y Hyundai: límite</t>
        </is>
      </c>
    </row>
    <row r="18">
      <c r="A18" s="22" t="inlineStr">
        <is>
          <t>Juego entre puntas 2.º segmento – mín.</t>
        </is>
      </c>
      <c r="B18" s="23" t="inlineStr">
        <is>
          <t>mm</t>
        </is>
      </c>
      <c r="C18" s="24" t="n">
        <v>0.2</v>
      </c>
      <c r="D18" s="24" t="n">
        <v>0.15</v>
      </c>
      <c r="E18" s="24" t="n">
        <v>0.37</v>
      </c>
      <c r="F18" s="24" t="n">
        <v>0.2</v>
      </c>
      <c r="G18" s="24" t="n">
        <v>0.35</v>
      </c>
      <c r="H18" s="25">
        <f>IF(ISNUMBER(INDEX($C18:$F18,MATCH($C$3,$C$6:$F$6,0))),INDEX($C18:$F18,MATCH($C$3,$C$6:$F$6,0)),IF(INDEX($C18:$F18,MATCH($C$3,$C$6:$F$6,0))&lt;&gt;"","",IF($G18="","",$G18)))</f>
        <v/>
      </c>
      <c r="I18" s="22">
        <f>IF(ISNUMBER(INDEX($C18:$F18,MATCH($C$3,$C$6:$F$6,0))),"Manual",IF(INDEX($C18:$F18,MATCH($C$3,$C$6:$F$6,0))&lt;&gt;"","No aplica a este motor",IF($G18="","Sin dato","Orientativo: el manual no lo especifica")))</f>
        <v/>
      </c>
      <c r="J18" s="22" t="inlineStr">
        <is>
          <t>Ídem</t>
        </is>
      </c>
    </row>
    <row r="19">
      <c r="A19" s="22" t="inlineStr">
        <is>
          <t>Juego entre puntas 2.º segmento – máx.</t>
        </is>
      </c>
      <c r="B19" s="23" t="inlineStr">
        <is>
          <t>mm</t>
        </is>
      </c>
      <c r="C19" s="24" t="n">
        <v>0.7</v>
      </c>
      <c r="D19" s="24" t="n">
        <v>0.3</v>
      </c>
      <c r="E19" s="24" t="n">
        <v>1</v>
      </c>
      <c r="F19" s="24" t="n">
        <v>0.4</v>
      </c>
      <c r="G19" s="24" t="n">
        <v>0.65</v>
      </c>
      <c r="H19" s="25">
        <f>IF(ISNUMBER(INDEX($C19:$F19,MATCH($C$3,$C$6:$F$6,0))),INDEX($C19:$F19,MATCH($C$3,$C$6:$F$6,0)),IF(INDEX($C19:$F19,MATCH($C$3,$C$6:$F$6,0))&lt;&gt;"","",IF($G19="","",$G19)))</f>
        <v/>
      </c>
      <c r="I19" s="22">
        <f>IF(ISNUMBER(INDEX($C19:$F19,MATCH($C$3,$C$6:$F$6,0))),"Manual",IF(INDEX($C19:$F19,MATCH($C$3,$C$6:$F$6,0))&lt;&gt;"","No aplica a este motor",IF($G19="","Sin dato","Orientativo: el manual no lo especifica")))</f>
        <v/>
      </c>
      <c r="J19" s="22" t="inlineStr">
        <is>
          <t>CB y Hyundai: límite</t>
        </is>
      </c>
    </row>
    <row r="20">
      <c r="A20" s="22" t="inlineStr">
        <is>
          <t>Juego entre puntas rascador – mín.</t>
        </is>
      </c>
      <c r="B20" s="23" t="inlineStr">
        <is>
          <t>mm</t>
        </is>
      </c>
      <c r="C20" s="24" t="n">
        <v>0.2</v>
      </c>
      <c r="D20" s="24" t="n">
        <v>0.3</v>
      </c>
      <c r="E20" s="24" t="n">
        <v>0.2</v>
      </c>
      <c r="F20" s="24" t="n">
        <v>0.38</v>
      </c>
      <c r="G20" s="24" t="n">
        <v>0.2</v>
      </c>
      <c r="H20" s="25">
        <f>IF(ISNUMBER(INDEX($C20:$F20,MATCH($C$3,$C$6:$F$6,0))),INDEX($C20:$F20,MATCH($C$3,$C$6:$F$6,0)),IF(INDEX($C20:$F20,MATCH($C$3,$C$6:$F$6,0))&lt;&gt;"","",IF($G20="","",$G20)))</f>
        <v/>
      </c>
      <c r="I20" s="22">
        <f>IF(ISNUMBER(INDEX($C20:$F20,MATCH($C$3,$C$6:$F$6,0))),"Manual",IF(INDEX($C20:$F20,MATCH($C$3,$C$6:$F$6,0))&lt;&gt;"","No aplica a este motor",IF($G20="","Sin dato","Orientativo: el manual no lo especifica")))</f>
        <v/>
      </c>
      <c r="J20" s="22" t="inlineStr">
        <is>
          <t>Ídem</t>
        </is>
      </c>
    </row>
    <row r="21">
      <c r="A21" s="22" t="inlineStr">
        <is>
          <t>Juego entre puntas rascador – máx.</t>
        </is>
      </c>
      <c r="B21" s="23" t="inlineStr">
        <is>
          <t>mm</t>
        </is>
      </c>
      <c r="C21" s="24" t="n">
        <v>1.1</v>
      </c>
      <c r="D21" s="24" t="n">
        <v>0.9</v>
      </c>
      <c r="E21" s="24" t="n">
        <v>1</v>
      </c>
      <c r="F21" s="24" t="n">
        <v>1.4</v>
      </c>
      <c r="G21" s="24" t="n">
        <v>0.7</v>
      </c>
      <c r="H21" s="25">
        <f>IF(ISNUMBER(INDEX($C21:$F21,MATCH($C$3,$C$6:$F$6,0))),INDEX($C21:$F21,MATCH($C$3,$C$6:$F$6,0)),IF(INDEX($C21:$F21,MATCH($C$3,$C$6:$F$6,0))&lt;&gt;"","",IF($G21="","",$G21)))</f>
        <v/>
      </c>
      <c r="I21" s="22">
        <f>IF(ISNUMBER(INDEX($C21:$F21,MATCH($C$3,$C$6:$F$6,0))),"Manual",IF(INDEX($C21:$F21,MATCH($C$3,$C$6:$F$6,0))&lt;&gt;"","No aplica a este motor",IF($G21="","Sin dato","Orientativo: el manual no lo especifica")))</f>
        <v/>
      </c>
      <c r="J21" s="22" t="inlineStr">
        <is>
          <t>CB y Hyundai: límite</t>
        </is>
      </c>
    </row>
    <row r="22">
      <c r="A22" s="22" t="inlineStr">
        <is>
          <t>Juego en la ranura (1.er segmento) – mín.</t>
        </is>
      </c>
      <c r="B22" s="23" t="inlineStr">
        <is>
          <t>mm</t>
        </is>
      </c>
      <c r="C22" s="24" t="n">
        <v>0.03</v>
      </c>
      <c r="D22" s="24" t="n">
        <v>0.04</v>
      </c>
      <c r="E22" s="24" t="n">
        <v>0.04</v>
      </c>
      <c r="F22" s="24" t="n">
        <v>0.06</v>
      </c>
      <c r="G22" s="24" t="n">
        <v>0.02</v>
      </c>
      <c r="H22" s="25">
        <f>IF(ISNUMBER(INDEX($C22:$F22,MATCH($C$3,$C$6:$F$6,0))),INDEX($C22:$F22,MATCH($C$3,$C$6:$F$6,0)),IF(INDEX($C22:$F22,MATCH($C$3,$C$6:$F$6,0))&lt;&gt;"","",IF($G22="","",$G22)))</f>
        <v/>
      </c>
      <c r="I22" s="22">
        <f>IF(ISNUMBER(INDEX($C22:$F22,MATCH($C$3,$C$6:$F$6,0))),"Manual",IF(INDEX($C22:$F22,MATCH($C$3,$C$6:$F$6,0))&lt;&gt;"","No aplica a este motor",IF($G22="","Sin dato","Orientativo: el manual no lo especifica")))</f>
        <v/>
      </c>
      <c r="J22" s="22" t="inlineStr">
        <is>
          <t>Ídem</t>
        </is>
      </c>
    </row>
    <row r="23">
      <c r="A23" s="22" t="inlineStr">
        <is>
          <t>Juego en la ranura (1.er segmento) – máx.</t>
        </is>
      </c>
      <c r="B23" s="23" t="inlineStr">
        <is>
          <t>mm</t>
        </is>
      </c>
      <c r="C23" s="24" t="n">
        <v>0.12</v>
      </c>
      <c r="D23" s="24" t="n">
        <v>0.07000000000000001</v>
      </c>
      <c r="E23" s="24" t="n">
        <v>0.1</v>
      </c>
      <c r="F23" s="24" t="n">
        <v>0.092</v>
      </c>
      <c r="G23" s="24" t="n">
        <v>0.08</v>
      </c>
      <c r="H23" s="25">
        <f>IF(ISNUMBER(INDEX($C23:$F23,MATCH($C$3,$C$6:$F$6,0))),INDEX($C23:$F23,MATCH($C$3,$C$6:$F$6,0)),IF(INDEX($C23:$F23,MATCH($C$3,$C$6:$F$6,0))&lt;&gt;"","",IF($G23="","",$G23)))</f>
        <v/>
      </c>
      <c r="I23" s="22">
        <f>IF(ISNUMBER(INDEX($C23:$F23,MATCH($C$3,$C$6:$F$6,0))),"Manual",IF(INDEX($C23:$F23,MATCH($C$3,$C$6:$F$6,0))&lt;&gt;"","No aplica a este motor",IF($G23="","Sin dato","Orientativo: el manual no lo especifica")))</f>
        <v/>
      </c>
      <c r="J23" s="22" t="inlineStr">
        <is>
          <t>CB y Hyundai: límite</t>
        </is>
      </c>
    </row>
    <row r="24">
      <c r="A24" s="22" t="inlineStr">
        <is>
          <t>Holgura pistón–cilindro – mín.</t>
        </is>
      </c>
      <c r="B24" s="23" t="inlineStr">
        <is>
          <t>mm</t>
        </is>
      </c>
      <c r="C24" s="24" t="n">
        <v>0.035</v>
      </c>
      <c r="D24" s="24" t="n"/>
      <c r="E24" s="24" t="n">
        <v>0.025</v>
      </c>
      <c r="F24" s="24" t="n">
        <v>0.01</v>
      </c>
      <c r="G24" s="24" t="n">
        <v>0.02</v>
      </c>
      <c r="H24" s="25">
        <f>IF(ISNUMBER(INDEX($C24:$F24,MATCH($C$3,$C$6:$F$6,0))),INDEX($C24:$F24,MATCH($C$3,$C$6:$F$6,0)),IF(INDEX($C24:$F24,MATCH($C$3,$C$6:$F$6,0))&lt;&gt;"","",IF($G24="","",$G24)))</f>
        <v/>
      </c>
      <c r="I24" s="22">
        <f>IF(ISNUMBER(INDEX($C24:$F24,MATCH($C$3,$C$6:$F$6,0))),"Manual",IF(INDEX($C24:$F24,MATCH($C$3,$C$6:$F$6,0))&lt;&gt;"","No aplica a este motor",IF($G24="","Sin dato","Orientativo: el manual no lo especifica")))</f>
        <v/>
      </c>
      <c r="J24" s="22" t="inlineStr">
        <is>
          <t>CB; Hyundai; Monza (falda)</t>
        </is>
      </c>
    </row>
    <row r="25">
      <c r="A25" s="22" t="inlineStr">
        <is>
          <t>Holgura pistón–cilindro – máx.</t>
        </is>
      </c>
      <c r="B25" s="23" t="inlineStr">
        <is>
          <t>mm</t>
        </is>
      </c>
      <c r="C25" s="24" t="n">
        <v>0.12</v>
      </c>
      <c r="D25" s="24" t="n"/>
      <c r="E25" s="24" t="n">
        <v>0.045</v>
      </c>
      <c r="F25" s="24" t="n">
        <v>0.03</v>
      </c>
      <c r="G25" s="24" t="n">
        <v>0.06</v>
      </c>
      <c r="H25" s="25">
        <f>IF(ISNUMBER(INDEX($C25:$F25,MATCH($C$3,$C$6:$F$6,0))),INDEX($C25:$F25,MATCH($C$3,$C$6:$F$6,0)),IF(INDEX($C25:$F25,MATCH($C$3,$C$6:$F$6,0))&lt;&gt;"","",IF($G25="","",$G25)))</f>
        <v/>
      </c>
      <c r="I25" s="22">
        <f>IF(ISNUMBER(INDEX($C25:$F25,MATCH($C$3,$C$6:$F$6,0))),"Manual",IF(INDEX($C25:$F25,MATCH($C$3,$C$6:$F$6,0))&lt;&gt;"","No aplica a este motor",IF($G25="","Sin dato","Orientativo: el manual no lo especifica")))</f>
        <v/>
      </c>
      <c r="J25" s="22" t="inlineStr">
        <is>
          <t>CB: límite; Hyundai; Monza</t>
        </is>
      </c>
    </row>
    <row r="27" ht="48" customHeight="1" s="14">
      <c r="A27" s="20" t="inlineStr">
        <is>
          <t>Fuentes: Daihatsu Motor Co. (1987), Workshop manual Type CB engine; Daihatsu Motor Sales (1979), Technical information Charade (CB-20); Jones (1988), Haynes Datsun Sunny (A14); Hyundai Motor Company (2001), Accent LC G 1.6 DOHC (familia Alpha, como el G4EC); General Motors do Brasil (1990), Monza: Manual de reparações. Conversiones: 1 kg/cm² = 0,980665 bar; 1 kg·m = 9,80665 N·m.</t>
        </is>
      </c>
    </row>
  </sheetData>
  <mergeCells count="3">
    <mergeCell ref="A27:J27"/>
    <mergeCell ref="C3:E3"/>
    <mergeCell ref="A4:J4"/>
  </mergeCells>
  <conditionalFormatting sqref="C7:F25">
    <cfRule type="expression" priority="1" dxfId="0">
      <formula>C$6=$C$3</formula>
    </cfRule>
  </conditionalFormatting>
  <conditionalFormatting sqref="C6:F6">
    <cfRule type="expression" priority="2" dxfId="1">
      <formula>C$6=$C$3</formula>
    </cfRule>
  </conditionalFormatting>
  <dataValidations count="1">
    <dataValidation sqref="C3" showDropDown="0" showInputMessage="0" showErrorMessage="1" allowBlank="0" errorTitle="Motor no válido" error="Elija uno de los cuatro motores del laboratorio." type="list">
      <formula1>"Daihatsu CB-20,Nissan A14,Hyundai G4EC,Chevrolet Monza 2.0"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6" min="1" max="1"/>
    <col width="14" customWidth="1" style="26" min="2" max="5"/>
    <col width="10" customWidth="1" style="26" min="6" max="6"/>
    <col width="12" customWidth="1" style="26" min="7" max="8"/>
    <col width="20" customWidth="1" style="26" min="9" max="9"/>
    <col width="28" customWidth="1" style="26" min="10" max="10"/>
  </cols>
  <sheetData>
    <row r="1" ht="17.35" customHeight="1" s="14">
      <c r="A1" s="27" t="inlineStr">
        <is>
          <t>SFM GUÍA 16 – TREN ALTERNATIVO</t>
        </is>
      </c>
    </row>
    <row r="2" ht="15" customHeight="1" s="14">
      <c r="A2" s="28" t="inlineStr">
        <is>
          <t>Diámetros, conicidad, ovalización y holguras con hilo calibrado</t>
        </is>
      </c>
    </row>
    <row r="3" ht="15" customHeight="1" s="14">
      <c r="A3" s="29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4">
      <c r="A4" s="30" t="inlineStr">
        <is>
          <t>Ø nominal muñón de bancada (mm)</t>
        </is>
      </c>
      <c r="D4" s="31">
        <f>Motor!$H$7</f>
        <v/>
      </c>
    </row>
    <row r="5" ht="15" customHeight="1" s="14">
      <c r="A5" s="30" t="inlineStr">
        <is>
          <t>Ø mínimo muñón de bancada (mm)</t>
        </is>
      </c>
      <c r="D5" s="31">
        <f>Motor!$H$8</f>
        <v/>
      </c>
    </row>
    <row r="6" ht="15" customHeight="1" s="14">
      <c r="A6" s="30" t="inlineStr">
        <is>
          <t>Ø nominal muñequilla de biela (mm)</t>
        </is>
      </c>
      <c r="D6" s="31">
        <f>Motor!$H$9</f>
        <v/>
      </c>
    </row>
    <row r="7" ht="15" customHeight="1" s="14">
      <c r="A7" s="30" t="inlineStr">
        <is>
          <t>Ø mínimo muñequilla de biela (mm)</t>
        </is>
      </c>
      <c r="D7" s="31">
        <f>Motor!$H$10</f>
        <v/>
      </c>
    </row>
    <row r="8" ht="15" customHeight="1" s="14">
      <c r="A8" s="30" t="inlineStr">
        <is>
          <t>Límite conicidad/ovalización (mm)</t>
        </is>
      </c>
      <c r="D8" s="31">
        <f>Motor!$H$11</f>
        <v/>
      </c>
    </row>
    <row r="9" ht="15" customHeight="1" s="14">
      <c r="A9" s="30" t="inlineStr">
        <is>
          <t>Holgura de aceite mín. (mm)</t>
        </is>
      </c>
      <c r="D9" s="31">
        <f>Motor!$H$12</f>
        <v/>
      </c>
    </row>
    <row r="10" ht="15" customHeight="1" s="14">
      <c r="A10" s="30" t="inlineStr">
        <is>
          <t>Holgura de aceite máx. (mm)</t>
        </is>
      </c>
      <c r="D10" s="31">
        <f>Motor!$H$13</f>
        <v/>
      </c>
    </row>
    <row r="11"/>
    <row r="12" ht="31.5" customHeight="1" s="14">
      <c r="A12" s="32" t="inlineStr">
        <is>
          <t>Muñón</t>
        </is>
      </c>
      <c r="B12" s="32" t="inlineStr">
        <is>
          <t>Plano A pos.1</t>
        </is>
      </c>
      <c r="C12" s="32" t="inlineStr">
        <is>
          <t>Plano A pos.2</t>
        </is>
      </c>
      <c r="D12" s="32" t="inlineStr">
        <is>
          <t>Plano B pos.1</t>
        </is>
      </c>
      <c r="E12" s="32" t="inlineStr">
        <is>
          <t>Plano B pos.2</t>
        </is>
      </c>
      <c r="F12" s="32" t="inlineStr">
        <is>
          <t>Ø mín.</t>
        </is>
      </c>
      <c r="G12" s="32" t="inlineStr">
        <is>
          <t>Conicidad</t>
        </is>
      </c>
      <c r="H12" s="32" t="inlineStr">
        <is>
          <t>Ovalización</t>
        </is>
      </c>
      <c r="I12" s="32" t="inlineStr">
        <is>
          <t>Holgura hilo calibrado</t>
        </is>
      </c>
      <c r="J12" s="32" t="inlineStr">
        <is>
          <t>Estado</t>
        </is>
      </c>
    </row>
    <row r="13" ht="15" customHeight="1" s="14">
      <c r="A13" s="33" t="inlineStr">
        <is>
          <t>Bancada 1</t>
        </is>
      </c>
      <c r="B13" s="34" t="n"/>
      <c r="C13" s="34" t="n"/>
      <c r="D13" s="34" t="n"/>
      <c r="E13" s="34" t="n"/>
      <c r="F13" s="35">
        <f>IF(COUNTA(B13,C13,D13,E13)=0,"",MIN(B13:E13))</f>
        <v/>
      </c>
      <c r="G13" s="35">
        <f>IF(COUNTA(B13,C13,D13,E13)=0,"",ROUND(MAX(ABS(B13-C13),ABS(D13-E13)),3))</f>
        <v/>
      </c>
      <c r="H13" s="35">
        <f>IF(COUNTA(B13,C13,D13,E13)=0,"",ROUND(MAX(ABS(B13-D13),ABS(C13-E13)),3))</f>
        <v/>
      </c>
      <c r="I13" s="34" t="n"/>
      <c r="J13" s="36">
        <f>IF(COUNTA(B13,C13,D13,E13,I13)=0,"",IF(F13&lt;$D$5,"Rectificar cigüeñal",IF(MAX(G13:H13)&gt;$D$8,"Rectificar cigüeñal",IF(I13&gt;$D$10,"Holgura excesiva: cojinetes",IF(I13&lt;$D$9,"Holgura insuficiente","Correcto")))))</f>
        <v/>
      </c>
    </row>
    <row r="14" ht="15" customHeight="1" s="14">
      <c r="A14" s="33" t="inlineStr">
        <is>
          <t>Bancada 2</t>
        </is>
      </c>
      <c r="B14" s="34" t="n"/>
      <c r="C14" s="34" t="n"/>
      <c r="D14" s="34" t="n"/>
      <c r="E14" s="34" t="n"/>
      <c r="F14" s="35">
        <f>IF(COUNTA(B14,C14,D14,E14)=0,"",MIN(B14:E14))</f>
        <v/>
      </c>
      <c r="G14" s="35">
        <f>IF(COUNTA(B14,C14,D14,E14)=0,"",ROUND(MAX(ABS(B14-C14),ABS(D14-E14)),3))</f>
        <v/>
      </c>
      <c r="H14" s="35">
        <f>IF(COUNTA(B14,C14,D14,E14)=0,"",ROUND(MAX(ABS(B14-D14),ABS(C14-E14)),3))</f>
        <v/>
      </c>
      <c r="I14" s="34" t="n"/>
      <c r="J14" s="36">
        <f>IF(COUNTA(B14,C14,D14,E14,I14)=0,"",IF(F14&lt;$D$5,"Rectificar cigüeñal",IF(MAX(G14:H14)&gt;$D$8,"Rectificar cigüeñal",IF(I14&gt;$D$10,"Holgura excesiva: cojinetes",IF(I14&lt;$D$9,"Holgura insuficiente","Correcto")))))</f>
        <v/>
      </c>
    </row>
    <row r="15" ht="15" customHeight="1" s="14">
      <c r="A15" s="33" t="inlineStr">
        <is>
          <t>Bancada 3</t>
        </is>
      </c>
      <c r="B15" s="34" t="n"/>
      <c r="C15" s="34" t="n"/>
      <c r="D15" s="34" t="n"/>
      <c r="E15" s="34" t="n"/>
      <c r="F15" s="35">
        <f>IF(COUNTA(B15,C15,D15,E15)=0,"",MIN(B15:E15))</f>
        <v/>
      </c>
      <c r="G15" s="35">
        <f>IF(COUNTA(B15,C15,D15,E15)=0,"",ROUND(MAX(ABS(B15-C15),ABS(D15-E15)),3))</f>
        <v/>
      </c>
      <c r="H15" s="35">
        <f>IF(COUNTA(B15,C15,D15,E15)=0,"",ROUND(MAX(ABS(B15-D15),ABS(C15-E15)),3))</f>
        <v/>
      </c>
      <c r="I15" s="34" t="n"/>
      <c r="J15" s="36">
        <f>IF(COUNTA(B15,C15,D15,E15,I15)=0,"",IF(F15&lt;$D$5,"Rectificar cigüeñal",IF(MAX(G15:H15)&gt;$D$8,"Rectificar cigüeñal",IF(I15&gt;$D$10,"Holgura excesiva: cojinetes",IF(I15&lt;$D$9,"Holgura insuficiente","Correcto")))))</f>
        <v/>
      </c>
    </row>
    <row r="16" ht="15" customHeight="1" s="14">
      <c r="A16" s="33" t="inlineStr">
        <is>
          <t>Bancada 4</t>
        </is>
      </c>
      <c r="B16" s="34" t="n"/>
      <c r="C16" s="34" t="n"/>
      <c r="D16" s="34" t="n"/>
      <c r="E16" s="34" t="n"/>
      <c r="F16" s="35">
        <f>IF(COUNTA(B16,C16,D16,E16)=0,"",MIN(B16:E16))</f>
        <v/>
      </c>
      <c r="G16" s="35">
        <f>IF(COUNTA(B16,C16,D16,E16)=0,"",ROUND(MAX(ABS(B16-C16),ABS(D16-E16)),3))</f>
        <v/>
      </c>
      <c r="H16" s="35">
        <f>IF(COUNTA(B16,C16,D16,E16)=0,"",ROUND(MAX(ABS(B16-D16),ABS(C16-E16)),3))</f>
        <v/>
      </c>
      <c r="I16" s="34" t="n"/>
      <c r="J16" s="36">
        <f>IF(COUNTA(B16,C16,D16,E16,I16)=0,"",IF(F16&lt;$D$5,"Rectificar cigüeñal",IF(MAX(G16:H16)&gt;$D$8,"Rectificar cigüeñal",IF(I16&gt;$D$10,"Holgura excesiva: cojinetes",IF(I16&lt;$D$9,"Holgura insuficiente","Correcto")))))</f>
        <v/>
      </c>
    </row>
    <row r="17" ht="15" customHeight="1" s="14">
      <c r="A17" s="33" t="inlineStr">
        <is>
          <t>Bancada 5</t>
        </is>
      </c>
      <c r="B17" s="34" t="n"/>
      <c r="C17" s="34" t="n"/>
      <c r="D17" s="34" t="n"/>
      <c r="E17" s="34" t="n"/>
      <c r="F17" s="35">
        <f>IF(COUNTA(B17,C17,D17,E17)=0,"",MIN(B17:E17))</f>
        <v/>
      </c>
      <c r="G17" s="35">
        <f>IF(COUNTA(B17,C17,D17,E17)=0,"",ROUND(MAX(ABS(B17-C17),ABS(D17-E17)),3))</f>
        <v/>
      </c>
      <c r="H17" s="35">
        <f>IF(COUNTA(B17,C17,D17,E17)=0,"",ROUND(MAX(ABS(B17-D17),ABS(C17-E17)),3))</f>
        <v/>
      </c>
      <c r="I17" s="34" t="n"/>
      <c r="J17" s="36">
        <f>IF(COUNTA(B17,C17,D17,E17,I17)=0,"",IF(F17&lt;$D$5,"Rectificar cigüeñal",IF(MAX(G17:H17)&gt;$D$8,"Rectificar cigüeñal",IF(I17&gt;$D$10,"Holgura excesiva: cojinetes",IF(I17&lt;$D$9,"Holgura insuficiente","Correcto")))))</f>
        <v/>
      </c>
    </row>
    <row r="18" ht="15" customHeight="1" s="14">
      <c r="A18" s="33" t="inlineStr">
        <is>
          <t>Biela 1</t>
        </is>
      </c>
      <c r="B18" s="34" t="n"/>
      <c r="C18" s="34" t="n"/>
      <c r="D18" s="34" t="n"/>
      <c r="E18" s="34" t="n"/>
      <c r="F18" s="35">
        <f>IF(COUNTA(B18,C18,D18,E18)=0,"",MIN(B18:E18))</f>
        <v/>
      </c>
      <c r="G18" s="35">
        <f>IF(COUNTA(B18,C18,D18,E18)=0,"",ROUND(MAX(ABS(B18-C18),ABS(D18-E18)),3))</f>
        <v/>
      </c>
      <c r="H18" s="35">
        <f>IF(COUNTA(B18,C18,D18,E18)=0,"",ROUND(MAX(ABS(B18-D18),ABS(C18-E18)),3))</f>
        <v/>
      </c>
      <c r="I18" s="34" t="n"/>
      <c r="J18" s="36">
        <f>IF(COUNTA(B18,C18,D18,E18,I18)=0,"",IF(F18&lt;$D$7,"Rectificar cigüeñal",IF(MAX(G18:H18)&gt;$D$8,"Rectificar cigüeñal",IF(I18&gt;$D$10,"Holgura excesiva: cojinetes",IF(I18&lt;$D$9,"Holgura insuficiente","Correcto")))))</f>
        <v/>
      </c>
    </row>
    <row r="19" ht="15" customHeight="1" s="14">
      <c r="A19" s="33" t="inlineStr">
        <is>
          <t>Biela 2</t>
        </is>
      </c>
      <c r="B19" s="34" t="n"/>
      <c r="C19" s="34" t="n"/>
      <c r="D19" s="34" t="n"/>
      <c r="E19" s="34" t="n"/>
      <c r="F19" s="35">
        <f>IF(COUNTA(B19,C19,D19,E19)=0,"",MIN(B19:E19))</f>
        <v/>
      </c>
      <c r="G19" s="35">
        <f>IF(COUNTA(B19,C19,D19,E19)=0,"",ROUND(MAX(ABS(B19-C19),ABS(D19-E19)),3))</f>
        <v/>
      </c>
      <c r="H19" s="35">
        <f>IF(COUNTA(B19,C19,D19,E19)=0,"",ROUND(MAX(ABS(B19-D19),ABS(C19-E19)),3))</f>
        <v/>
      </c>
      <c r="I19" s="34" t="n"/>
      <c r="J19" s="36">
        <f>IF(COUNTA(B19,C19,D19,E19,I19)=0,"",IF(F19&lt;$D$7,"Rectificar cigüeñal",IF(MAX(G19:H19)&gt;$D$8,"Rectificar cigüeñal",IF(I19&gt;$D$10,"Holgura excesiva: cojinetes",IF(I19&lt;$D$9,"Holgura insuficiente","Correcto")))))</f>
        <v/>
      </c>
    </row>
    <row r="20" ht="15" customHeight="1" s="14">
      <c r="A20" s="33" t="inlineStr">
        <is>
          <t>Biela 3</t>
        </is>
      </c>
      <c r="B20" s="34" t="n"/>
      <c r="C20" s="34" t="n"/>
      <c r="D20" s="34" t="n"/>
      <c r="E20" s="34" t="n"/>
      <c r="F20" s="35">
        <f>IF(COUNTA(B20,C20,D20,E20)=0,"",MIN(B20:E20))</f>
        <v/>
      </c>
      <c r="G20" s="35">
        <f>IF(COUNTA(B20,C20,D20,E20)=0,"",ROUND(MAX(ABS(B20-C20),ABS(D20-E20)),3))</f>
        <v/>
      </c>
      <c r="H20" s="35">
        <f>IF(COUNTA(B20,C20,D20,E20)=0,"",ROUND(MAX(ABS(B20-D20),ABS(C20-E20)),3))</f>
        <v/>
      </c>
      <c r="I20" s="34" t="n"/>
      <c r="J20" s="36">
        <f>IF(COUNTA(B20,C20,D20,E20,I20)=0,"",IF(F20&lt;$D$7,"Rectificar cigüeñal",IF(MAX(G20:H20)&gt;$D$8,"Rectificar cigüeñal",IF(I20&gt;$D$10,"Holgura excesiva: cojinetes",IF(I20&lt;$D$9,"Holgura insuficiente","Correcto")))))</f>
        <v/>
      </c>
    </row>
    <row r="21" ht="15" customHeight="1" s="14">
      <c r="A21" s="33" t="inlineStr">
        <is>
          <t>Biela 4</t>
        </is>
      </c>
      <c r="B21" s="34" t="n"/>
      <c r="C21" s="34" t="n"/>
      <c r="D21" s="34" t="n"/>
      <c r="E21" s="34" t="n"/>
      <c r="F21" s="35">
        <f>IF(COUNTA(B21,C21,D21,E21)=0,"",MIN(B21:E21))</f>
        <v/>
      </c>
      <c r="G21" s="35">
        <f>IF(COUNTA(B21,C21,D21,E21)=0,"",ROUND(MAX(ABS(B21-C21),ABS(D21-E21)),3))</f>
        <v/>
      </c>
      <c r="H21" s="35">
        <f>IF(COUNTA(B21,C21,D21,E21)=0,"",ROUND(MAX(ABS(B21-D21),ABS(C21-E21)),3))</f>
        <v/>
      </c>
      <c r="I21" s="34" t="n"/>
      <c r="J21" s="36">
        <f>IF(COUNTA(B21,C21,D21,E21,I21)=0,"",IF(F21&lt;$D$7,"Rectificar cigüeñal",IF(MAX(G21:H21)&gt;$D$8,"Rectificar cigüeñal",IF(I21&gt;$D$10,"Holgura excesiva: cojinetes",IF(I21&lt;$D$9,"Holgura insuficiente","Correcto")))))</f>
        <v/>
      </c>
    </row>
    <row r="22"/>
    <row r="23" ht="31.5" customHeight="1" s="14">
      <c r="A23" s="32" t="inlineStr">
        <is>
          <t>Comprobación</t>
        </is>
      </c>
      <c r="B23" s="32" t="inlineStr">
        <is>
          <t>Medido (mm)</t>
        </is>
      </c>
      <c r="C23" s="32" t="inlineStr">
        <is>
          <t>Mín. (mm)</t>
        </is>
      </c>
      <c r="D23" s="32" t="inlineStr">
        <is>
          <t>Máx. (mm)</t>
        </is>
      </c>
      <c r="E23" s="32" t="inlineStr">
        <is>
          <t>Estado</t>
        </is>
      </c>
    </row>
    <row r="24" ht="15" customHeight="1" s="14">
      <c r="A24" s="33" t="inlineStr">
        <is>
          <t>Juego axial del cigüeñal</t>
        </is>
      </c>
      <c r="B24" s="34" t="n"/>
      <c r="C24" s="31">
        <f>Motor!$H$14</f>
        <v/>
      </c>
      <c r="D24" s="31">
        <f>Motor!$H$15</f>
        <v/>
      </c>
      <c r="E24" s="36">
        <f>IF(COUNTA(B24)=0,"",IF(AND(B24&gt;=C24,B24&lt;=D24),"Correcto","Sustituir arandelas/cojinete axial"))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6" min="1" max="1"/>
    <col width="12" customWidth="1" style="26" min="2" max="3"/>
    <col width="15" customWidth="1" style="26" min="4" max="6"/>
    <col width="14" customWidth="1" style="26" min="7" max="7"/>
    <col width="18" customWidth="1" style="26" min="8" max="8"/>
    <col width="20" customWidth="1" style="26" min="9" max="10"/>
  </cols>
  <sheetData>
    <row r="1" ht="17.35" customHeight="1" s="14">
      <c r="A1" s="27" t="inlineStr">
        <is>
          <t>Segmentos y holgura pistón–cilindro</t>
        </is>
      </c>
    </row>
    <row r="2" ht="15" customHeight="1" s="14">
      <c r="A2" s="28" t="n"/>
    </row>
    <row r="3" ht="15" customHeight="1" s="14">
      <c r="A3" s="29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31.5" customHeight="1" s="14">
      <c r="A4" s="32" t="inlineStr">
        <is>
          <t>Límites</t>
        </is>
      </c>
      <c r="B4" s="32" t="inlineStr">
        <is>
          <t>Mín. (mm)</t>
        </is>
      </c>
      <c r="C4" s="32" t="inlineStr">
        <is>
          <t>Máx. (mm)</t>
        </is>
      </c>
    </row>
    <row r="5" ht="15" customHeight="1" s="14">
      <c r="A5" s="33" t="inlineStr">
        <is>
          <t>Juego entre puntas 1.er segmento</t>
        </is>
      </c>
      <c r="B5" s="37">
        <f>Motor!$H$16</f>
        <v/>
      </c>
      <c r="C5" s="37">
        <f>Motor!$H$17</f>
        <v/>
      </c>
    </row>
    <row r="6" ht="15" customHeight="1" s="14">
      <c r="A6" s="33" t="inlineStr">
        <is>
          <t>Juego entre puntas 2.º segmento</t>
        </is>
      </c>
      <c r="B6" s="37">
        <f>Motor!$H$18</f>
        <v/>
      </c>
      <c r="C6" s="37">
        <f>Motor!$H$19</f>
        <v/>
      </c>
    </row>
    <row r="7" ht="15" customHeight="1" s="14">
      <c r="A7" s="33" t="inlineStr">
        <is>
          <t>Juego entre puntas rascador</t>
        </is>
      </c>
      <c r="B7" s="37">
        <f>Motor!$H$20</f>
        <v/>
      </c>
      <c r="C7" s="37">
        <f>Motor!$H$21</f>
        <v/>
      </c>
    </row>
    <row r="8" ht="15" customHeight="1" s="14">
      <c r="A8" s="33" t="inlineStr">
        <is>
          <t>Juego en ranura</t>
        </is>
      </c>
      <c r="B8" s="37">
        <f>Motor!$H$22</f>
        <v/>
      </c>
      <c r="C8" s="37">
        <f>Motor!$H$23</f>
        <v/>
      </c>
    </row>
    <row r="9" ht="15" customHeight="1" s="14">
      <c r="A9" s="33" t="inlineStr">
        <is>
          <t>Holgura pistón–cilindro</t>
        </is>
      </c>
      <c r="B9" s="37">
        <f>Motor!$H$24</f>
        <v/>
      </c>
      <c r="C9" s="37">
        <f>Motor!$H$25</f>
        <v/>
      </c>
    </row>
    <row r="10"/>
    <row r="11" ht="31.5" customHeight="1" s="14">
      <c r="A11" s="32" t="inlineStr">
        <is>
          <t>Cilindro</t>
        </is>
      </c>
      <c r="B11" s="32" t="inlineStr">
        <is>
          <t>Puntas 1.º</t>
        </is>
      </c>
      <c r="C11" s="32" t="inlineStr">
        <is>
          <t>Puntas 2.º</t>
        </is>
      </c>
      <c r="D11" s="32" t="inlineStr">
        <is>
          <t>Puntas rascador</t>
        </is>
      </c>
      <c r="E11" s="32" t="inlineStr">
        <is>
          <t>Juego en ranura</t>
        </is>
      </c>
      <c r="F11" s="32" t="inlineStr">
        <is>
          <t>Ø cilindro (mm)</t>
        </is>
      </c>
      <c r="G11" s="32" t="inlineStr">
        <is>
          <t>Ø pistón (mm)</t>
        </is>
      </c>
      <c r="H11" s="32" t="inlineStr">
        <is>
          <t>Holgura pistón–cil.</t>
        </is>
      </c>
      <c r="I11" s="32" t="inlineStr">
        <is>
          <t>Segmentos</t>
        </is>
      </c>
      <c r="J11" s="32" t="inlineStr">
        <is>
          <t>Pistón</t>
        </is>
      </c>
    </row>
    <row r="12" ht="15" customHeight="1" s="14">
      <c r="A12" s="33" t="n">
        <v>1</v>
      </c>
      <c r="B12" s="34" t="n"/>
      <c r="C12" s="34" t="n"/>
      <c r="D12" s="34" t="n"/>
      <c r="E12" s="34" t="n"/>
      <c r="F12" s="34" t="n"/>
      <c r="G12" s="34" t="n"/>
      <c r="H12" s="35">
        <f>IF(COUNTA(F12,G12)=0,"",ROUND(F12-G12,3))</f>
        <v/>
      </c>
      <c r="I12" s="36">
        <f>IF(COUNTA(B12,C12,D12,E12)=0,"",IF(AND(B12&gt;=$B$5,B12&lt;=$C$5,C12&gt;=$B$6,C12&lt;=$C$6,D12&gt;=$B$7,D12&lt;=$C$7,E12&gt;=$B$8,E12&lt;=$C$8),"Correctos","Sustituir segmentos"))</f>
        <v/>
      </c>
      <c r="J12" s="36">
        <f>IF(COUNTA(F12,G12)=0,"",IF(AND(H12&gt;=$B$9,H12&lt;=$C$9),"Holgura correcta",IF(H12&gt;$C$9,"Holgura excesiva","Holgura insuficiente")))</f>
        <v/>
      </c>
    </row>
    <row r="13" ht="15" customHeight="1" s="14">
      <c r="A13" s="33" t="n">
        <v>2</v>
      </c>
      <c r="B13" s="34" t="n"/>
      <c r="C13" s="34" t="n"/>
      <c r="D13" s="34" t="n"/>
      <c r="E13" s="34" t="n"/>
      <c r="F13" s="34" t="n"/>
      <c r="G13" s="34" t="n"/>
      <c r="H13" s="35">
        <f>IF(COUNTA(F13,G13)=0,"",ROUND(F13-G13,3))</f>
        <v/>
      </c>
      <c r="I13" s="36">
        <f>IF(COUNTA(B13,C13,D13,E13)=0,"",IF(AND(B13&gt;=$B$5,B13&lt;=$C$5,C13&gt;=$B$6,C13&lt;=$C$6,D13&gt;=$B$7,D13&lt;=$C$7,E13&gt;=$B$8,E13&lt;=$C$8),"Correctos","Sustituir segmentos"))</f>
        <v/>
      </c>
      <c r="J13" s="36">
        <f>IF(COUNTA(F13,G13)=0,"",IF(AND(H13&gt;=$B$9,H13&lt;=$C$9),"Holgura correcta",IF(H13&gt;$C$9,"Holgura excesiva","Holgura insuficiente")))</f>
        <v/>
      </c>
    </row>
    <row r="14" ht="15" customHeight="1" s="14">
      <c r="A14" s="33" t="n">
        <v>3</v>
      </c>
      <c r="B14" s="34" t="n"/>
      <c r="C14" s="34" t="n"/>
      <c r="D14" s="34" t="n"/>
      <c r="E14" s="34" t="n"/>
      <c r="F14" s="34" t="n"/>
      <c r="G14" s="34" t="n"/>
      <c r="H14" s="35">
        <f>IF(COUNTA(F14,G14)=0,"",ROUND(F14-G14,3))</f>
        <v/>
      </c>
      <c r="I14" s="36">
        <f>IF(COUNTA(B14,C14,D14,E14)=0,"",IF(AND(B14&gt;=$B$5,B14&lt;=$C$5,C14&gt;=$B$6,C14&lt;=$C$6,D14&gt;=$B$7,D14&lt;=$C$7,E14&gt;=$B$8,E14&lt;=$C$8),"Correctos","Sustituir segmentos"))</f>
        <v/>
      </c>
      <c r="J14" s="36">
        <f>IF(COUNTA(F14,G14)=0,"",IF(AND(H14&gt;=$B$9,H14&lt;=$C$9),"Holgura correcta",IF(H14&gt;$C$9,"Holgura excesiva","Holgura insuficiente")))</f>
        <v/>
      </c>
    </row>
    <row r="15" ht="15" customHeight="1" s="14">
      <c r="A15" s="33" t="n">
        <v>4</v>
      </c>
      <c r="B15" s="34" t="n"/>
      <c r="C15" s="34" t="n"/>
      <c r="D15" s="34" t="n"/>
      <c r="E15" s="34" t="n"/>
      <c r="F15" s="34" t="n"/>
      <c r="G15" s="34" t="n"/>
      <c r="H15" s="35">
        <f>IF(COUNTA(F15,G15)=0,"",ROUND(F15-G15,3))</f>
        <v/>
      </c>
      <c r="I15" s="36">
        <f>IF(COUNTA(B15,C15,D15,E15)=0,"",IF(AND(B15&gt;=$B$5,B15&lt;=$C$5,C15&gt;=$B$6,C15&lt;=$C$6,D15&gt;=$B$7,D15&lt;=$C$7,E15&gt;=$B$8,E15&lt;=$C$8),"Correctos","Sustituir segmentos"))</f>
        <v/>
      </c>
      <c r="J15" s="36">
        <f>IF(COUNTA(F15,G15)=0,"",IF(AND(H15&gt;=$B$9,H15&lt;=$C$9),"Holgura correcta",IF(H15&gt;$C$9,"Holgura excesiva","Holgura insuficiente")))</f>
        <v/>
      </c>
    </row>
    <row r="16"/>
    <row r="17" ht="15" customHeight="1" s="14">
      <c r="A17" s="38" t="inlineStr">
        <is>
          <t>Ø cilindro: diámetro medido en la dirección transversal a la altura indicada por el fabricante (Guía 15). Límites orientativos: use los del manual.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6" min="1" max="1"/>
    <col width="18" customWidth="1" style="26" min="2" max="2"/>
    <col width="22" customWidth="1" style="26" min="3" max="3"/>
    <col width="26" customWidth="1" style="26" min="4" max="4"/>
    <col width="12" customWidth="1" style="26" min="5" max="6"/>
    <col width="34" customWidth="1" style="26" min="7" max="7"/>
  </cols>
  <sheetData>
    <row r="1" ht="17.35" customHeight="1" s="14">
      <c r="A1" s="27" t="inlineStr">
        <is>
          <t>Selección de retenes y montaje de rodamientos (práctica 7 del cuaderno)</t>
        </is>
      </c>
    </row>
    <row r="2" ht="15" customHeight="1" s="14">
      <c r="A2" s="28" t="n"/>
    </row>
    <row r="3" ht="15" customHeight="1" s="14">
      <c r="A3" s="29" t="inlineStr">
        <is>
          <t>Leyenda: celdas amarillas con texto azul = datos de entrada (editar). Texto negro = fórmulas (no editar). Celdas verdes = especificación del fabricante del motor elegido en la hoja «Motor» (no editar).</t>
        </is>
      </c>
    </row>
    <row r="4" ht="15" customHeight="1" s="14">
      <c r="A4" s="30" t="inlineStr">
        <is>
          <t>Temperatura de trabajo del retén (°C):</t>
        </is>
      </c>
      <c r="D4" s="39" t="n">
        <v>130</v>
      </c>
    </row>
    <row r="5" ht="31.5" customHeight="1" s="14">
      <c r="A5" s="32" t="inlineStr">
        <is>
          <t>Elastómero</t>
        </is>
      </c>
      <c r="B5" s="32" t="inlineStr">
        <is>
          <t>Código</t>
        </is>
      </c>
      <c r="C5" s="32" t="inlineStr">
        <is>
          <t>Resistencia al aceite</t>
        </is>
      </c>
      <c r="D5" s="32" t="inlineStr">
        <is>
          <t>Resistencia a la abrasión</t>
        </is>
      </c>
      <c r="E5" s="32" t="inlineStr">
        <is>
          <t>T máx. (°C)</t>
        </is>
      </c>
      <c r="F5" s="32" t="inlineStr">
        <is>
          <t>T mín. (°C)</t>
        </is>
      </c>
      <c r="G5" s="32" t="inlineStr">
        <is>
          <t>¿Apto para la temperatura de trabajo?</t>
        </is>
      </c>
    </row>
    <row r="6" ht="15" customHeight="1" s="14">
      <c r="A6" s="39" t="inlineStr">
        <is>
          <t>Nitrilo</t>
        </is>
      </c>
      <c r="B6" s="39" t="inlineStr">
        <is>
          <t>S</t>
        </is>
      </c>
      <c r="C6" s="39" t="inlineStr">
        <is>
          <t>Muy buena</t>
        </is>
      </c>
      <c r="D6" s="39" t="inlineStr">
        <is>
          <t>Excelente</t>
        </is>
      </c>
      <c r="E6" s="39" t="n">
        <v>121</v>
      </c>
      <c r="F6" s="39" t="n">
        <v>-45</v>
      </c>
      <c r="G6" s="36">
        <f>IF(AND($D$4&lt;=E6,$D$4&gt;=F6),"Sí","No")</f>
        <v/>
      </c>
    </row>
    <row r="7" ht="15" customHeight="1" s="14">
      <c r="A7" s="39" t="inlineStr">
        <is>
          <t>Poliacrílico</t>
        </is>
      </c>
      <c r="B7" s="39" t="inlineStr">
        <is>
          <t>N</t>
        </is>
      </c>
      <c r="C7" s="39" t="inlineStr">
        <is>
          <t>Muy buena</t>
        </is>
      </c>
      <c r="D7" s="39" t="inlineStr">
        <is>
          <t>Aceptable</t>
        </is>
      </c>
      <c r="E7" s="39" t="n">
        <v>150</v>
      </c>
      <c r="F7" s="39" t="n">
        <v>-30</v>
      </c>
      <c r="G7" s="36">
        <f>IF(AND($D$4&lt;=E7,$D$4&gt;=F7),"Sí","No")</f>
        <v/>
      </c>
    </row>
    <row r="8" ht="15" customHeight="1" s="14">
      <c r="A8" s="39" t="inlineStr">
        <is>
          <t>Silicona</t>
        </is>
      </c>
      <c r="B8" s="39" t="inlineStr">
        <is>
          <t>H</t>
        </is>
      </c>
      <c r="C8" s="39" t="inlineStr">
        <is>
          <t>Aceptable</t>
        </is>
      </c>
      <c r="D8" s="39" t="inlineStr">
        <is>
          <t>Pobre</t>
        </is>
      </c>
      <c r="E8" s="39" t="n">
        <v>178</v>
      </c>
      <c r="F8" s="39" t="n">
        <v>-62</v>
      </c>
      <c r="G8" s="36">
        <f>IF(AND($D$4&lt;=E8,$D$4&gt;=F8),"Sí","No")</f>
        <v/>
      </c>
    </row>
    <row r="9" ht="15" customHeight="1" s="14">
      <c r="A9" s="39" t="inlineStr">
        <is>
          <t>Fluorado</t>
        </is>
      </c>
      <c r="B9" s="39" t="inlineStr">
        <is>
          <t>V</t>
        </is>
      </c>
      <c r="C9" s="39" t="inlineStr">
        <is>
          <t>Excelente</t>
        </is>
      </c>
      <c r="D9" s="39" t="inlineStr">
        <is>
          <t>Buena</t>
        </is>
      </c>
      <c r="E9" s="39" t="n">
        <v>250</v>
      </c>
      <c r="F9" s="39" t="n">
        <v>-40</v>
      </c>
      <c r="G9" s="36">
        <f>IF(AND($D$4&lt;=E9,$D$4&gt;=F9),"Sí","No")</f>
        <v/>
      </c>
    </row>
    <row r="10" ht="15" customHeight="1" s="14">
      <c r="A10" s="39" t="inlineStr">
        <is>
          <t>Cuero</t>
        </is>
      </c>
      <c r="B10" s="39" t="inlineStr">
        <is>
          <t>L</t>
        </is>
      </c>
      <c r="C10" s="39" t="inlineStr">
        <is>
          <t>Buena</t>
        </is>
      </c>
      <c r="D10" s="39" t="inlineStr">
        <is>
          <t>Excelente</t>
        </is>
      </c>
      <c r="E10" s="39" t="n">
        <v>93</v>
      </c>
      <c r="F10" s="39" t="n">
        <v>-45</v>
      </c>
      <c r="G10" s="36">
        <f>IF(AND($D$4&lt;=E10,$D$4&gt;=F10),"Sí","No")</f>
        <v/>
      </c>
    </row>
    <row r="11" ht="15" customHeight="1" s="14">
      <c r="A11" s="38" t="inlineStr">
        <is>
          <t>Datos de la tabla de características de retenes del cuaderno (Escudero et al., 2024, p. 60). Los retenes de teflón no se lubrican.</t>
        </is>
      </c>
    </row>
    <row r="13" ht="31.5" customHeight="1" s="14">
      <c r="A13" s="32" t="inlineStr">
        <is>
          <t>Rodamiento</t>
        </is>
      </c>
      <c r="B13" s="32" t="inlineStr">
        <is>
          <t>Método de montaje</t>
        </is>
      </c>
      <c r="C13" s="32" t="inlineStr">
        <is>
          <t>Temperatura de calentamiento (°C)</t>
        </is>
      </c>
      <c r="D13" s="32" t="inlineStr">
        <is>
          <t>¿Tiene protecciones laterales? (Sí/No)</t>
        </is>
      </c>
      <c r="E13" s="32" t="inlineStr">
        <is>
          <t>Evaluación</t>
        </is>
      </c>
    </row>
    <row r="14" ht="15" customHeight="1" s="14">
      <c r="A14" s="33" t="inlineStr">
        <is>
          <t>Rodamiento del tensor</t>
        </is>
      </c>
      <c r="B14" s="40" t="inlineStr">
        <is>
          <t>Frío</t>
        </is>
      </c>
      <c r="C14" s="39" t="n"/>
      <c r="D14" s="40" t="inlineStr">
        <is>
          <t>Sí</t>
        </is>
      </c>
      <c r="E14" s="36">
        <f>IF(B14="Frío","Montaje con casquillo y prensa sobre el aro con interferencia",IF(D14="Sí","No calentar: rodamiento con protecciones",IF(C14&gt;120,"Temperatura excesiva (máx. 120 °C)",IF(C14&gt;80,"Admisible, pero preferible ≤ 80 °C","Correcto (50–80 °C)"))))</f>
        <v/>
      </c>
    </row>
    <row r="15" ht="15" customHeight="1" s="14">
      <c r="A15" s="33" t="inlineStr">
        <is>
          <t>Rodamiento de la bomba de agua</t>
        </is>
      </c>
      <c r="B15" s="40" t="inlineStr">
        <is>
          <t>Caliente</t>
        </is>
      </c>
      <c r="C15" s="39" t="n">
        <v>95</v>
      </c>
      <c r="D15" s="40" t="inlineStr">
        <is>
          <t>No</t>
        </is>
      </c>
      <c r="E15" s="36">
        <f>IF(B15="Frío","Montaje con casquillo y prensa sobre el aro con interferencia",IF(D15="Sí","No calentar: rodamiento con protecciones",IF(C15&gt;120,"Temperatura excesiva (máx. 120 °C)",IF(C15&gt;80,"Admisible, pero preferible ≤ 80 °C","Correcto (50–80 °C)"))))</f>
        <v/>
      </c>
    </row>
    <row r="16" ht="15" customHeight="1" s="14">
      <c r="A16" s="33" t="inlineStr">
        <is>
          <t>Rodamiento piloto del cigüeñal</t>
        </is>
      </c>
      <c r="B16" s="40" t="inlineStr">
        <is>
          <t>Caliente</t>
        </is>
      </c>
      <c r="C16" s="39" t="n">
        <v>130</v>
      </c>
      <c r="D16" s="40" t="inlineStr">
        <is>
          <t>No</t>
        </is>
      </c>
      <c r="E16" s="36">
        <f>IF(B16="Frío","Montaje con casquillo y prensa sobre el aro con interferencia",IF(D16="Sí","No calentar: rodamiento con protecciones",IF(C16&gt;120,"Temperatura excesiva (máx. 120 °C)",IF(C16&gt;80,"Admisible, pero preferible ≤ 80 °C","Correcto (50–80 °C)"))))</f>
        <v/>
      </c>
    </row>
    <row r="17" ht="15" customHeight="1" s="14">
      <c r="A17" s="33" t="inlineStr">
        <is>
          <t>Rodamiento del alternador</t>
        </is>
      </c>
      <c r="B17" s="40" t="inlineStr">
        <is>
          <t>Caliente</t>
        </is>
      </c>
      <c r="C17" s="39" t="n">
        <v>80</v>
      </c>
      <c r="D17" s="40" t="inlineStr">
        <is>
          <t>Sí</t>
        </is>
      </c>
      <c r="E17" s="36">
        <f>IF(B17="Frío","Montaje con casquillo y prensa sobre el aro con interferencia",IF(D17="Sí","No calentar: rodamiento con protecciones",IF(C17&gt;120,"Temperatura excesiva (máx. 120 °C)",IF(C17&gt;80,"Admisible, pero preferible ≤ 80 °C","Correcto (50–80 °C)"))))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2026-09-15T22:29:37Z</dcterms:created>
  <dcterms:modified xmlns:dcterms="http://purl.org/dc/terms/" xmlns:xsi="http://www.w3.org/2001/XMLSchema-instance" xsi:type="dcterms:W3CDTF">2026-10-16T11:46:45Z</dcterms:modified>
  <cp:revision>1</cp:revision>
</cp:coreProperties>
</file>