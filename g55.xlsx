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Instrucciones" sheetId="1" state="visible" r:id="rId3"/>
    <sheet name="1_Datos" sheetId="2" state="visible" r:id="rId4"/>
    <sheet name="2_Par_transmisible" sheetId="3" state="visible" r:id="rId5"/>
    <sheet name="3_Mando_hidraulico" sheetId="4" state="visible" r:id="rId6"/>
    <sheet name="4_Energia" sheetId="5" state="visible" r:id="rId7"/>
    <sheet name="5_Mando_cable" sheetId="6" state="visible" r:id="rId8"/>
  </sheets>
  <definedNames>
    <definedName function="false" hidden="false" name="A1" vbProcedure="false">3_Mando_hidraulico!$C$7</definedName>
    <definedName function="false" hidden="false" name="A2" vbProcedure="false">3_Mando_hidraulico!$C$6</definedName>
    <definedName function="false" hidden="false" name="Afr" vbProcedure="false">2_Par_transmisible!$C$10</definedName>
    <definedName function="false" hidden="false" name="cesp" vbProcedure="false">1_Datos!$C$22</definedName>
    <definedName function="false" hidden="false" name="d1" vbProcedure="false">1_Datos!$C$15</definedName>
    <definedName function="false" hidden="false" name="d2" vbProcedure="false">1_Datos!$C$16</definedName>
    <definedName function="false" hidden="false" name="dT" vbProcedure="false">4_Energia!$C$6</definedName>
    <definedName function="false" hidden="false" name="Ediss" vbProcedure="false">4_Energia!$C$5</definedName>
    <definedName function="false" hidden="false" name="etac" vbProcedure="false">5_Mando_cable!$C$5</definedName>
    <definedName function="false" hidden="false" name="etah" vbProcedure="false">1_Datos!$C$14</definedName>
    <definedName function="false" hidden="false" name="Fap" vbProcedure="false">1_Datos!$C$8</definedName>
    <definedName function="false" hidden="false" name="Fb" vbProcedure="false">3_Mando_hidraulico!$C$5</definedName>
    <definedName function="false" hidden="false" name="Fcab" vbProcedure="false">5_Mando_cable!$C$8</definedName>
    <definedName function="false" hidden="false" name="Fcol" vbProcedure="false">3_Mando_hidraulico!$C$4</definedName>
    <definedName function="false" hidden="false" name="Fm" vbProcedure="false">3_Mando_hidraulico!$C$9</definedName>
    <definedName function="false" hidden="false" name="Fmin" vbProcedure="false">2_Par_transmisible!$C$12</definedName>
    <definedName function="false" hidden="false" name="Fped" vbProcedure="false">3_Mando_hidraulico!$C$10</definedName>
    <definedName function="false" hidden="false" name="Fpedc" vbProcedure="false">5_Mando_cable!$C$9</definedName>
    <definedName function="false" hidden="false" name="idia" vbProcedure="false">1_Datos!$C$11</definedName>
    <definedName function="false" hidden="false" name="ih" vbProcedure="false">1_Datos!$C$12</definedName>
    <definedName function="false" hidden="false" name="ihc" vbProcedure="false">5_Mando_cable!$C$4</definedName>
    <definedName function="false" hidden="false" name="ip" vbProcedure="false">1_Datos!$C$13</definedName>
    <definedName function="false" hidden="false" name="Mmax" vbProcedure="false">1_Datos!$C$4</definedName>
    <definedName function="false" hidden="false" name="Mp" vbProcedure="false">2_Par_transmisible!$C$7</definedName>
    <definedName function="false" hidden="false" name="mpl" vbProcedure="false">1_Datos!$C$21</definedName>
    <definedName function="false" hidden="false" name="mu" vbProcedure="false">1_Datos!$C$7</definedName>
    <definedName function="false" hidden="false" name="Mw" vbProcedure="false">2_Par_transmisible!$C$6</definedName>
    <definedName function="false" hidden="false" name="nE" vbProcedure="false">1_Datos!$C$19</definedName>
    <definedName function="false" hidden="false" name="ph" vbProcedure="false">3_Mando_hidraulico!$C$8</definedName>
    <definedName function="false" hidden="false" name="pS" vbProcedure="false">2_Par_transmisible!$C$11</definedName>
    <definedName function="false" hidden="false" name="Re" vbProcedure="false">1_Datos!$C$5</definedName>
    <definedName function="false" hidden="false" name="Ri" vbProcedure="false">1_Datos!$C$6</definedName>
    <definedName function="false" hidden="false" name="rmp" vbProcedure="false">2_Par_transmisible!$C$5</definedName>
    <definedName function="false" hidden="false" name="rmw" vbProcedure="false">2_Par_transmisible!$C$4</definedName>
    <definedName function="false" hidden="false" name="s1" vbProcedure="false">3_Mando_hidraulico!$C$12</definedName>
    <definedName function="false" hidden="false" name="s2" vbProcedure="false">3_Mando_hidraulico!$C$11</definedName>
    <definedName function="false" hidden="false" name="scab" vbProcedure="false">5_Mando_cable!$C$10</definedName>
    <definedName function="false" hidden="false" name="scol" vbProcedure="false">1_Datos!$C$17</definedName>
    <definedName function="false" hidden="false" name="Sf" vbProcedure="false">2_Par_transmisible!$C$8</definedName>
    <definedName function="false" hidden="false" name="sl" vbProcedure="false">1_Datos!$C$18</definedName>
    <definedName function="false" hidden="false" name="sped" vbProcedure="false">3_Mando_hidraulico!$C$13</definedName>
    <definedName function="false" hidden="false" name="spedc" vbProcedure="false">5_Mando_cable!$C$11</definedName>
    <definedName function="false" hidden="false" name="Sreq" vbProcedure="false">1_Datos!$C$10</definedName>
    <definedName function="false" hidden="false" name="tpat" vbProcedure="false">1_Datos!$C$20</definedName>
    <definedName function="false" hidden="false" name="wE" vbProcedure="false">4_Energia!$C$4</definedName>
    <definedName function="false" hidden="false" name="zc" vbProcedure="false">1_Datos!$C$9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<sst xmlns="http://schemas.openxmlformats.org/spreadsheetml/2006/main" count="212" uniqueCount="167">
  <si>
    <t xml:space="preserve">PRÁCTICA 3 – VERIFICACIÓN TÉCNICA DEL SISTEMA DE EMBRAGUE: PAR TRANSMISIBLE Y MANDO HIDRÁULICO</t>
  </si>
  <si>
    <t xml:space="preserve">Mecánica de Patio III – Instituto Superior Tecnológico Sudamericano – Ing. Miguel Angel Minga González</t>
  </si>
  <si>
    <t xml:space="preserve">Cómo usar este libro:</t>
  </si>
  <si>
    <t xml:space="preserve">1. Las celdas amarillas con texto azul son DATOS DE ENTRADA. Cámbielas con los datos del conjunto del laboratorio; las demás hojas se recalculan solas.</t>
  </si>
  <si>
    <t xml:space="preserve">2. Las celdas verdes son RESULTADOS calculados con fórmulas: no escriba sobre ellas.</t>
  </si>
  <si>
    <t xml:space="preserve">3. Cada hoja corresponde a un paso del ejemplo resuelto de la guía y a una sección del código MATLAB.</t>
  </si>
  <si>
    <t xml:space="preserve">Hojas del libro:</t>
  </si>
  <si>
    <t xml:space="preserve">1_Datos: dimensiones del disco, coeficiente de rozamiento, fuerza de apriete y datos del mando hidráulico.</t>
  </si>
  <si>
    <t xml:space="preserve">2_Par_transmisible: radio medio por desgaste uniforme y por presión uniforme, par transmisible, factor de seguridad, presión superficial y fuerza de apriete mínima. Ecuaciones (1) a (6).</t>
  </si>
  <si>
    <t xml:space="preserve">3_Mando_hidraulico: fuerzas desde el diafragma hasta el pedal, presión del circuito y carreras. Ecuaciones (7) a (12).</t>
  </si>
  <si>
    <t xml:space="preserve">4_Energia: energía disipada en un arranque y aumento de temperatura del plato. Ecuaciones (13) y (14).</t>
  </si>
  <si>
    <t xml:space="preserve">5_Graficas: par frente a fuerza de apriete para distintos μ; fuerza y carrera del pedal frente al diámetro de la bomba.</t>
  </si>
  <si>
    <t xml:space="preserve">Interpretación:</t>
  </si>
  <si>
    <t xml:space="preserve">• El punto de trabajo debe quedar por encima de la línea 1,3·Mmax: si con el μ más bajo (forro caliente o cristalizado) cae por debajo, el embrague patinará.</t>
  </si>
  <si>
    <t xml:space="preserve">• Una bomba de mayor diámetro reduce la carrera del pedal pero aumenta la fuerza; el diseño busca menos de 150 N y unos 150 mm de carrera.</t>
  </si>
  <si>
    <t xml:space="preserve">Datos de entrada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</si>
  <si>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</si>
  <si>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</si>
  <si>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</si>
  <si>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</si>
  <si>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</si>
  <si>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Par máximo del motor</t>
  </si>
  <si>
    <t xml:space="preserve">Mmax</t>
  </si>
  <si>
    <t xml:space="preserve">N·m</t>
  </si>
  <si>
    <t xml:space="preserve">Radio exterior del forro</t>
  </si>
  <si>
    <t xml:space="preserve">R</t>
  </si>
  <si>
    <t xml:space="preserve">m</t>
  </si>
  <si>
    <t xml:space="preserve">Medir con calibrador (diámetro/2)</t>
  </si>
  <si>
    <t xml:space="preserve">Radio interior del forro</t>
  </si>
  <si>
    <t xml:space="preserve">r</t>
  </si>
  <si>
    <t xml:space="preserve">Coeficiente de rozamiento</t>
  </si>
  <si>
    <t xml:space="preserve">μ</t>
  </si>
  <si>
    <t xml:space="preserve">—</t>
  </si>
  <si>
    <t xml:space="preserve">0,25 a 0,40</t>
  </si>
  <si>
    <t xml:space="preserve">Fuerza de apriete del diafragma</t>
  </si>
  <si>
    <t xml:space="preserve">F</t>
  </si>
  <si>
    <t xml:space="preserve">N</t>
  </si>
  <si>
    <t xml:space="preserve">Ficha técnica o banco de platos</t>
  </si>
  <si>
    <t xml:space="preserve">Número de caras de fricción</t>
  </si>
  <si>
    <t xml:space="preserve">z</t>
  </si>
  <si>
    <t xml:space="preserve">2 en monodisco</t>
  </si>
  <si>
    <t xml:space="preserve">Factor de seguridad mínimo</t>
  </si>
  <si>
    <t xml:space="preserve">Sreq</t>
  </si>
  <si>
    <t xml:space="preserve">1,2 a 1,5</t>
  </si>
  <si>
    <t xml:space="preserve">Relación de palanca del diafragma</t>
  </si>
  <si>
    <t xml:space="preserve">id</t>
  </si>
  <si>
    <t xml:space="preserve">Relación de palanca de la horquilla</t>
  </si>
  <si>
    <t xml:space="preserve">ih</t>
  </si>
  <si>
    <t xml:space="preserve">Relación de palanca del pedal</t>
  </si>
  <si>
    <t xml:space="preserve">ip</t>
  </si>
  <si>
    <t xml:space="preserve">Rendimiento del mando</t>
  </si>
  <si>
    <t xml:space="preserve">ηh</t>
  </si>
  <si>
    <t xml:space="preserve">Diámetro de la bomba (cilindro maestro)</t>
  </si>
  <si>
    <t xml:space="preserve">d1</t>
  </si>
  <si>
    <t xml:space="preserve">mm</t>
  </si>
  <si>
    <t xml:space="preserve">Diámetro del bombín (cilindro receptor)</t>
  </si>
  <si>
    <t xml:space="preserve">d2</t>
  </si>
  <si>
    <t xml:space="preserve">Carrera del collarín para desembragar</t>
  </si>
  <si>
    <t xml:space="preserve">scol</t>
  </si>
  <si>
    <t xml:space="preserve">Juego libre del pedal</t>
  </si>
  <si>
    <t xml:space="preserve">sl</t>
  </si>
  <si>
    <t xml:space="preserve">Régimen del motor al embragar</t>
  </si>
  <si>
    <t xml:space="preserve">nE</t>
  </si>
  <si>
    <t xml:space="preserve">min⁻¹</t>
  </si>
  <si>
    <t xml:space="preserve">Tiempo de patinamiento</t>
  </si>
  <si>
    <t xml:space="preserve">t</t>
  </si>
  <si>
    <t xml:space="preserve">s</t>
  </si>
  <si>
    <t xml:space="preserve">Masa del plato de presión</t>
  </si>
  <si>
    <t xml:space="preserve">mp</t>
  </si>
  <si>
    <t xml:space="preserve">kg</t>
  </si>
  <si>
    <t xml:space="preserve">Calor específico del acero/fundición</t>
  </si>
  <si>
    <t xml:space="preserve">c</t>
  </si>
  <si>
    <t xml:space="preserve">J/(kg·K)</t>
  </si>
  <si>
    <t xml:space="preserve">Par transmisible y presión superficial</t>
  </si>
  <si>
    <t xml:space="preserve">RESULTADOS</t>
  </si>
  <si>
    <t xml:space="preserve">Radio medio (desgaste uniforme)</t>
  </si>
  <si>
    <t xml:space="preserve">rm,w</t>
  </si>
  <si>
    <t xml:space="preserve">Ec. (1)</t>
  </si>
  <si>
    <t xml:space="preserve">Radio medio (presión uniforme)</t>
  </si>
  <si>
    <t xml:space="preserve">rm,p</t>
  </si>
  <si>
    <t xml:space="preserve">Ec. (2)</t>
  </si>
  <si>
    <t xml:space="preserve">Par transmisible (desgaste uniforme)</t>
  </si>
  <si>
    <t xml:space="preserve">Mw</t>
  </si>
  <si>
    <t xml:space="preserve">Ec. (3)</t>
  </si>
  <si>
    <t xml:space="preserve">Par transmisible (presión uniforme)</t>
  </si>
  <si>
    <t xml:space="preserve">Mp</t>
  </si>
  <si>
    <t xml:space="preserve">Factor de seguridad</t>
  </si>
  <si>
    <t xml:space="preserve">S</t>
  </si>
  <si>
    <t xml:space="preserve">Ec. (4)</t>
  </si>
  <si>
    <t xml:space="preserve">¿Cumple el factor mínimo?</t>
  </si>
  <si>
    <t xml:space="preserve">Área de fricción de una cara</t>
  </si>
  <si>
    <t xml:space="preserve">Af</t>
  </si>
  <si>
    <t xml:space="preserve">m²</t>
  </si>
  <si>
    <t xml:space="preserve">Presión superficial</t>
  </si>
  <si>
    <t xml:space="preserve">p</t>
  </si>
  <si>
    <t xml:space="preserve">kPa</t>
  </si>
  <si>
    <t xml:space="preserve">Ec. (5)</t>
  </si>
  <si>
    <t xml:space="preserve">Fuerza de apriete mínima</t>
  </si>
  <si>
    <t xml:space="preserve">Fmin</t>
  </si>
  <si>
    <t xml:space="preserve">Ec. (6)</t>
  </si>
  <si>
    <t xml:space="preserve">F (N)</t>
  </si>
  <si>
    <t xml:space="preserve">M μ=0,25</t>
  </si>
  <si>
    <t xml:space="preserve">M μ=0,30</t>
  </si>
  <si>
    <t xml:space="preserve">M μ=0,35</t>
  </si>
  <si>
    <t xml:space="preserve">1,3·Mmax</t>
  </si>
  <si>
    <t xml:space="preserve">Fuerzas, presión y carreras del mando hidráulico</t>
  </si>
  <si>
    <t xml:space="preserve">Fuerza en el collarín</t>
  </si>
  <si>
    <t xml:space="preserve">Fcol</t>
  </si>
  <si>
    <t xml:space="preserve">Ec. (7)</t>
  </si>
  <si>
    <t xml:space="preserve">Fuerza en el bombín</t>
  </si>
  <si>
    <t xml:space="preserve">Fb</t>
  </si>
  <si>
    <t xml:space="preserve">Ec. (8)</t>
  </si>
  <si>
    <t xml:space="preserve">Área del bombín</t>
  </si>
  <si>
    <t xml:space="preserve">A2</t>
  </si>
  <si>
    <t xml:space="preserve">mm²</t>
  </si>
  <si>
    <t xml:space="preserve">Área de la bomba</t>
  </si>
  <si>
    <t xml:space="preserve">A1</t>
  </si>
  <si>
    <t xml:space="preserve">Presión en el circuito</t>
  </si>
  <si>
    <t xml:space="preserve">ph</t>
  </si>
  <si>
    <t xml:space="preserve">MPa</t>
  </si>
  <si>
    <t xml:space="preserve">Ec. (9): N/mm² = MPa</t>
  </si>
  <si>
    <t xml:space="preserve">Fuerza en la bomba</t>
  </si>
  <si>
    <t xml:space="preserve">Fm</t>
  </si>
  <si>
    <t xml:space="preserve">Ec. (10)</t>
  </si>
  <si>
    <t xml:space="preserve">Fuerza en el pedal</t>
  </si>
  <si>
    <t xml:space="preserve">Fped</t>
  </si>
  <si>
    <t xml:space="preserve">Ec. (11)</t>
  </si>
  <si>
    <t xml:space="preserve">Carrera del bombín</t>
  </si>
  <si>
    <t xml:space="preserve">s2</t>
  </si>
  <si>
    <t xml:space="preserve">Ec. (12)</t>
  </si>
  <si>
    <t xml:space="preserve">Carrera de la bomba</t>
  </si>
  <si>
    <t xml:space="preserve">s1</t>
  </si>
  <si>
    <t xml:space="preserve">Carrera total del pedal</t>
  </si>
  <si>
    <t xml:space="preserve">sped</t>
  </si>
  <si>
    <t xml:space="preserve">d1 (mm)</t>
  </si>
  <si>
    <t xml:space="preserve">A1 (mm²)</t>
  </si>
  <si>
    <t xml:space="preserve">F pedal (N)</t>
  </si>
  <si>
    <t xml:space="preserve">Carrera pedal (mm)</t>
  </si>
  <si>
    <t xml:space="preserve">Energía disipada en el arranque</t>
  </si>
  <si>
    <t xml:space="preserve">Velocidad angular del motor</t>
  </si>
  <si>
    <t xml:space="preserve">ω</t>
  </si>
  <si>
    <t xml:space="preserve">rad/s</t>
  </si>
  <si>
    <t xml:space="preserve">Energía disipada (rampa lineal)</t>
  </si>
  <si>
    <t xml:space="preserve">E</t>
  </si>
  <si>
    <t xml:space="preserve">J</t>
  </si>
  <si>
    <t xml:space="preserve">Ec. (13)</t>
  </si>
  <si>
    <t xml:space="preserve">Aumento de temperatura del plato</t>
  </si>
  <si>
    <t xml:space="preserve">ΔT</t>
  </si>
  <si>
    <t xml:space="preserve">°C</t>
  </si>
  <si>
    <t xml:space="preserve">Ec. (14)</t>
  </si>
  <si>
    <t xml:space="preserve">Mando mecánico por cable o varillas</t>
  </si>
  <si>
    <t xml:space="preserve">Relación de palanca de la horquilla (mando por cable)</t>
  </si>
  <si>
    <t xml:space="preserve">ihc</t>
  </si>
  <si>
    <t xml:space="preserve">Rendimiento del cable o varillaje</t>
  </si>
  <si>
    <t xml:space="preserve">ηc</t>
  </si>
  <si>
    <t xml:space="preserve">Cable engrasado 0,80–0,90</t>
  </si>
  <si>
    <t xml:space="preserve">Fuerza en el cable</t>
  </si>
  <si>
    <t xml:space="preserve">Fcab</t>
  </si>
  <si>
    <t xml:space="preserve">Fuerza en el pedal (cable)</t>
  </si>
  <si>
    <t xml:space="preserve">Fped,c</t>
  </si>
  <si>
    <t xml:space="preserve">Ec. (15)</t>
  </si>
  <si>
    <t xml:space="preserve">Carrera del cable</t>
  </si>
  <si>
    <t xml:space="preserve">scab</t>
  </si>
  <si>
    <t xml:space="preserve">Carrera del pedal (cable)</t>
  </si>
  <si>
    <t xml:space="preserve">sped,c</t>
  </si>
  <si>
    <t xml:space="preserve">Ec. (16)</t>
  </si>
  <si>
    <t xml:space="preserve">F pedal cable (N)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</si>
</sst>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030A0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99999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 transmisible frente a fuerza de apriete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"μ = 0,25"</c:f>
              <c:strCache>
                <c:ptCount val="1"/>
                <c:pt idx="0">
                  <c:v>μ = 0,25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2_Par_transmisible!$A$16:$A$26</c:f>
              <c:numCache>
                <c:formatCode>General</c:formatCode>
                <c:ptCount val="11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</c:numCache>
            </c:numRef>
          </c:xVal>
          <c:yVal>
            <c:numRef>
              <c:f>2_Par_transmisible!$B$16:$B$26</c:f>
              <c:numCache>
                <c:formatCode>General</c:formatCode>
                <c:ptCount val="11"/>
                <c:pt idx="0">
                  <c:v>42.5</c:v>
                </c:pt>
                <c:pt idx="1">
                  <c:v>63.75</c:v>
                </c:pt>
                <c:pt idx="2">
                  <c:v>85</c:v>
                </c:pt>
                <c:pt idx="3">
                  <c:v>106.25</c:v>
                </c:pt>
                <c:pt idx="4">
                  <c:v>127.5</c:v>
                </c:pt>
                <c:pt idx="5">
                  <c:v>148.75</c:v>
                </c:pt>
                <c:pt idx="6">
                  <c:v>170</c:v>
                </c:pt>
                <c:pt idx="7">
                  <c:v>191.25</c:v>
                </c:pt>
                <c:pt idx="8">
                  <c:v>212.5</c:v>
                </c:pt>
                <c:pt idx="9">
                  <c:v>233.75</c:v>
                </c:pt>
                <c:pt idx="10">
                  <c:v>255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"μ = 0,30"</c:f>
              <c:strCache>
                <c:ptCount val="1"/>
                <c:pt idx="0">
                  <c:v>μ = 0,30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2_Par_transmisible!$A$16:$A$26</c:f>
              <c:numCache>
                <c:formatCode>General</c:formatCode>
                <c:ptCount val="11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</c:numCache>
            </c:numRef>
          </c:xVal>
          <c:yVal>
            <c:numRef>
              <c:f>2_Par_transmisible!$C$16:$C$26</c:f>
              <c:numCache>
                <c:formatCode>General</c:formatCode>
                <c:ptCount val="11"/>
                <c:pt idx="0">
                  <c:v>51</c:v>
                </c:pt>
                <c:pt idx="1">
                  <c:v>76.5</c:v>
                </c:pt>
                <c:pt idx="2">
                  <c:v>102</c:v>
                </c:pt>
                <c:pt idx="3">
                  <c:v>127.5</c:v>
                </c:pt>
                <c:pt idx="4">
                  <c:v>153</c:v>
                </c:pt>
                <c:pt idx="5">
                  <c:v>178.5</c:v>
                </c:pt>
                <c:pt idx="6">
                  <c:v>204</c:v>
                </c:pt>
                <c:pt idx="7">
                  <c:v>229.5</c:v>
                </c:pt>
                <c:pt idx="8">
                  <c:v>255</c:v>
                </c:pt>
                <c:pt idx="9">
                  <c:v>280.5</c:v>
                </c:pt>
                <c:pt idx="10">
                  <c:v>306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"μ = 0,35"</c:f>
              <c:strCache>
                <c:ptCount val="1"/>
                <c:pt idx="0">
                  <c:v>μ = 0,35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2_Par_transmisible!$A$16:$A$26</c:f>
              <c:numCache>
                <c:formatCode>General</c:formatCode>
                <c:ptCount val="11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</c:numCache>
            </c:numRef>
          </c:xVal>
          <c:yVal>
            <c:numRef>
              <c:f>2_Par_transmisible!$D$16:$D$26</c:f>
              <c:numCache>
                <c:formatCode>General</c:formatCode>
                <c:ptCount val="11"/>
                <c:pt idx="0">
                  <c:v>59.5</c:v>
                </c:pt>
                <c:pt idx="1">
                  <c:v>89.25</c:v>
                </c:pt>
                <c:pt idx="2">
                  <c:v>119</c:v>
                </c:pt>
                <c:pt idx="3">
                  <c:v>148.75</c:v>
                </c:pt>
                <c:pt idx="4">
                  <c:v>178.5</c:v>
                </c:pt>
                <c:pt idx="5">
                  <c:v>208.25</c:v>
                </c:pt>
                <c:pt idx="6">
                  <c:v>238</c:v>
                </c:pt>
                <c:pt idx="7">
                  <c:v>267.75</c:v>
                </c:pt>
                <c:pt idx="8">
                  <c:v>297.5</c:v>
                </c:pt>
                <c:pt idx="9">
                  <c:v>327.25</c:v>
                </c:pt>
                <c:pt idx="10">
                  <c:v>357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"1,3·Mmax"</c:f>
              <c:strCache>
                <c:ptCount val="1"/>
                <c:pt idx="0">
                  <c:v>1,3·Mmax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2_Par_transmisible!$A$16:$A$26</c:f>
              <c:numCache>
                <c:formatCode>General</c:formatCode>
                <c:ptCount val="11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</c:numCache>
            </c:numRef>
          </c:xVal>
          <c:yVal>
            <c:numRef>
              <c:f>2_Par_transmisible!$E$16:$E$26</c:f>
              <c:numCache>
                <c:formatCode>General</c:formatCode>
                <c:ptCount val="11"/>
                <c:pt idx="0">
                  <c:v>156</c:v>
                </c:pt>
                <c:pt idx="1">
                  <c:v>156</c:v>
                </c:pt>
                <c:pt idx="2">
                  <c:v>156</c:v>
                </c:pt>
                <c:pt idx="3">
                  <c:v>156</c:v>
                </c:pt>
                <c:pt idx="4">
                  <c:v>156</c:v>
                </c:pt>
                <c:pt idx="5">
                  <c:v>156</c:v>
                </c:pt>
                <c:pt idx="6">
                  <c:v>156</c:v>
                </c:pt>
                <c:pt idx="7">
                  <c:v>156</c:v>
                </c:pt>
                <c:pt idx="8">
                  <c:v>156</c:v>
                </c:pt>
                <c:pt idx="9">
                  <c:v>156</c:v>
                </c:pt>
                <c:pt idx="10">
                  <c:v>156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"Mmax"</c:f>
              <c:strCache>
                <c:ptCount val="1"/>
                <c:pt idx="0">
                  <c:v>Mmax</c:v>
                </c:pt>
              </c:strCache>
            </c:strRef>
          </c:tx>
          <c:spPr>
            <a:solidFill>
              <a:srgbClr val="7030a0"/>
            </a:solidFill>
            <a:ln w="21960">
              <a:solidFill>
                <a:srgbClr val="7030a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2_Par_transmisible!$A$16:$A$26</c:f>
              <c:numCache>
                <c:formatCode>General</c:formatCode>
                <c:ptCount val="11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</c:numCache>
            </c:numRef>
          </c:xVal>
          <c:yVal>
            <c:numRef>
              <c:f>2_Par_transmisible!$F$16:$F$26</c:f>
              <c:numCache>
                <c:formatCode>General</c:formatCode>
                <c:ptCount val="1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</c:numCache>
            </c:numRef>
          </c:yVal>
          <c:smooth val="0"/>
        </c:ser>
        <c:axId val="99991492"/>
        <c:axId val="84873038"/>
      </c:scatterChart>
      <c:valAx>
        <c:axId val="999914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73038"/>
        <c:crosses val="autoZero"/>
        <c:crossBetween val="midCat"/>
      </c:valAx>
      <c:valAx>
        <c:axId val="848730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 (N·m)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9149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Fuerza en el pedal según el diámetro de la bomba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 pedal"</c:f>
              <c:strCache>
                <c:ptCount val="1"/>
                <c:pt idx="0">
                  <c:v>F pedal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3_Mando_hidraulico!$A$17:$A$26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15.9</c:v>
                </c:pt>
                <c:pt idx="5">
                  <c:v>17</c:v>
                </c:pt>
                <c:pt idx="6">
                  <c:v>19</c:v>
                </c:pt>
                <c:pt idx="7">
                  <c:v>20.6</c:v>
                </c:pt>
                <c:pt idx="8">
                  <c:v>22</c:v>
                </c:pt>
                <c:pt idx="9">
                  <c:v>25</c:v>
                </c:pt>
              </c:numCache>
            </c:numRef>
          </c:xVal>
          <c:yVal>
            <c:numRef>
              <c:f>3_Mando_hidraulico!$C$17:$C$26</c:f>
              <c:numCache>
                <c:formatCode>General</c:formatCode>
                <c:ptCount val="10"/>
                <c:pt idx="0">
                  <c:v>30.5470896478531</c:v>
                </c:pt>
                <c:pt idx="1">
                  <c:v>35.8504038228276</c:v>
                </c:pt>
                <c:pt idx="2">
                  <c:v>41.5779831318001</c:v>
                </c:pt>
                <c:pt idx="3">
                  <c:v>47.7298275747705</c:v>
                </c:pt>
                <c:pt idx="4">
                  <c:v>53.6292342630122</c:v>
                </c:pt>
                <c:pt idx="5">
                  <c:v>61.3063118627053</c:v>
                </c:pt>
                <c:pt idx="6">
                  <c:v>76.5798566866318</c:v>
                </c:pt>
                <c:pt idx="7">
                  <c:v>90.0205761316872</c:v>
                </c:pt>
                <c:pt idx="8">
                  <c:v>102.672162427506</c:v>
                </c:pt>
                <c:pt idx="9">
                  <c:v>132.582854374363</c:v>
                </c:pt>
              </c:numCache>
            </c:numRef>
          </c:yVal>
          <c:smooth val="0"/>
        </c:ser>
        <c:axId val="88058235"/>
        <c:axId val="65224515"/>
      </c:scatterChart>
      <c:valAx>
        <c:axId val="88058235"/>
        <c:scaling>
          <c:orientation val="minMax"/>
          <c:min val="1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d1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24515"/>
        <c:crosses val="autoZero"/>
        <c:crossBetween val="midCat"/>
      </c:valAx>
      <c:valAx>
        <c:axId val="6522451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 pedal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5823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Carrera del pedal según el diámetro de la bomba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"Carrera pedal"</c:f>
              <c:strCache>
                <c:ptCount val="1"/>
                <c:pt idx="0">
                  <c:v>Carrera pedal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3_Mando_hidraulico!$A$17:$A$26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15.9</c:v>
                </c:pt>
                <c:pt idx="5">
                  <c:v>17</c:v>
                </c:pt>
                <c:pt idx="6">
                  <c:v>19</c:v>
                </c:pt>
                <c:pt idx="7">
                  <c:v>20.6</c:v>
                </c:pt>
                <c:pt idx="8">
                  <c:v>22</c:v>
                </c:pt>
                <c:pt idx="9">
                  <c:v>25</c:v>
                </c:pt>
              </c:numCache>
            </c:numRef>
          </c:xVal>
          <c:yVal>
            <c:numRef>
              <c:f>3_Mando_hidraulico!$D$17:$D$26</c:f>
              <c:numCache>
                <c:formatCode>General</c:formatCode>
                <c:ptCount val="10"/>
                <c:pt idx="0">
                  <c:v>296.443</c:v>
                </c:pt>
                <c:pt idx="1">
                  <c:v>254.069775147929</c:v>
                </c:pt>
                <c:pt idx="2">
                  <c:v>220.447918367347</c:v>
                </c:pt>
                <c:pt idx="3">
                  <c:v>193.32352</c:v>
                </c:pt>
                <c:pt idx="4">
                  <c:v>173.157280170879</c:v>
                </c:pt>
                <c:pt idx="5">
                  <c:v>152.725923875433</c:v>
                </c:pt>
                <c:pt idx="6">
                  <c:v>124.259811634349</c:v>
                </c:pt>
                <c:pt idx="7">
                  <c:v>107.2</c:v>
                </c:pt>
                <c:pt idx="8">
                  <c:v>95.2227107438017</c:v>
                </c:pt>
                <c:pt idx="9">
                  <c:v>75.9964672</c:v>
                </c:pt>
              </c:numCache>
            </c:numRef>
          </c:yVal>
          <c:smooth val="0"/>
        </c:ser>
        <c:axId val="58114820"/>
        <c:axId val="70006704"/>
      </c:scatterChart>
      <c:valAx>
        <c:axId val="58114820"/>
        <c:scaling>
          <c:orientation val="minMax"/>
          <c:min val="1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d1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06704"/>
        <c:crosses val="autoZero"/>
        <c:crossBetween val="midCat"/>
      </c:valAx>
      <c:valAx>
        <c:axId val="7000670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Carrera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1482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Fuerza en el pedal según el estado del cable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 pedal"</c:f>
              <c:strCache>
                <c:ptCount val="1"/>
                <c:pt idx="0">
                  <c:v>F pedal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5_Mando_cable!$A$14:$A$21</c:f>
              <c:numCache>
                <c:formatCode>General</c:formatCode>
                <c:ptCount val="8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5_Mando_cable!$B$14:$B$21</c:f>
              <c:numCache>
                <c:formatCode>General</c:formatCode>
                <c:ptCount val="8"/>
                <c:pt idx="0">
                  <c:v>75.9548611111111</c:v>
                </c:pt>
                <c:pt idx="1">
                  <c:v>70.1121794871795</c:v>
                </c:pt>
                <c:pt idx="2">
                  <c:v>65.1041666666667</c:v>
                </c:pt>
                <c:pt idx="3">
                  <c:v>60.7638888888889</c:v>
                </c:pt>
                <c:pt idx="4">
                  <c:v>56.9661458333333</c:v>
                </c:pt>
                <c:pt idx="5">
                  <c:v>53.6151960784314</c:v>
                </c:pt>
                <c:pt idx="6">
                  <c:v>50.6365740740741</c:v>
                </c:pt>
                <c:pt idx="7">
                  <c:v>47.9714912280702</c:v>
                </c:pt>
              </c:numCache>
            </c:numRef>
          </c:yVal>
          <c:smooth val="0"/>
        </c:ser>
        <c:axId val="8890067"/>
        <c:axId val="68051230"/>
      </c:scatterChart>
      <c:valAx>
        <c:axId val="88900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ηc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51230"/>
        <c:crosses val="autoZero"/>
        <c:crossBetween val="midCat"/>
      </c:valAx>
      <c:valAx>
        <c:axId val="6805123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006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581400</xdr:colOff>
      <xdr:row>23</xdr:row>
      <xdr:rowOff>149400</xdr:rowOff>
    </xdr:to>
    <xdr:graphicFrame>
      <xdr:nvGraphicFramePr>
        <xdr:cNvPr id="0" name="Chart 1"/>
        <xdr:cNvGraphicFramePr/>
      </xdr:nvGraphicFramePr>
      <xdr:xfrm>
        <a:off x="428040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18</xdr:col>
      <xdr:colOff>581760</xdr:colOff>
      <xdr:row>22</xdr:row>
      <xdr:rowOff>169920</xdr:rowOff>
    </xdr:to>
    <xdr:graphicFrame>
      <xdr:nvGraphicFramePr>
        <xdr:cNvPr id="1" name="Chart 1"/>
        <xdr:cNvGraphicFramePr/>
      </xdr:nvGraphicFramePr>
      <xdr:xfrm>
        <a:off x="366912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41400</xdr:rowOff>
    </xdr:from>
    <xdr:to>
      <xdr:col>18</xdr:col>
      <xdr:colOff>581760</xdr:colOff>
      <xdr:row>47</xdr:row>
      <xdr:rowOff>169920</xdr:rowOff>
    </xdr:to>
    <xdr:graphicFrame>
      <xdr:nvGraphicFramePr>
        <xdr:cNvPr id="2" name="Chart 2"/>
        <xdr:cNvGraphicFramePr/>
      </xdr:nvGraphicFramePr>
      <xdr:xfrm>
        <a:off x="3669120" y="5143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18</xdr:col>
      <xdr:colOff>581760</xdr:colOff>
      <xdr:row>23</xdr:row>
      <xdr:rowOff>149400</xdr:rowOff>
    </xdr:to>
    <xdr:graphicFrame>
      <xdr:nvGraphicFramePr>
        <xdr:cNvPr id="3" name="Chart 1"/>
        <xdr:cNvGraphicFramePr/>
      </xdr:nvGraphicFramePr>
      <xdr:xfrm>
        <a:off x="1040904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28.3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15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</row>
    <row r="4" customFormat="false" ht="15" hidden="false" customHeight="false" outlineLevel="0" collapsed="false">
      <c r="A4" s="0" t="s">
        <v>21</v>
      </c>
      <c r="B4" s="0" t="s">
        <v>22</v>
      </c>
      <c r="C4" s="6" t="n">
        <v>120</v>
      </c>
      <c r="D4" s="7" t="s">
        <v>23</v>
      </c>
    </row>
    <row r="5" customFormat="false" ht="15" hidden="false" customHeight="false" outlineLevel="0" collapsed="false">
      <c r="A5" s="0" t="s">
        <v>24</v>
      </c>
      <c r="B5" s="0" t="s">
        <v>25</v>
      </c>
      <c r="C5" s="6" t="n">
        <v>0.1</v>
      </c>
      <c r="D5" s="7" t="s">
        <v>26</v>
      </c>
      <c r="E5" s="7" t="s">
        <v>27</v>
      </c>
    </row>
    <row r="6" customFormat="false" ht="15" hidden="false" customHeight="false" outlineLevel="0" collapsed="false">
      <c r="A6" s="0" t="s">
        <v>28</v>
      </c>
      <c r="B6" s="0" t="s">
        <v>29</v>
      </c>
      <c r="C6" s="6" t="n">
        <v>0.07</v>
      </c>
      <c r="D6" s="7" t="s">
        <v>26</v>
      </c>
    </row>
    <row r="7" customFormat="false" ht="15" hidden="false" customHeight="false" outlineLevel="0" collapsed="false">
      <c r="A7" s="0" t="s">
        <v>30</v>
      </c>
      <c r="B7" s="0" t="s">
        <v>31</v>
      </c>
      <c r="C7" s="6" t="n">
        <v>0.3</v>
      </c>
      <c r="D7" s="7" t="s">
        <v>32</v>
      </c>
      <c r="E7" s="7" t="s">
        <v>33</v>
      </c>
    </row>
    <row r="8" customFormat="false" ht="15" hidden="false" customHeight="false" outlineLevel="0" collapsed="false">
      <c r="A8" s="0" t="s">
        <v>34</v>
      </c>
      <c r="B8" s="0" t="s">
        <v>35</v>
      </c>
      <c r="C8" s="6" t="n">
        <v>3500</v>
      </c>
      <c r="D8" s="7" t="s">
        <v>36</v>
      </c>
      <c r="E8" s="7" t="s">
        <v>37</v>
      </c>
    </row>
    <row r="9" customFormat="false" ht="15" hidden="false" customHeight="false" outlineLevel="0" collapsed="false">
      <c r="A9" s="0" t="s">
        <v>38</v>
      </c>
      <c r="B9" s="0" t="s">
        <v>39</v>
      </c>
      <c r="C9" s="6" t="n">
        <v>2</v>
      </c>
      <c r="D9" s="7" t="s">
        <v>32</v>
      </c>
      <c r="E9" s="7" t="s">
        <v>40</v>
      </c>
    </row>
    <row r="10" customFormat="false" ht="15" hidden="false" customHeight="false" outlineLevel="0" collapsed="false">
      <c r="A10" s="0" t="s">
        <v>41</v>
      </c>
      <c r="B10" s="0" t="s">
        <v>42</v>
      </c>
      <c r="C10" s="6" t="n">
        <v>1.3</v>
      </c>
      <c r="D10" s="7" t="s">
        <v>32</v>
      </c>
      <c r="E10" s="7" t="s">
        <v>43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6" t="n">
        <v>4</v>
      </c>
      <c r="D11" s="7" t="s">
        <v>32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6" t="n">
        <v>1.8</v>
      </c>
      <c r="D12" s="7" t="s">
        <v>32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6" t="n">
        <v>6</v>
      </c>
      <c r="D13" s="7" t="s">
        <v>32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6" t="n">
        <v>0.9</v>
      </c>
      <c r="D14" s="7" t="s">
        <v>32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6" t="n">
        <v>15.9</v>
      </c>
      <c r="D15" s="7" t="s">
        <v>54</v>
      </c>
    </row>
    <row r="16" customFormat="false" ht="15" hidden="false" customHeight="false" outlineLevel="0" collapsed="false">
      <c r="A16" s="0" t="s">
        <v>55</v>
      </c>
      <c r="B16" s="0" t="s">
        <v>56</v>
      </c>
      <c r="C16" s="6" t="n">
        <v>20.6</v>
      </c>
      <c r="D16" s="7" t="s">
        <v>54</v>
      </c>
    </row>
    <row r="17" customFormat="false" ht="15" hidden="false" customHeight="false" outlineLevel="0" collapsed="false">
      <c r="A17" s="0" t="s">
        <v>57</v>
      </c>
      <c r="B17" s="0" t="s">
        <v>58</v>
      </c>
      <c r="C17" s="6" t="n">
        <v>9</v>
      </c>
      <c r="D17" s="7" t="s">
        <v>54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6" t="n">
        <v>10</v>
      </c>
      <c r="D18" s="7" t="s">
        <v>54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6" t="n">
        <v>1500</v>
      </c>
      <c r="D19" s="7" t="s">
        <v>63</v>
      </c>
    </row>
    <row r="20" customFormat="false" ht="15" hidden="false" customHeight="false" outlineLevel="0" collapsed="false">
      <c r="A20" s="0" t="s">
        <v>64</v>
      </c>
      <c r="B20" s="0" t="s">
        <v>65</v>
      </c>
      <c r="C20" s="6" t="n">
        <v>1</v>
      </c>
      <c r="D20" s="7" t="s">
        <v>66</v>
      </c>
    </row>
    <row r="21" customFormat="false" ht="15" hidden="false" customHeight="false" outlineLevel="0" collapsed="false">
      <c r="A21" s="0" t="s">
        <v>67</v>
      </c>
      <c r="B21" s="0" t="s">
        <v>68</v>
      </c>
      <c r="C21" s="6" t="n">
        <v>4</v>
      </c>
      <c r="D21" s="7" t="s">
        <v>69</v>
      </c>
    </row>
    <row r="22" customFormat="false" ht="15" hidden="false" customHeight="false" outlineLevel="0" collapsed="false">
      <c r="A22" s="0" t="s">
        <v>70</v>
      </c>
      <c r="B22" s="0" t="s">
        <v>71</v>
      </c>
      <c r="C22" s="6" t="n">
        <v>460</v>
      </c>
      <c r="D22" s="7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73</v>
      </c>
    </row>
    <row r="3" customFormat="false" ht="15" hidden="false" customHeight="false" outlineLevel="0" collapsed="false">
      <c r="A3" s="8" t="s">
        <v>74</v>
      </c>
    </row>
    <row r="4" customFormat="false" ht="15" hidden="false" customHeight="false" outlineLevel="0" collapsed="false">
      <c r="A4" s="0" t="s">
        <v>75</v>
      </c>
      <c r="B4" s="0" t="s">
        <v>76</v>
      </c>
      <c r="C4" s="9" t="n">
        <f aca="false">(Re+Ri)/2</f>
        <v>0.085</v>
      </c>
      <c r="D4" s="7" t="s">
        <v>26</v>
      </c>
      <c r="E4" s="7" t="s">
        <v>77</v>
      </c>
    </row>
    <row r="5" customFormat="false" ht="15" hidden="false" customHeight="false" outlineLevel="0" collapsed="false">
      <c r="A5" s="0" t="s">
        <v>78</v>
      </c>
      <c r="B5" s="0" t="s">
        <v>79</v>
      </c>
      <c r="C5" s="9" t="n">
        <f aca="false">2/3*(Re^3-Ri^3)/(Re^2-Ri^2)</f>
        <v>0.0858823529411765</v>
      </c>
      <c r="D5" s="7" t="s">
        <v>26</v>
      </c>
      <c r="E5" s="7" t="s">
        <v>80</v>
      </c>
    </row>
    <row r="6" customFormat="false" ht="15" hidden="false" customHeight="false" outlineLevel="0" collapsed="false">
      <c r="A6" s="0" t="s">
        <v>81</v>
      </c>
      <c r="B6" s="0" t="s">
        <v>82</v>
      </c>
      <c r="C6" s="9" t="n">
        <f aca="false">mu*Fap*rmw*zc</f>
        <v>178.5</v>
      </c>
      <c r="D6" s="7" t="s">
        <v>23</v>
      </c>
      <c r="E6" s="7" t="s">
        <v>83</v>
      </c>
    </row>
    <row r="7" customFormat="false" ht="15" hidden="false" customHeight="false" outlineLevel="0" collapsed="false">
      <c r="A7" s="0" t="s">
        <v>84</v>
      </c>
      <c r="B7" s="0" t="s">
        <v>85</v>
      </c>
      <c r="C7" s="9" t="n">
        <f aca="false">mu*Fap*rmp*zc</f>
        <v>180.352941176471</v>
      </c>
      <c r="D7" s="7" t="s">
        <v>23</v>
      </c>
      <c r="E7" s="7" t="s">
        <v>83</v>
      </c>
    </row>
    <row r="8" customFormat="false" ht="15" hidden="false" customHeight="false" outlineLevel="0" collapsed="false">
      <c r="A8" s="0" t="s">
        <v>86</v>
      </c>
      <c r="B8" s="0" t="s">
        <v>87</v>
      </c>
      <c r="C8" s="9" t="n">
        <f aca="false">Mw/Mmax</f>
        <v>1.4875</v>
      </c>
      <c r="D8" s="7" t="s">
        <v>32</v>
      </c>
      <c r="E8" s="7" t="s">
        <v>88</v>
      </c>
    </row>
    <row r="9" customFormat="false" ht="15" hidden="false" customHeight="false" outlineLevel="0" collapsed="false">
      <c r="A9" s="0" t="s">
        <v>89</v>
      </c>
      <c r="B9" s="0" t="s">
        <v>32</v>
      </c>
      <c r="C9" s="9" t="str">
        <f aca="false">IF(Sf&gt;=Sreq,"SÍ","NO: riesgo de patinamiento")</f>
        <v>SÍ</v>
      </c>
      <c r="D9" s="7" t="s">
        <v>32</v>
      </c>
    </row>
    <row r="10" customFormat="false" ht="15" hidden="false" customHeight="false" outlineLevel="0" collapsed="false">
      <c r="A10" s="0" t="s">
        <v>90</v>
      </c>
      <c r="B10" s="0" t="s">
        <v>91</v>
      </c>
      <c r="C10" s="9" t="n">
        <f aca="false">PI()*(Re^2-Ri^2)</f>
        <v>0.016022122533308</v>
      </c>
      <c r="D10" s="7" t="s">
        <v>92</v>
      </c>
    </row>
    <row r="11" customFormat="false" ht="15" hidden="false" customHeight="false" outlineLevel="0" collapsed="false">
      <c r="A11" s="0" t="s">
        <v>93</v>
      </c>
      <c r="B11" s="0" t="s">
        <v>94</v>
      </c>
      <c r="C11" s="9" t="n">
        <f aca="false">Fap/Afr/1000</f>
        <v>218.447961106523</v>
      </c>
      <c r="D11" s="7" t="s">
        <v>95</v>
      </c>
      <c r="E11" s="7" t="s">
        <v>96</v>
      </c>
    </row>
    <row r="12" customFormat="false" ht="15" hidden="false" customHeight="false" outlineLevel="0" collapsed="false">
      <c r="A12" s="0" t="s">
        <v>97</v>
      </c>
      <c r="B12" s="0" t="s">
        <v>98</v>
      </c>
      <c r="C12" s="9" t="n">
        <f aca="false">Sreq*Mmax/(mu*rmw*zc)</f>
        <v>3058.82352941176</v>
      </c>
      <c r="D12" s="7" t="s">
        <v>36</v>
      </c>
      <c r="E12" s="7" t="s">
        <v>99</v>
      </c>
    </row>
    <row r="15" customFormat="false" ht="28.35" hidden="false" customHeight="false" outlineLevel="0" collapsed="false">
      <c r="A15" s="5" t="s">
        <v>100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22</v>
      </c>
    </row>
    <row r="16" customFormat="false" ht="15" hidden="false" customHeight="false" outlineLevel="0" collapsed="false">
      <c r="A16" s="0" t="n">
        <v>1000</v>
      </c>
      <c r="B16" s="10" t="n">
        <f aca="false">0.25*A16*rmw*zc</f>
        <v>42.5</v>
      </c>
      <c r="C16" s="10" t="n">
        <f aca="false">0.3*A16*rmw*zc</f>
        <v>51</v>
      </c>
      <c r="D16" s="10" t="n">
        <f aca="false">0.35*A16*rmw*zc</f>
        <v>59.5</v>
      </c>
      <c r="E16" s="10" t="n">
        <f aca="false">Sreq*Mmax</f>
        <v>156</v>
      </c>
      <c r="F16" s="10" t="n">
        <f aca="false">Mmax</f>
        <v>120</v>
      </c>
    </row>
    <row r="17" customFormat="false" ht="15" hidden="false" customHeight="false" outlineLevel="0" collapsed="false">
      <c r="A17" s="0" t="n">
        <v>1500</v>
      </c>
      <c r="B17" s="10" t="n">
        <f aca="false">0.25*A17*rmw*zc</f>
        <v>63.75</v>
      </c>
      <c r="C17" s="10" t="n">
        <f aca="false">0.3*A17*rmw*zc</f>
        <v>76.5</v>
      </c>
      <c r="D17" s="10" t="n">
        <f aca="false">0.35*A17*rmw*zc</f>
        <v>89.25</v>
      </c>
      <c r="E17" s="10" t="n">
        <f aca="false">Sreq*Mmax</f>
        <v>156</v>
      </c>
      <c r="F17" s="10" t="n">
        <f aca="false">Mmax</f>
        <v>120</v>
      </c>
    </row>
    <row r="18" customFormat="false" ht="15" hidden="false" customHeight="false" outlineLevel="0" collapsed="false">
      <c r="A18" s="0" t="n">
        <v>2000</v>
      </c>
      <c r="B18" s="10" t="n">
        <f aca="false">0.25*A18*rmw*zc</f>
        <v>85</v>
      </c>
      <c r="C18" s="10" t="n">
        <f aca="false">0.3*A18*rmw*zc</f>
        <v>102</v>
      </c>
      <c r="D18" s="10" t="n">
        <f aca="false">0.35*A18*rmw*zc</f>
        <v>119</v>
      </c>
      <c r="E18" s="10" t="n">
        <f aca="false">Sreq*Mmax</f>
        <v>156</v>
      </c>
      <c r="F18" s="10" t="n">
        <f aca="false">Mmax</f>
        <v>120</v>
      </c>
    </row>
    <row r="19" customFormat="false" ht="15" hidden="false" customHeight="false" outlineLevel="0" collapsed="false">
      <c r="A19" s="0" t="n">
        <v>2500</v>
      </c>
      <c r="B19" s="10" t="n">
        <f aca="false">0.25*A19*rmw*zc</f>
        <v>106.25</v>
      </c>
      <c r="C19" s="10" t="n">
        <f aca="false">0.3*A19*rmw*zc</f>
        <v>127.5</v>
      </c>
      <c r="D19" s="10" t="n">
        <f aca="false">0.35*A19*rmw*zc</f>
        <v>148.75</v>
      </c>
      <c r="E19" s="10" t="n">
        <f aca="false">Sreq*Mmax</f>
        <v>156</v>
      </c>
      <c r="F19" s="10" t="n">
        <f aca="false">Mmax</f>
        <v>120</v>
      </c>
    </row>
    <row r="20" customFormat="false" ht="15" hidden="false" customHeight="false" outlineLevel="0" collapsed="false">
      <c r="A20" s="0" t="n">
        <v>3000</v>
      </c>
      <c r="B20" s="10" t="n">
        <f aca="false">0.25*A20*rmw*zc</f>
        <v>127.5</v>
      </c>
      <c r="C20" s="10" t="n">
        <f aca="false">0.3*A20*rmw*zc</f>
        <v>153</v>
      </c>
      <c r="D20" s="10" t="n">
        <f aca="false">0.35*A20*rmw*zc</f>
        <v>178.5</v>
      </c>
      <c r="E20" s="10" t="n">
        <f aca="false">Sreq*Mmax</f>
        <v>156</v>
      </c>
      <c r="F20" s="10" t="n">
        <f aca="false">Mmax</f>
        <v>120</v>
      </c>
    </row>
    <row r="21" customFormat="false" ht="15" hidden="false" customHeight="false" outlineLevel="0" collapsed="false">
      <c r="A21" s="0" t="n">
        <v>3500</v>
      </c>
      <c r="B21" s="10" t="n">
        <f aca="false">0.25*A21*rmw*zc</f>
        <v>148.75</v>
      </c>
      <c r="C21" s="10" t="n">
        <f aca="false">0.3*A21*rmw*zc</f>
        <v>178.5</v>
      </c>
      <c r="D21" s="10" t="n">
        <f aca="false">0.35*A21*rmw*zc</f>
        <v>208.25</v>
      </c>
      <c r="E21" s="10" t="n">
        <f aca="false">Sreq*Mmax</f>
        <v>156</v>
      </c>
      <c r="F21" s="10" t="n">
        <f aca="false">Mmax</f>
        <v>120</v>
      </c>
    </row>
    <row r="22" customFormat="false" ht="15" hidden="false" customHeight="false" outlineLevel="0" collapsed="false">
      <c r="A22" s="0" t="n">
        <v>4000</v>
      </c>
      <c r="B22" s="10" t="n">
        <f aca="false">0.25*A22*rmw*zc</f>
        <v>170</v>
      </c>
      <c r="C22" s="10" t="n">
        <f aca="false">0.3*A22*rmw*zc</f>
        <v>204</v>
      </c>
      <c r="D22" s="10" t="n">
        <f aca="false">0.35*A22*rmw*zc</f>
        <v>238</v>
      </c>
      <c r="E22" s="10" t="n">
        <f aca="false">Sreq*Mmax</f>
        <v>156</v>
      </c>
      <c r="F22" s="10" t="n">
        <f aca="false">Mmax</f>
        <v>120</v>
      </c>
    </row>
    <row r="23" customFormat="false" ht="15" hidden="false" customHeight="false" outlineLevel="0" collapsed="false">
      <c r="A23" s="0" t="n">
        <v>4500</v>
      </c>
      <c r="B23" s="10" t="n">
        <f aca="false">0.25*A23*rmw*zc</f>
        <v>191.25</v>
      </c>
      <c r="C23" s="10" t="n">
        <f aca="false">0.3*A23*rmw*zc</f>
        <v>229.5</v>
      </c>
      <c r="D23" s="10" t="n">
        <f aca="false">0.35*A23*rmw*zc</f>
        <v>267.75</v>
      </c>
      <c r="E23" s="10" t="n">
        <f aca="false">Sreq*Mmax</f>
        <v>156</v>
      </c>
      <c r="F23" s="10" t="n">
        <f aca="false">Mmax</f>
        <v>120</v>
      </c>
    </row>
    <row r="24" customFormat="false" ht="15" hidden="false" customHeight="false" outlineLevel="0" collapsed="false">
      <c r="A24" s="0" t="n">
        <v>5000</v>
      </c>
      <c r="B24" s="10" t="n">
        <f aca="false">0.25*A24*rmw*zc</f>
        <v>212.5</v>
      </c>
      <c r="C24" s="10" t="n">
        <f aca="false">0.3*A24*rmw*zc</f>
        <v>255</v>
      </c>
      <c r="D24" s="10" t="n">
        <f aca="false">0.35*A24*rmw*zc</f>
        <v>297.5</v>
      </c>
      <c r="E24" s="10" t="n">
        <f aca="false">Sreq*Mmax</f>
        <v>156</v>
      </c>
      <c r="F24" s="10" t="n">
        <f aca="false">Mmax</f>
        <v>120</v>
      </c>
    </row>
    <row r="25" customFormat="false" ht="15" hidden="false" customHeight="false" outlineLevel="0" collapsed="false">
      <c r="A25" s="0" t="n">
        <v>5500</v>
      </c>
      <c r="B25" s="10" t="n">
        <f aca="false">0.25*A25*rmw*zc</f>
        <v>233.75</v>
      </c>
      <c r="C25" s="10" t="n">
        <f aca="false">0.3*A25*rmw*zc</f>
        <v>280.5</v>
      </c>
      <c r="D25" s="10" t="n">
        <f aca="false">0.35*A25*rmw*zc</f>
        <v>327.25</v>
      </c>
      <c r="E25" s="10" t="n">
        <f aca="false">Sreq*Mmax</f>
        <v>156</v>
      </c>
      <c r="F25" s="10" t="n">
        <f aca="false">Mmax</f>
        <v>120</v>
      </c>
    </row>
    <row r="26" customFormat="false" ht="15" hidden="false" customHeight="false" outlineLevel="0" collapsed="false">
      <c r="A26" s="0" t="n">
        <v>6000</v>
      </c>
      <c r="B26" s="10" t="n">
        <f aca="false">0.25*A26*rmw*zc</f>
        <v>255</v>
      </c>
      <c r="C26" s="10" t="n">
        <f aca="false">0.3*A26*rmw*zc</f>
        <v>306</v>
      </c>
      <c r="D26" s="10" t="n">
        <f aca="false">0.35*A26*rmw*zc</f>
        <v>357</v>
      </c>
      <c r="E26" s="10" t="n">
        <f aca="false">Sreq*Mmax</f>
        <v>156</v>
      </c>
      <c r="F26" s="10" t="n">
        <f aca="false">Mmax</f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105</v>
      </c>
    </row>
    <row r="3" customFormat="false" ht="15" hidden="false" customHeight="false" outlineLevel="0" collapsed="false">
      <c r="A3" s="8" t="s">
        <v>74</v>
      </c>
    </row>
    <row r="4" customFormat="false" ht="15" hidden="false" customHeight="false" outlineLevel="0" collapsed="false">
      <c r="A4" s="0" t="s">
        <v>106</v>
      </c>
      <c r="B4" s="0" t="s">
        <v>107</v>
      </c>
      <c r="C4" s="9" t="n">
        <f aca="false">Fap/idia</f>
        <v>875</v>
      </c>
      <c r="D4" s="7" t="s">
        <v>36</v>
      </c>
      <c r="E4" s="7" t="s">
        <v>108</v>
      </c>
    </row>
    <row r="5" customFormat="false" ht="15" hidden="false" customHeight="false" outlineLevel="0" collapsed="false">
      <c r="A5" s="0" t="s">
        <v>109</v>
      </c>
      <c r="B5" s="0" t="s">
        <v>110</v>
      </c>
      <c r="C5" s="9" t="n">
        <f aca="false">Fcol/ih</f>
        <v>486.111111111111</v>
      </c>
      <c r="D5" s="7" t="s">
        <v>36</v>
      </c>
      <c r="E5" s="7" t="s">
        <v>111</v>
      </c>
    </row>
    <row r="6" customFormat="false" ht="15" hidden="false" customHeight="false" outlineLevel="0" collapsed="false">
      <c r="A6" s="0" t="s">
        <v>112</v>
      </c>
      <c r="B6" s="0" t="s">
        <v>113</v>
      </c>
      <c r="C6" s="9" t="n">
        <f aca="false">PI()*d2^2/4</f>
        <v>333.291564619341</v>
      </c>
      <c r="D6" s="7" t="s">
        <v>114</v>
      </c>
    </row>
    <row r="7" customFormat="false" ht="15" hidden="false" customHeight="false" outlineLevel="0" collapsed="false">
      <c r="A7" s="0" t="s">
        <v>115</v>
      </c>
      <c r="B7" s="0" t="s">
        <v>116</v>
      </c>
      <c r="C7" s="9" t="n">
        <f aca="false">PI()*d1^2/4</f>
        <v>198.556509688509</v>
      </c>
      <c r="D7" s="7" t="s">
        <v>114</v>
      </c>
    </row>
    <row r="8" customFormat="false" ht="15" hidden="false" customHeight="false" outlineLevel="0" collapsed="false">
      <c r="A8" s="0" t="s">
        <v>117</v>
      </c>
      <c r="B8" s="0" t="s">
        <v>118</v>
      </c>
      <c r="C8" s="9" t="n">
        <f aca="false">Fb/A2</f>
        <v>1.45851609435813</v>
      </c>
      <c r="D8" s="7" t="s">
        <v>119</v>
      </c>
      <c r="E8" s="7" t="s">
        <v>120</v>
      </c>
    </row>
    <row r="9" customFormat="false" ht="15" hidden="false" customHeight="false" outlineLevel="0" collapsed="false">
      <c r="A9" s="0" t="s">
        <v>121</v>
      </c>
      <c r="B9" s="0" t="s">
        <v>122</v>
      </c>
      <c r="C9" s="9" t="n">
        <f aca="false">ph*A1</f>
        <v>289.597865020266</v>
      </c>
      <c r="D9" s="7" t="s">
        <v>36</v>
      </c>
      <c r="E9" s="7" t="s">
        <v>123</v>
      </c>
    </row>
    <row r="10" customFormat="false" ht="15" hidden="false" customHeight="false" outlineLevel="0" collapsed="false">
      <c r="A10" s="0" t="s">
        <v>124</v>
      </c>
      <c r="B10" s="0" t="s">
        <v>125</v>
      </c>
      <c r="C10" s="9" t="n">
        <f aca="false">Fm/(ip*etah)</f>
        <v>53.6292342630122</v>
      </c>
      <c r="D10" s="7" t="s">
        <v>36</v>
      </c>
      <c r="E10" s="7" t="s">
        <v>126</v>
      </c>
    </row>
    <row r="11" customFormat="false" ht="15" hidden="false" customHeight="false" outlineLevel="0" collapsed="false">
      <c r="A11" s="0" t="s">
        <v>127</v>
      </c>
      <c r="B11" s="0" t="s">
        <v>128</v>
      </c>
      <c r="C11" s="9" t="n">
        <f aca="false">scol*ih</f>
        <v>16.2</v>
      </c>
      <c r="D11" s="7" t="s">
        <v>54</v>
      </c>
      <c r="E11" s="7" t="s">
        <v>129</v>
      </c>
    </row>
    <row r="12" customFormat="false" ht="15" hidden="false" customHeight="false" outlineLevel="0" collapsed="false">
      <c r="A12" s="0" t="s">
        <v>130</v>
      </c>
      <c r="B12" s="0" t="s">
        <v>131</v>
      </c>
      <c r="C12" s="9" t="n">
        <f aca="false">s2*A2/A1</f>
        <v>27.1928800284799</v>
      </c>
      <c r="D12" s="7" t="s">
        <v>54</v>
      </c>
      <c r="E12" s="7" t="s">
        <v>129</v>
      </c>
    </row>
    <row r="13" customFormat="false" ht="15" hidden="false" customHeight="false" outlineLevel="0" collapsed="false">
      <c r="A13" s="0" t="s">
        <v>132</v>
      </c>
      <c r="B13" s="0" t="s">
        <v>133</v>
      </c>
      <c r="C13" s="9" t="n">
        <f aca="false">s1*ip+sl</f>
        <v>173.157280170879</v>
      </c>
      <c r="D13" s="7" t="s">
        <v>54</v>
      </c>
      <c r="E13" s="7" t="s">
        <v>129</v>
      </c>
    </row>
    <row r="16" customFormat="false" ht="41.75" hidden="false" customHeight="false" outlineLevel="0" collapsed="false">
      <c r="A16" s="5" t="s">
        <v>134</v>
      </c>
      <c r="B16" s="5" t="s">
        <v>135</v>
      </c>
      <c r="C16" s="5" t="s">
        <v>136</v>
      </c>
      <c r="D16" s="5" t="s">
        <v>137</v>
      </c>
    </row>
    <row r="17" customFormat="false" ht="15" hidden="false" customHeight="false" outlineLevel="0" collapsed="false">
      <c r="A17" s="0" t="n">
        <v>12</v>
      </c>
      <c r="B17" s="10" t="n">
        <f aca="false">PI()*A17^2/4</f>
        <v>113.097335529233</v>
      </c>
      <c r="C17" s="10" t="n">
        <f aca="false">ph*B17/(ip*etah)</f>
        <v>30.5470896478531</v>
      </c>
      <c r="D17" s="10" t="n">
        <f aca="false">s2*A2/B17*ip+sl</f>
        <v>296.443</v>
      </c>
    </row>
    <row r="18" customFormat="false" ht="15" hidden="false" customHeight="false" outlineLevel="0" collapsed="false">
      <c r="A18" s="0" t="n">
        <v>13</v>
      </c>
      <c r="B18" s="10" t="n">
        <f aca="false">PI()*A18^2/4</f>
        <v>132.732289614169</v>
      </c>
      <c r="C18" s="10" t="n">
        <f aca="false">ph*B18/(ip*etah)</f>
        <v>35.8504038228276</v>
      </c>
      <c r="D18" s="10" t="n">
        <f aca="false">s2*A2/B18*ip+sl</f>
        <v>254.069775147929</v>
      </c>
    </row>
    <row r="19" customFormat="false" ht="15" hidden="false" customHeight="false" outlineLevel="0" collapsed="false">
      <c r="A19" s="0" t="n">
        <v>14</v>
      </c>
      <c r="B19" s="10" t="n">
        <f aca="false">PI()*A19^2/4</f>
        <v>153.9380400259</v>
      </c>
      <c r="C19" s="10" t="n">
        <f aca="false">ph*B19/(ip*etah)</f>
        <v>41.5779831318001</v>
      </c>
      <c r="D19" s="10" t="n">
        <f aca="false">s2*A2/B19*ip+sl</f>
        <v>220.447918367347</v>
      </c>
    </row>
    <row r="20" customFormat="false" ht="15" hidden="false" customHeight="false" outlineLevel="0" collapsed="false">
      <c r="A20" s="0" t="n">
        <v>15</v>
      </c>
      <c r="B20" s="10" t="n">
        <f aca="false">PI()*A20^2/4</f>
        <v>176.714586764426</v>
      </c>
      <c r="C20" s="10" t="n">
        <f aca="false">ph*B20/(ip*etah)</f>
        <v>47.7298275747705</v>
      </c>
      <c r="D20" s="10" t="n">
        <f aca="false">s2*A2/B20*ip+sl</f>
        <v>193.32352</v>
      </c>
    </row>
    <row r="21" customFormat="false" ht="15" hidden="false" customHeight="false" outlineLevel="0" collapsed="false">
      <c r="A21" s="0" t="n">
        <v>15.9</v>
      </c>
      <c r="B21" s="10" t="n">
        <f aca="false">PI()*A21^2/4</f>
        <v>198.556509688509</v>
      </c>
      <c r="C21" s="10" t="n">
        <f aca="false">ph*B21/(ip*etah)</f>
        <v>53.6292342630122</v>
      </c>
      <c r="D21" s="10" t="n">
        <f aca="false">s2*A2/B21*ip+sl</f>
        <v>173.157280170879</v>
      </c>
    </row>
    <row r="22" customFormat="false" ht="15" hidden="false" customHeight="false" outlineLevel="0" collapsed="false">
      <c r="A22" s="0" t="n">
        <v>17</v>
      </c>
      <c r="B22" s="10" t="n">
        <f aca="false">PI()*A22^2/4</f>
        <v>226.980069221863</v>
      </c>
      <c r="C22" s="10" t="n">
        <f aca="false">ph*B22/(ip*etah)</f>
        <v>61.3063118627053</v>
      </c>
      <c r="D22" s="10" t="n">
        <f aca="false">s2*A2/B22*ip+sl</f>
        <v>152.725923875433</v>
      </c>
    </row>
    <row r="23" customFormat="false" ht="15" hidden="false" customHeight="false" outlineLevel="0" collapsed="false">
      <c r="A23" s="0" t="n">
        <v>19</v>
      </c>
      <c r="B23" s="10" t="n">
        <f aca="false">PI()*A23^2/4</f>
        <v>283.528736986479</v>
      </c>
      <c r="C23" s="10" t="n">
        <f aca="false">ph*B23/(ip*etah)</f>
        <v>76.5798566866318</v>
      </c>
      <c r="D23" s="10" t="n">
        <f aca="false">s2*A2/B23*ip+sl</f>
        <v>124.259811634349</v>
      </c>
    </row>
    <row r="24" customFormat="false" ht="15" hidden="false" customHeight="false" outlineLevel="0" collapsed="false">
      <c r="A24" s="0" t="n">
        <v>20.6</v>
      </c>
      <c r="B24" s="10" t="n">
        <f aca="false">PI()*A24^2/4</f>
        <v>333.291564619341</v>
      </c>
      <c r="C24" s="10" t="n">
        <f aca="false">ph*B24/(ip*etah)</f>
        <v>90.0205761316872</v>
      </c>
      <c r="D24" s="10" t="n">
        <f aca="false">s2*A2/B24*ip+sl</f>
        <v>107.2</v>
      </c>
    </row>
    <row r="25" customFormat="false" ht="15" hidden="false" customHeight="false" outlineLevel="0" collapsed="false">
      <c r="A25" s="0" t="n">
        <v>22</v>
      </c>
      <c r="B25" s="10" t="n">
        <f aca="false">PI()*A25^2/4</f>
        <v>380.132711084365</v>
      </c>
      <c r="C25" s="10" t="n">
        <f aca="false">ph*B25/(ip*etah)</f>
        <v>102.672162427506</v>
      </c>
      <c r="D25" s="10" t="n">
        <f aca="false">s2*A2/B25*ip+sl</f>
        <v>95.2227107438017</v>
      </c>
    </row>
    <row r="26" customFormat="false" ht="15" hidden="false" customHeight="false" outlineLevel="0" collapsed="false">
      <c r="A26" s="0" t="n">
        <v>25</v>
      </c>
      <c r="B26" s="10" t="n">
        <f aca="false">PI()*A26^2/4</f>
        <v>490.873852123405</v>
      </c>
      <c r="C26" s="10" t="n">
        <f aca="false">ph*B26/(ip*etah)</f>
        <v>132.582854374363</v>
      </c>
      <c r="D26" s="10" t="n">
        <f aca="false">s2*A2/B26*ip+sl</f>
        <v>75.9964672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138</v>
      </c>
    </row>
    <row r="3" customFormat="false" ht="15" hidden="false" customHeight="false" outlineLevel="0" collapsed="false">
      <c r="A3" s="8" t="s">
        <v>74</v>
      </c>
    </row>
    <row r="4" customFormat="false" ht="15" hidden="false" customHeight="false" outlineLevel="0" collapsed="false">
      <c r="A4" s="0" t="s">
        <v>139</v>
      </c>
      <c r="B4" s="0" t="s">
        <v>140</v>
      </c>
      <c r="C4" s="9" t="n">
        <f aca="false">nE*PI()/30</f>
        <v>157.07963267949</v>
      </c>
      <c r="D4" s="7" t="s">
        <v>141</v>
      </c>
    </row>
    <row r="5" customFormat="false" ht="15" hidden="false" customHeight="false" outlineLevel="0" collapsed="false">
      <c r="A5" s="0" t="s">
        <v>142</v>
      </c>
      <c r="B5" s="0" t="s">
        <v>143</v>
      </c>
      <c r="C5" s="9" t="n">
        <f aca="false">Mw*wE*tpat/2</f>
        <v>14019.3572166445</v>
      </c>
      <c r="D5" s="7" t="s">
        <v>144</v>
      </c>
      <c r="E5" s="7" t="s">
        <v>145</v>
      </c>
    </row>
    <row r="6" customFormat="false" ht="15" hidden="false" customHeight="false" outlineLevel="0" collapsed="false">
      <c r="A6" s="0" t="s">
        <v>146</v>
      </c>
      <c r="B6" s="0" t="s">
        <v>147</v>
      </c>
      <c r="C6" s="9" t="n">
        <f aca="false">Ediss/(mpl*cesp)</f>
        <v>7.61921587861112</v>
      </c>
      <c r="D6" s="7" t="s">
        <v>148</v>
      </c>
      <c r="E6" s="7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150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</row>
    <row r="4" customFormat="false" ht="15" hidden="false" customHeight="false" outlineLevel="0" collapsed="false">
      <c r="A4" s="0" t="s">
        <v>151</v>
      </c>
      <c r="B4" s="0" t="s">
        <v>152</v>
      </c>
      <c r="C4" s="6" t="n">
        <v>3.2</v>
      </c>
      <c r="D4" s="7" t="s">
        <v>32</v>
      </c>
    </row>
    <row r="5" customFormat="false" ht="15" hidden="false" customHeight="false" outlineLevel="0" collapsed="false">
      <c r="A5" s="0" t="s">
        <v>153</v>
      </c>
      <c r="B5" s="0" t="s">
        <v>154</v>
      </c>
      <c r="C5" s="6" t="n">
        <v>0.85</v>
      </c>
      <c r="D5" s="7" t="s">
        <v>32</v>
      </c>
      <c r="E5" s="7" t="s">
        <v>155</v>
      </c>
    </row>
    <row r="7" customFormat="false" ht="15" hidden="false" customHeight="false" outlineLevel="0" collapsed="false">
      <c r="A7" s="8" t="s">
        <v>74</v>
      </c>
    </row>
    <row r="8" customFormat="false" ht="15" hidden="false" customHeight="false" outlineLevel="0" collapsed="false">
      <c r="A8" s="0" t="s">
        <v>156</v>
      </c>
      <c r="B8" s="0" t="s">
        <v>157</v>
      </c>
      <c r="C8" s="9" t="n">
        <f aca="false">Fcol/ihc</f>
        <v>273.4375</v>
      </c>
      <c r="D8" s="7" t="s">
        <v>36</v>
      </c>
    </row>
    <row r="9" customFormat="false" ht="15" hidden="false" customHeight="false" outlineLevel="0" collapsed="false">
      <c r="A9" s="0" t="s">
        <v>158</v>
      </c>
      <c r="B9" s="0" t="s">
        <v>159</v>
      </c>
      <c r="C9" s="9" t="n">
        <f aca="false">Fcol/(ihc*ip*etac)</f>
        <v>53.6151960784314</v>
      </c>
      <c r="D9" s="7" t="s">
        <v>36</v>
      </c>
      <c r="E9" s="7" t="s">
        <v>160</v>
      </c>
    </row>
    <row r="10" customFormat="false" ht="15" hidden="false" customHeight="false" outlineLevel="0" collapsed="false">
      <c r="A10" s="0" t="s">
        <v>161</v>
      </c>
      <c r="B10" s="0" t="s">
        <v>162</v>
      </c>
      <c r="C10" s="9" t="n">
        <f aca="false">scol*ihc</f>
        <v>28.8</v>
      </c>
      <c r="D10" s="7" t="s">
        <v>54</v>
      </c>
    </row>
    <row r="11" customFormat="false" ht="15" hidden="false" customHeight="false" outlineLevel="0" collapsed="false">
      <c r="A11" s="0" t="s">
        <v>163</v>
      </c>
      <c r="B11" s="0" t="s">
        <v>164</v>
      </c>
      <c r="C11" s="9" t="n">
        <f aca="false">scol*ihc*ip+sl</f>
        <v>182.8</v>
      </c>
      <c r="D11" s="7" t="s">
        <v>54</v>
      </c>
      <c r="E11" s="7" t="s">
        <v>165</v>
      </c>
    </row>
    <row r="13" customFormat="false" ht="28.35" hidden="false" customHeight="false" outlineLevel="0" collapsed="false">
      <c r="A13" s="5" t="s">
        <v>154</v>
      </c>
      <c r="B13" s="5" t="s">
        <v>166</v>
      </c>
    </row>
    <row r="14" customFormat="false" ht="15" hidden="false" customHeight="false" outlineLevel="0" collapsed="false">
      <c r="A14" s="0" t="n">
        <v>0.6</v>
      </c>
      <c r="B14" s="10" t="n">
        <f aca="false">Fcol/(ihc*ip*A14)</f>
        <v>75.9548611111111</v>
      </c>
    </row>
    <row r="15" customFormat="false" ht="15" hidden="false" customHeight="false" outlineLevel="0" collapsed="false">
      <c r="A15" s="0" t="n">
        <v>0.65</v>
      </c>
      <c r="B15" s="10" t="n">
        <f aca="false">Fcol/(ihc*ip*A15)</f>
        <v>70.1121794871795</v>
      </c>
    </row>
    <row r="16" customFormat="false" ht="15" hidden="false" customHeight="false" outlineLevel="0" collapsed="false">
      <c r="A16" s="0" t="n">
        <v>0.7</v>
      </c>
      <c r="B16" s="10" t="n">
        <f aca="false">Fcol/(ihc*ip*A16)</f>
        <v>65.1041666666667</v>
      </c>
    </row>
    <row r="17" customFormat="false" ht="15" hidden="false" customHeight="false" outlineLevel="0" collapsed="false">
      <c r="A17" s="0" t="n">
        <v>0.75</v>
      </c>
      <c r="B17" s="10" t="n">
        <f aca="false">Fcol/(ihc*ip*A17)</f>
        <v>60.7638888888889</v>
      </c>
    </row>
    <row r="18" customFormat="false" ht="15" hidden="false" customHeight="false" outlineLevel="0" collapsed="false">
      <c r="A18" s="0" t="n">
        <v>0.8</v>
      </c>
      <c r="B18" s="10" t="n">
        <f aca="false">Fcol/(ihc*ip*A18)</f>
        <v>56.9661458333333</v>
      </c>
    </row>
    <row r="19" customFormat="false" ht="15" hidden="false" customHeight="false" outlineLevel="0" collapsed="false">
      <c r="A19" s="0" t="n">
        <v>0.85</v>
      </c>
      <c r="B19" s="10" t="n">
        <f aca="false">Fcol/(ihc*ip*A19)</f>
        <v>53.6151960784314</v>
      </c>
    </row>
    <row r="20" customFormat="false" ht="15" hidden="false" customHeight="false" outlineLevel="0" collapsed="false">
      <c r="A20" s="0" t="n">
        <v>0.9</v>
      </c>
      <c r="B20" s="10" t="n">
        <f aca="false">Fcol/(ihc*ip*A20)</f>
        <v>50.6365740740741</v>
      </c>
    </row>
    <row r="21" customFormat="false" ht="15" hidden="false" customHeight="false" outlineLevel="0" collapsed="false">
      <c r="A21" s="0" t="n">
        <v>0.95</v>
      </c>
      <c r="B21" s="10" t="n">
        <f aca="false">Fcol/(ihc*ip*A21)</f>
        <v>47.9714912280702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2026-09-16T11:45:54Z</dcterms:created>
  <dc:creator>openpyxl</dc:creator>
  <dc:description/>
  <dc:language>en-US</dc:language>
  <cp:lastModifiedBy/>
  <dcterms:modified xsi:type="dcterms:W3CDTF">2026-09-16T11:45:56Z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