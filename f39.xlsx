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1_Motor_arranque" sheetId="2" state="visible" r:id="rId4"/>
    <sheet name="2_Alternador" sheetId="3" state="visible" r:id="rId5"/>
    <sheet name="3_Balance_electrico" sheetId="4" state="visible" r:id="rId6"/>
    <sheet name="4_Bateria" sheetId="5" state="visible" r:id="rId7"/>
    <sheet name="5_Encendido" sheetId="6" state="visible" r:id="rId8"/>
    <sheet name="6_Cable_y_fusi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Batería cargada: 12,6–12,8 V</t>
        </r>
      </text>
    </comment>
    <comment ref="B6" authorId="0">
      <text>
        <r>
          <rPr>
            <sz val="10"/>
            <rFont val="Arial"/>
            <family val="2"/>
          </rPr>
          <t xml:space="preserve">Batería de turismo en buen estado: 0,003–0,012 Ω</t>
        </r>
      </text>
    </comment>
    <comment ref="B7" authorId="0">
      <text>
        <r>
          <rPr>
            <sz val="10"/>
            <rFont val="Arial"/>
            <family val="2"/>
          </rPr>
          <t xml:space="preserve">Con una masa oxidada puede subir a 0,01–0,02 Ω</t>
        </r>
      </text>
    </comment>
    <comment ref="B8" authorId="0">
      <text>
        <r>
          <rPr>
            <sz val="10"/>
            <rFont val="Arial"/>
            <family val="2"/>
          </rPr>
          <t xml:space="preserve">Inducido + inductoras + escobillas</t>
        </r>
      </text>
    </comment>
    <comment ref="B9" authorId="0">
      <text>
        <r>
          <rPr>
            <sz val="10"/>
            <rFont val="Arial"/>
            <family val="2"/>
          </rPr>
          <t xml:space="preserve">Fija la velocidad en vacío del inducido</t>
        </r>
      </text>
    </comment>
    <comment ref="B13" authorId="0">
      <text>
        <r>
          <rPr>
            <sz val="10"/>
            <rFont val="Arial"/>
            <family val="2"/>
          </rPr>
          <t xml:space="preserve">Gasolina ≈ 60–100 rpm; diésel ≈ 100–200 rpm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Se alcanza hacia 6000 rpm del alternador</t>
        </r>
      </text>
    </comment>
    <comment ref="B9" authorId="0">
      <text>
        <r>
          <rPr>
            <sz val="10"/>
            <rFont val="Arial"/>
            <family val="2"/>
          </rPr>
          <t xml:space="preserve">Diámetro polea cigüeñal / diámetro polea alternador</t>
        </r>
      </text>
    </comment>
    <comment ref="B10" authorId="0">
      <text>
        <r>
          <rPr>
            <sz val="10"/>
            <rFont val="Arial"/>
            <family val="2"/>
          </rPr>
          <t xml:space="preserve">Valores típicos 0,5–0,7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Plomo-ácido: 1,1–1,3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4 cil.: 55–65 % (50–58° de leva de 90°)</t>
        </r>
      </text>
    </comment>
    <comment ref="B10" authorId="0">
      <text>
        <r>
          <rPr>
            <sz val="10"/>
            <rFont val="Arial"/>
            <family val="2"/>
          </rPr>
          <t xml:space="preserve">Convencional ≈ 3–4 Ω; electrónica ≈ 0,5–1 Ω</t>
        </r>
      </text>
    </comment>
    <comment ref="B11" authorId="0">
      <text>
        <r>
          <rPr>
            <sz val="10"/>
            <rFont val="Arial"/>
            <family val="2"/>
          </rPr>
          <t xml:space="preserve">Convencional ≈ 7–10 mH; electrónica ≈ 3–6 mH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Alumbrado 2–3 %; arranque hasta 4 %</t>
        </r>
      </text>
    </comment>
  </commentList>
</comments>
</file>

<file path=xl/sharedStrings.xml><?xml version="1.0" encoding="utf-8"?>
<sst xmlns="http://schemas.openxmlformats.org/spreadsheetml/2006/main" count="230" uniqueCount="186">
  <si>
    <t xml:space="preserve">Simuladores de Electricidad Automotriz (MA.03.02) · ISTS</t>
  </si>
  <si>
    <t xml:space="preserve">Cómo se usa</t>
  </si>
  <si>
    <t xml:space="preserve">Celdas amarillas</t>
  </si>
  <si>
    <t xml:space="preserve">Datos que el estudiante cambia (valores típicos ya cargados como ejemplo).</t>
  </si>
  <si>
    <t xml:space="preserve">Celdas verdes</t>
  </si>
  <si>
    <t xml:space="preserve">Resultados calculados con fórmulas; no se escriben a mano.</t>
  </si>
  <si>
    <t xml:space="preserve">Tablas azules y gráficos</t>
  </si>
  <si>
    <t xml:space="preserve">Se recalculan solos al cambiar cualquier dato.</t>
  </si>
  <si>
    <t xml:space="preserve">Hoja</t>
  </si>
  <si>
    <t xml:space="preserve">Qué simula</t>
  </si>
  <si>
    <t xml:space="preserve">1_Motor_arranque</t>
  </si>
  <si>
    <t xml:space="preserve">Curvas características del motor de arranque: tensión, f.c.e.m., velocidad, par, potencia útil y rendimiento en función de la corriente. Punto de potencia máxima y velocidad de arranque en el cigüeñal (Unidad 2).</t>
  </si>
  <si>
    <t xml:space="preserve">2_Alternador</t>
  </si>
  <si>
    <t xml:space="preserve">Curva característica corriente–velocidad del alternador a partir de los datos de placa (p. ej. 14 V 40/90 A), potencia eléctrica y mecánica y par que resta al motor (Unidad 2).</t>
  </si>
  <si>
    <t xml:space="preserve">3_Balance_electrico</t>
  </si>
  <si>
    <t xml:space="preserve">Balance eléctrico: suma de consumidores conectados frente a la corriente del alternador al ralentí y en marcha (Unidad 2).</t>
  </si>
  <si>
    <t xml:space="preserve">4_Bateria</t>
  </si>
  <si>
    <t xml:space="preserve">Descarga de la batería con la ley de Peukert, tensión en bornes durante el arranque y estado de carga por tensión en reposo (Unidad 1).</t>
  </si>
  <si>
    <t xml:space="preserve">5_Encendido</t>
  </si>
  <si>
    <t xml:space="preserve">Ángulo y tiempo de cierre, corriente del primario y energía de la bobina en función de las rpm, para encendido por ruptor (dwell fijo) o electrónico (tiempo de carga regulado) (Unidad 3).</t>
  </si>
  <si>
    <t xml:space="preserve">6_Cable_y_fusible</t>
  </si>
  <si>
    <t xml:space="preserve">Dimensionado de un circuito: corriente, sección mínima por caída de tensión, sección y fusible normalizados y curva de caída de tensión con la longitud (Unidades 1 y 4).</t>
  </si>
  <si>
    <t xml:space="preserve">Nota</t>
  </si>
  <si>
    <t xml:space="preserve">Los modelos son didácticos y simplificados (motor de CC lineal, curva exponencial del alternador, ley de Peukert, carga RL de la bobina). Los valores de ejemplo son orientativos: compárelos con los datos del fabricante y con las mediciones de las prácticas 4, 8, 9 y 11.</t>
  </si>
  <si>
    <t xml:space="preserve">Simulador 1 · Curvas características del motor de arranque</t>
  </si>
  <si>
    <t xml:space="preserve">Modelo de motor de corriente continua: U = E0 − I·(Ri + Rc); E′ = U − I·Rm; n = kn·E′; par M = kT·I − M0, con kT = 60/(2π·kn). Cambie las celdas amarillas y observe cómo se desplazan las curvas (p. ej. una batería con más resistencia interna o un cable de masa en mal estado).</t>
  </si>
  <si>
    <t xml:space="preserve">Datos</t>
  </si>
  <si>
    <t xml:space="preserve">Tensión en vacío de la batería E0</t>
  </si>
  <si>
    <t xml:space="preserve">V</t>
  </si>
  <si>
    <t xml:space="preserve">Resistencia interna de la batería Ri</t>
  </si>
  <si>
    <t xml:space="preserve">Ω</t>
  </si>
  <si>
    <t xml:space="preserve">Resistencia de cables y conexiones Rc</t>
  </si>
  <si>
    <t xml:space="preserve">Resistencia interna del motor Rm</t>
  </si>
  <si>
    <t xml:space="preserve">Constante de velocidad kn</t>
  </si>
  <si>
    <t xml:space="preserve">rpm/V</t>
  </si>
  <si>
    <t xml:space="preserve">Par de pérdidas M0 (rozamientos)</t>
  </si>
  <si>
    <t xml:space="preserve">N·m</t>
  </si>
  <si>
    <t xml:space="preserve">Dientes de la corona Zc</t>
  </si>
  <si>
    <t xml:space="preserve">Dientes del piñón Zp</t>
  </si>
  <si>
    <t xml:space="preserve">Velocidad mínima de arranque del motor térmico</t>
  </si>
  <si>
    <t xml:space="preserve">rpm</t>
  </si>
  <si>
    <t xml:space="preserve">Resultados</t>
  </si>
  <si>
    <t xml:space="preserve">Corriente de bloqueo Ib</t>
  </si>
  <si>
    <t xml:space="preserve">A</t>
  </si>
  <si>
    <t xml:space="preserve">Constante de par kT</t>
  </si>
  <si>
    <t xml:space="preserve">N·m/A</t>
  </si>
  <si>
    <t xml:space="preserve">Relación de transmisión i = Zc/Zp</t>
  </si>
  <si>
    <t xml:space="preserve">Corriente de potencia máxima (≈ Ib/2)</t>
  </si>
  <si>
    <t xml:space="preserve">Potencia útil máxima</t>
  </si>
  <si>
    <t xml:space="preserve">W</t>
  </si>
  <si>
    <t xml:space="preserve">Tensión en bornes del motor en el punto de Pmáx</t>
  </si>
  <si>
    <t xml:space="preserve">¿Arranca? (n cigüeñal en Pmáx ≥ mínimo)</t>
  </si>
  <si>
    <t xml:space="preserve">Punto</t>
  </si>
  <si>
    <t xml:space="preserve">I (A)</t>
  </si>
  <si>
    <t xml:space="preserve">U bornes motor (V)</t>
  </si>
  <si>
    <t xml:space="preserve">E′ f.c.e.m. (V)</t>
  </si>
  <si>
    <t xml:space="preserve">n inducido (rpm)</t>
  </si>
  <si>
    <t xml:space="preserve">n cigüeñal (rpm)</t>
  </si>
  <si>
    <t xml:space="preserve">Par inducido (N·m)</t>
  </si>
  <si>
    <t xml:space="preserve">Par en corona (N·m)</t>
  </si>
  <si>
    <t xml:space="preserve">P absorbida (W)</t>
  </si>
  <si>
    <t xml:space="preserve">P útil (W)</t>
  </si>
  <si>
    <t xml:space="preserve">Rendimiento (%)</t>
  </si>
  <si>
    <t xml:space="preserve">Notas: el par en la corona supone un rendimiento del engrane de 0,9. El modelo es lineal (flujo constante, como en los motores de imanes permanentes); en un motor de excitación serie el par crece más rápido con la corriente y la velocidad en vacío es mayor.</t>
  </si>
  <si>
    <t xml:space="preserve">Simulador 2 · Curva característica del alternador</t>
  </si>
  <si>
    <t xml:space="preserve">A partir de la placa (p. ej. «14 V 40/90 A»: 40 A a 1800 rpm y 90 A máximos) se construye la curva I = Imáx·(1 − e^(−(n − n0)/τ)) para n &gt; n0. Se calcula también la potencia eléctrica, la potencia que absorbe de la correa y el par que resta al motor térmico.</t>
  </si>
  <si>
    <t xml:space="preserve">Datos de placa y montaje</t>
  </si>
  <si>
    <t xml:space="preserve">Tensión de regulación U</t>
  </si>
  <si>
    <t xml:space="preserve">Corriente a 1800 rpm del alternador (1.er número de placa)</t>
  </si>
  <si>
    <t xml:space="preserve">Corriente máxima (2.º número de placa)</t>
  </si>
  <si>
    <t xml:space="preserve">Velocidad de cebado n0 (empieza a cargar)</t>
  </si>
  <si>
    <t xml:space="preserve">rpm alternador</t>
  </si>
  <si>
    <t xml:space="preserve">Relación de poleas (cigüeñal → alternador)</t>
  </si>
  <si>
    <t xml:space="preserve">Rendimiento del alternador η</t>
  </si>
  <si>
    <t xml:space="preserve">Velocidad de ralentí del motor</t>
  </si>
  <si>
    <t xml:space="preserve">Constante de la curva τ</t>
  </si>
  <si>
    <t xml:space="preserve">Velocidad del alternador al ralentí</t>
  </si>
  <si>
    <t xml:space="preserve">Corriente disponible al ralentí</t>
  </si>
  <si>
    <t xml:space="preserve">Potencia eléctrica máxima</t>
  </si>
  <si>
    <t xml:space="preserve">Potencia mecánica absorbida a Imáx</t>
  </si>
  <si>
    <t xml:space="preserve">n alternador (rpm)</t>
  </si>
  <si>
    <t xml:space="preserve">n motor (rpm)</t>
  </si>
  <si>
    <t xml:space="preserve">P eléctrica (W)</t>
  </si>
  <si>
    <t xml:space="preserve">P mecánica (W)</t>
  </si>
  <si>
    <t xml:space="preserve">Par en el cigüeñal (N·m)</t>
  </si>
  <si>
    <t xml:space="preserve">Simulador 3 · Balance eléctrico del vehículo</t>
  </si>
  <si>
    <t xml:space="preserve">Marque con 1 los consumidores conectados y con 0 los apagados. Se compara la corriente total con la que entrega el alternador (hoja 2) al ralentí y a 2000 rpm del motor.</t>
  </si>
  <si>
    <t xml:space="preserve">Consumidor</t>
  </si>
  <si>
    <t xml:space="preserve">Potencia (W)</t>
  </si>
  <si>
    <t xml:space="preserve">Conectado (1/0)</t>
  </si>
  <si>
    <t xml:space="preserve">Corriente (A)</t>
  </si>
  <si>
    <t xml:space="preserve">Encendido e inyección</t>
  </si>
  <si>
    <t xml:space="preserve">Bomba de combustible</t>
  </si>
  <si>
    <t xml:space="preserve">Luces de posición y matrícula (6 × 5 W)</t>
  </si>
  <si>
    <t xml:space="preserve">Luces de cruce (2 × 55 W)</t>
  </si>
  <si>
    <t xml:space="preserve">Luces de carretera (2 × 60 W)</t>
  </si>
  <si>
    <t xml:space="preserve">Antinieblas delanteras (2 × 55 W)</t>
  </si>
  <si>
    <t xml:space="preserve">Cuadro de instrumentos</t>
  </si>
  <si>
    <t xml:space="preserve">Radio / multimedia</t>
  </si>
  <si>
    <t xml:space="preserve">Limpiaparabrisas</t>
  </si>
  <si>
    <t xml:space="preserve">Soplador de calefacción (máx.)</t>
  </si>
  <si>
    <t xml:space="preserve">Luneta térmica</t>
  </si>
  <si>
    <t xml:space="preserve">Electroventilador del radiador</t>
  </si>
  <si>
    <t xml:space="preserve">Luces de freno (3 × 21 W)</t>
  </si>
  <si>
    <t xml:space="preserve">Elevalunas (uso breve)</t>
  </si>
  <si>
    <t xml:space="preserve">Corriente total consumida</t>
  </si>
  <si>
    <t xml:space="preserve">Corriente del alternador al ralentí</t>
  </si>
  <si>
    <t xml:space="preserve">Corriente del alternador a 2000 rpm del motor</t>
  </si>
  <si>
    <t xml:space="preserve">Balance al ralentí</t>
  </si>
  <si>
    <t xml:space="preserve">Balance a 2000 rpm</t>
  </si>
  <si>
    <t xml:space="preserve">Los consumos son valores típicos de turismo (orientativos); sustitúyalos por los del vehículo del laboratorio.</t>
  </si>
  <si>
    <t xml:space="preserve">Simulador 4 · Batería: descarga (Peukert), arranque y estado de carga</t>
  </si>
  <si>
    <t xml:space="preserve">Ley de Peukert: t = 20·(C20/(20·I))^k. Cuanto mayor es la corriente, menor es la capacidad realmente aprovechable. Tensión durante el arranque: U = E0 − I·Ri.</t>
  </si>
  <si>
    <t xml:space="preserve">Capacidad nominal C20</t>
  </si>
  <si>
    <t xml:space="preserve">Ah</t>
  </si>
  <si>
    <t xml:space="preserve">Exponente de Peukert k</t>
  </si>
  <si>
    <t xml:space="preserve">Tensión en reposo medida</t>
  </si>
  <si>
    <t xml:space="preserve">Resistencia interna Ri</t>
  </si>
  <si>
    <t xml:space="preserve">Corriente de arranque</t>
  </si>
  <si>
    <t xml:space="preserve">Estado de carga aproximado (por tensión en reposo)</t>
  </si>
  <si>
    <t xml:space="preserve">%</t>
  </si>
  <si>
    <t xml:space="preserve">Tensión en bornes durante el arranque</t>
  </si>
  <si>
    <t xml:space="preserve">Diagnóstico de arranque</t>
  </si>
  <si>
    <t xml:space="preserve">Potencia perdida dentro de la batería</t>
  </si>
  <si>
    <t xml:space="preserve">Corriente de descarga (A)</t>
  </si>
  <si>
    <t xml:space="preserve">Tiempo hasta 10,5 V (h)</t>
  </si>
  <si>
    <t xml:space="preserve">Tiempo (min)</t>
  </si>
  <si>
    <t xml:space="preserve">Capacidad aprovechada (Ah)</t>
  </si>
  <si>
    <t xml:space="preserve">% de C20</t>
  </si>
  <si>
    <t xml:space="preserve">La tensión de 10,5 V es el final de descarga de la norma (1,75 V por vaso). Valores a 25 °C; en frío la capacidad baja.</t>
  </si>
  <si>
    <t xml:space="preserve">Simulador 5 · Bobina de encendido: tiempo de cierre, corriente y energía</t>
  </si>
  <si>
    <t xml:space="preserve">Modo 1 (ruptor): el ángulo de cierre es un % fijo del ciclo y el tiempo de carga se acorta al subir las rpm. Modo 2 (electrónico): la unidad mantiene un tiempo de carga fijo. I = (U/R)·(1 − e^(−t·R/L)); energía W = ½·L·I².</t>
  </si>
  <si>
    <t xml:space="preserve">Número de cilindros z</t>
  </si>
  <si>
    <t xml:space="preserve">Modo (1 = ruptor, 2 = electrónico)</t>
  </si>
  <si>
    <t xml:space="preserve">Ángulo de cierre (modo 1)</t>
  </si>
  <si>
    <t xml:space="preserve">fracción</t>
  </si>
  <si>
    <t xml:space="preserve">Tiempo de carga regulado (modo 2)</t>
  </si>
  <si>
    <t xml:space="preserve">ms</t>
  </si>
  <si>
    <t xml:space="preserve">Tensión de alimentación U</t>
  </si>
  <si>
    <t xml:space="preserve">Resistencia del primario R (con balasto si lo hay)</t>
  </si>
  <si>
    <t xml:space="preserve">Inductancia del primario L</t>
  </si>
  <si>
    <t xml:space="preserve">mH</t>
  </si>
  <si>
    <t xml:space="preserve">Ángulo de leva disponible por cilindro</t>
  </si>
  <si>
    <t xml:space="preserve">°</t>
  </si>
  <si>
    <t xml:space="preserve">° de leva</t>
  </si>
  <si>
    <t xml:space="preserve">Constante de tiempo τ = L/R</t>
  </si>
  <si>
    <t xml:space="preserve">Corriente final U/R</t>
  </si>
  <si>
    <t xml:space="preserve">Energía máxima almacenable</t>
  </si>
  <si>
    <t xml:space="preserve">mJ</t>
  </si>
  <si>
    <t xml:space="preserve">rpm motor</t>
  </si>
  <si>
    <t xml:space="preserve">Chispas por segundo</t>
  </si>
  <si>
    <t xml:space="preserve">Periodo por chispa (ms)</t>
  </si>
  <si>
    <t xml:space="preserve">Tiempo de cierre (ms)</t>
  </si>
  <si>
    <t xml:space="preserve">I al abrir (A)</t>
  </si>
  <si>
    <t xml:space="preserve">Energía (mJ)</t>
  </si>
  <si>
    <t xml:space="preserve">% de la corriente final</t>
  </si>
  <si>
    <t xml:space="preserve">Simulador 6 · Dimensionado de cable y fusible</t>
  </si>
  <si>
    <t xml:space="preserve">S = ρ·L·I/ΔU. Se elige la sección normalizada inmediatamente superior y el fusible normalizado ≥ 1,25·I, comprobando que no supere la corriente admisible del cable.</t>
  </si>
  <si>
    <t xml:space="preserve">Potencia de cada consumidor</t>
  </si>
  <si>
    <t xml:space="preserve">Sección (mm²)</t>
  </si>
  <si>
    <t xml:space="preserve">I admisible (A)</t>
  </si>
  <si>
    <t xml:space="preserve">Fusibles (A)</t>
  </si>
  <si>
    <t xml:space="preserve">Número de consumidores en el circuito</t>
  </si>
  <si>
    <t xml:space="preserve">Tensión nominal</t>
  </si>
  <si>
    <t xml:space="preserve">Longitud del cable (ida; retorno por masa)</t>
  </si>
  <si>
    <t xml:space="preserve">m</t>
  </si>
  <si>
    <t xml:space="preserve">Caída de tensión admisible</t>
  </si>
  <si>
    <t xml:space="preserve">Resistividad del cobre ρ</t>
  </si>
  <si>
    <t xml:space="preserve">Ω·mm²/m</t>
  </si>
  <si>
    <t xml:space="preserve">Corriente del circuito</t>
  </si>
  <si>
    <t xml:space="preserve">Caída admisible</t>
  </si>
  <si>
    <t xml:space="preserve">Sección mínima</t>
  </si>
  <si>
    <t xml:space="preserve">mm²</t>
  </si>
  <si>
    <t xml:space="preserve">Sección normalizada elegida</t>
  </si>
  <si>
    <t xml:space="preserve">Caída de tensión real</t>
  </si>
  <si>
    <t xml:space="preserve">Corrientes admisibles orientativas para cable de automoción en mazo (contrastar con el fabricante del cable).</t>
  </si>
  <si>
    <t xml:space="preserve">Caída real (%)</t>
  </si>
  <si>
    <t xml:space="preserve">Densidad de corriente</t>
  </si>
  <si>
    <t xml:space="preserve">A/mm²</t>
  </si>
  <si>
    <t xml:space="preserve">Fusible normalizado (≥ 1,25·I)</t>
  </si>
  <si>
    <t xml:space="preserve">Corriente admisible del cable elegido</t>
  </si>
  <si>
    <t xml:space="preserve">Comprobación</t>
  </si>
  <si>
    <t xml:space="preserve">Longitud (m)</t>
  </si>
  <si>
    <t xml:space="preserve">Caída con la sección elegida (V)</t>
  </si>
  <si>
    <t xml:space="preserve">Caída (%)</t>
  </si>
  <si>
    <t xml:space="preserve">Límite admisible (V)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</si>
</sst>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00"/>
    <numFmt numFmtId="167" formatCode="0.00"/>
    <numFmt numFmtId="168" formatCode="0.0"/>
    <numFmt numFmtId="169" formatCode="0%"/>
    <numFmt numFmtId="170" formatCode="0.000"/>
    <numFmt numFmtId="171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0075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7578"/>
        <bgColor rgb="FF008080"/>
      </patternFill>
    </fill>
    <fill>
      <patternFill patternType="solid">
        <fgColor rgb="FFFFF2A8"/>
        <bgColor rgb="FFFFFFCC"/>
      </patternFill>
    </fill>
    <fill>
      <patternFill patternType="solid">
        <fgColor rgb="FFDFF1E3"/>
        <bgColor rgb="FFE4F1F1"/>
      </patternFill>
    </fill>
    <fill>
      <patternFill patternType="solid">
        <fgColor rgb="FFE4F1F1"/>
        <bgColor rgb="FFDFF1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7578"/>
      <rgbColor rgb="FFB0B0B0"/>
      <rgbColor rgb="FF878787"/>
      <rgbColor rgb="FF9999FF"/>
      <rgbColor rgb="FF993366"/>
      <rgbColor rgb="FFFFFFCC"/>
      <rgbColor rgb="FFE4F1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1E3"/>
      <rgbColor rgb="FFFFF2A8"/>
      <rgbColor rgb="FFB3C992"/>
      <rgbColor rgb="FFFF99CC"/>
      <rgbColor rgb="FFCC99FF"/>
      <rgbColor rgb="FFC0D2A7"/>
      <rgbColor rgb="FF3366FF"/>
      <rgbColor rgb="FF33CCCC"/>
      <rgbColor rgb="FF98B855"/>
      <rgbColor rgb="FFFFCC00"/>
      <rgbColor rgb="FFFF9900"/>
      <rgbColor rgb="FFFF6600"/>
      <rgbColor rgb="FF666699"/>
      <rgbColor rgb="FF87A44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Potencia, par y velocidad frente a la corriente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 útil (W)"</c:f>
              <c:strCache>
                <c:ptCount val="1"/>
                <c:pt idx="0">
                  <c:v>P útil (W)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1_Motor_arranque!$B$25:$B$45</c:f>
              <c:numCache>
                <c:formatCode>0</c:formatCode>
                <c:ptCount val="21"/>
                <c:pt idx="0">
                  <c:v>0</c:v>
                </c:pt>
                <c:pt idx="1">
                  <c:v>19.0909090909091</c:v>
                </c:pt>
                <c:pt idx="2">
                  <c:v>38.1818181818182</c:v>
                </c:pt>
                <c:pt idx="3">
                  <c:v>57.2727272727273</c:v>
                </c:pt>
                <c:pt idx="4">
                  <c:v>76.3636363636364</c:v>
                </c:pt>
                <c:pt idx="5">
                  <c:v>95.4545454545455</c:v>
                </c:pt>
                <c:pt idx="6">
                  <c:v>114.545454545455</c:v>
                </c:pt>
                <c:pt idx="7">
                  <c:v>133.636363636364</c:v>
                </c:pt>
                <c:pt idx="8">
                  <c:v>152.727272727273</c:v>
                </c:pt>
                <c:pt idx="9">
                  <c:v>171.818181818182</c:v>
                </c:pt>
                <c:pt idx="10">
                  <c:v>190.909090909091</c:v>
                </c:pt>
                <c:pt idx="11">
                  <c:v>210</c:v>
                </c:pt>
                <c:pt idx="12">
                  <c:v>229.090909090909</c:v>
                </c:pt>
                <c:pt idx="13">
                  <c:v>248.181818181818</c:v>
                </c:pt>
                <c:pt idx="14">
                  <c:v>267.272727272727</c:v>
                </c:pt>
                <c:pt idx="15">
                  <c:v>286.363636363636</c:v>
                </c:pt>
                <c:pt idx="16">
                  <c:v>305.454545454545</c:v>
                </c:pt>
                <c:pt idx="17">
                  <c:v>324.545454545455</c:v>
                </c:pt>
                <c:pt idx="18">
                  <c:v>343.636363636364</c:v>
                </c:pt>
                <c:pt idx="19">
                  <c:v>362.727272727273</c:v>
                </c:pt>
                <c:pt idx="20">
                  <c:v>381.818181818182</c:v>
                </c:pt>
              </c:numCache>
            </c:numRef>
          </c:xVal>
          <c:yVal>
            <c:numRef>
              <c:f>1_Motor_arranque!$J$24:$J$45</c:f>
              <c:numCache>
                <c:formatCode>0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195.47741357043</c:v>
                </c:pt>
                <c:pt idx="4">
                  <c:v>389.081193624598</c:v>
                </c:pt>
                <c:pt idx="5">
                  <c:v>558.63042822422</c:v>
                </c:pt>
                <c:pt idx="6">
                  <c:v>704.125117369297</c:v>
                </c:pt>
                <c:pt idx="7">
                  <c:v>825.565261059829</c:v>
                </c:pt>
                <c:pt idx="8">
                  <c:v>922.950859295816</c:v>
                </c:pt>
                <c:pt idx="9">
                  <c:v>996.281912077256</c:v>
                </c:pt>
                <c:pt idx="10">
                  <c:v>1045.55841940415</c:v>
                </c:pt>
                <c:pt idx="11">
                  <c:v>1070.7803812765</c:v>
                </c:pt>
                <c:pt idx="12">
                  <c:v>1071.94779769431</c:v>
                </c:pt>
                <c:pt idx="13">
                  <c:v>1049.06066865756</c:v>
                </c:pt>
                <c:pt idx="14">
                  <c:v>1002.11899416628</c:v>
                </c:pt>
                <c:pt idx="15">
                  <c:v>931.122774220446</c:v>
                </c:pt>
                <c:pt idx="16">
                  <c:v>836.072008820069</c:v>
                </c:pt>
                <c:pt idx="17">
                  <c:v>716.966697965146</c:v>
                </c:pt>
                <c:pt idx="18">
                  <c:v>573.806841655677</c:v>
                </c:pt>
                <c:pt idx="19">
                  <c:v>406.592439891664</c:v>
                </c:pt>
                <c:pt idx="20">
                  <c:v>215.323492673105</c:v>
                </c:pt>
                <c:pt idx="21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 absorbida (W)"</c:f>
              <c:strCache>
                <c:ptCount val="1"/>
                <c:pt idx="0">
                  <c:v>P absorbida (W)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1_Motor_arranque!$B$25:$B$45</c:f>
              <c:numCache>
                <c:formatCode>0</c:formatCode>
                <c:ptCount val="21"/>
                <c:pt idx="0">
                  <c:v>0</c:v>
                </c:pt>
                <c:pt idx="1">
                  <c:v>19.0909090909091</c:v>
                </c:pt>
                <c:pt idx="2">
                  <c:v>38.1818181818182</c:v>
                </c:pt>
                <c:pt idx="3">
                  <c:v>57.2727272727273</c:v>
                </c:pt>
                <c:pt idx="4">
                  <c:v>76.3636363636364</c:v>
                </c:pt>
                <c:pt idx="5">
                  <c:v>95.4545454545455</c:v>
                </c:pt>
                <c:pt idx="6">
                  <c:v>114.545454545455</c:v>
                </c:pt>
                <c:pt idx="7">
                  <c:v>133.636363636364</c:v>
                </c:pt>
                <c:pt idx="8">
                  <c:v>152.727272727273</c:v>
                </c:pt>
                <c:pt idx="9">
                  <c:v>171.818181818182</c:v>
                </c:pt>
                <c:pt idx="10">
                  <c:v>190.909090909091</c:v>
                </c:pt>
                <c:pt idx="11">
                  <c:v>210</c:v>
                </c:pt>
                <c:pt idx="12">
                  <c:v>229.090909090909</c:v>
                </c:pt>
                <c:pt idx="13">
                  <c:v>248.181818181818</c:v>
                </c:pt>
                <c:pt idx="14">
                  <c:v>267.272727272727</c:v>
                </c:pt>
                <c:pt idx="15">
                  <c:v>286.363636363636</c:v>
                </c:pt>
                <c:pt idx="16">
                  <c:v>305.454545454545</c:v>
                </c:pt>
                <c:pt idx="17">
                  <c:v>324.545454545455</c:v>
                </c:pt>
                <c:pt idx="18">
                  <c:v>343.636363636364</c:v>
                </c:pt>
                <c:pt idx="19">
                  <c:v>362.727272727273</c:v>
                </c:pt>
                <c:pt idx="20">
                  <c:v>381.818181818182</c:v>
                </c:pt>
              </c:numCache>
            </c:numRef>
          </c:xVal>
          <c:yVal>
            <c:numRef>
              <c:f>1_Motor_arranque!$I$24:$I$45</c:f>
              <c:numCache>
                <c:formatCode>0</c:formatCode>
                <c:ptCount val="22"/>
                <c:pt idx="1">
                  <c:v>0</c:v>
                </c:pt>
                <c:pt idx="2">
                  <c:v>235.807438016529</c:v>
                </c:pt>
                <c:pt idx="3">
                  <c:v>462.138842975207</c:v>
                </c:pt>
                <c:pt idx="4">
                  <c:v>678.994214876033</c:v>
                </c:pt>
                <c:pt idx="5">
                  <c:v>886.373553719008</c:v>
                </c:pt>
                <c:pt idx="6">
                  <c:v>1084.27685950413</c:v>
                </c:pt>
                <c:pt idx="7">
                  <c:v>1272.7041322314</c:v>
                </c:pt>
                <c:pt idx="8">
                  <c:v>1451.65537190083</c:v>
                </c:pt>
                <c:pt idx="9">
                  <c:v>1621.1305785124</c:v>
                </c:pt>
                <c:pt idx="10">
                  <c:v>1781.12975206612</c:v>
                </c:pt>
                <c:pt idx="11">
                  <c:v>1931.65289256198</c:v>
                </c:pt>
                <c:pt idx="12">
                  <c:v>2072.7</c:v>
                </c:pt>
                <c:pt idx="13">
                  <c:v>2204.27107438017</c:v>
                </c:pt>
                <c:pt idx="14">
                  <c:v>2326.36611570248</c:v>
                </c:pt>
                <c:pt idx="15">
                  <c:v>2438.98512396694</c:v>
                </c:pt>
                <c:pt idx="16">
                  <c:v>2542.12809917355</c:v>
                </c:pt>
                <c:pt idx="17">
                  <c:v>2635.79504132231</c:v>
                </c:pt>
                <c:pt idx="18">
                  <c:v>2719.98595041322</c:v>
                </c:pt>
                <c:pt idx="19">
                  <c:v>2794.70082644628</c:v>
                </c:pt>
                <c:pt idx="20">
                  <c:v>2859.93966942149</c:v>
                </c:pt>
                <c:pt idx="21">
                  <c:v>2915.70247933884</c:v>
                </c:pt>
              </c:numCache>
            </c:numRef>
          </c:yVal>
          <c:smooth val="1"/>
        </c:ser>
        <c:axId val="31165811"/>
        <c:axId val="60188387"/>
      </c:scatterChart>
      <c:scatterChart>
        <c:scatterStyle val="line"/>
        <c:varyColors val="0"/>
        <c:ser>
          <c:idx val="2"/>
          <c:order val="2"/>
          <c:tx>
            <c:strRef>
              <c:f>"n inducido (rpm)"</c:f>
              <c:strCache>
                <c:ptCount val="1"/>
                <c:pt idx="0">
                  <c:v>n inducido (rpm)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1_Motor_arranque!$B$25:$B$45</c:f>
              <c:numCache>
                <c:formatCode>0</c:formatCode>
                <c:ptCount val="21"/>
                <c:pt idx="0">
                  <c:v>0</c:v>
                </c:pt>
                <c:pt idx="1">
                  <c:v>19.0909090909091</c:v>
                </c:pt>
                <c:pt idx="2">
                  <c:v>38.1818181818182</c:v>
                </c:pt>
                <c:pt idx="3">
                  <c:v>57.2727272727273</c:v>
                </c:pt>
                <c:pt idx="4">
                  <c:v>76.3636363636364</c:v>
                </c:pt>
                <c:pt idx="5">
                  <c:v>95.4545454545455</c:v>
                </c:pt>
                <c:pt idx="6">
                  <c:v>114.545454545455</c:v>
                </c:pt>
                <c:pt idx="7">
                  <c:v>133.636363636364</c:v>
                </c:pt>
                <c:pt idx="8">
                  <c:v>152.727272727273</c:v>
                </c:pt>
                <c:pt idx="9">
                  <c:v>171.818181818182</c:v>
                </c:pt>
                <c:pt idx="10">
                  <c:v>190.909090909091</c:v>
                </c:pt>
                <c:pt idx="11">
                  <c:v>210</c:v>
                </c:pt>
                <c:pt idx="12">
                  <c:v>229.090909090909</c:v>
                </c:pt>
                <c:pt idx="13">
                  <c:v>248.181818181818</c:v>
                </c:pt>
                <c:pt idx="14">
                  <c:v>267.272727272727</c:v>
                </c:pt>
                <c:pt idx="15">
                  <c:v>286.363636363636</c:v>
                </c:pt>
                <c:pt idx="16">
                  <c:v>305.454545454545</c:v>
                </c:pt>
                <c:pt idx="17">
                  <c:v>324.545454545455</c:v>
                </c:pt>
                <c:pt idx="18">
                  <c:v>343.636363636364</c:v>
                </c:pt>
                <c:pt idx="19">
                  <c:v>362.727272727273</c:v>
                </c:pt>
                <c:pt idx="20">
                  <c:v>381.818181818182</c:v>
                </c:pt>
              </c:numCache>
            </c:numRef>
          </c:xVal>
          <c:yVal>
            <c:numRef>
              <c:f>1_Motor_arranque!$E$24:$E$45</c:f>
              <c:numCache>
                <c:formatCode>0</c:formatCode>
                <c:ptCount val="22"/>
                <c:pt idx="1">
                  <c:v>5040</c:v>
                </c:pt>
                <c:pt idx="2">
                  <c:v>4788</c:v>
                </c:pt>
                <c:pt idx="3">
                  <c:v>4536</c:v>
                </c:pt>
                <c:pt idx="4">
                  <c:v>4284</c:v>
                </c:pt>
                <c:pt idx="5">
                  <c:v>4032</c:v>
                </c:pt>
                <c:pt idx="6">
                  <c:v>3780</c:v>
                </c:pt>
                <c:pt idx="7">
                  <c:v>3528</c:v>
                </c:pt>
                <c:pt idx="8">
                  <c:v>3276</c:v>
                </c:pt>
                <c:pt idx="9">
                  <c:v>3024</c:v>
                </c:pt>
                <c:pt idx="10">
                  <c:v>2772</c:v>
                </c:pt>
                <c:pt idx="11">
                  <c:v>2520</c:v>
                </c:pt>
                <c:pt idx="12">
                  <c:v>2268</c:v>
                </c:pt>
                <c:pt idx="13">
                  <c:v>2016</c:v>
                </c:pt>
                <c:pt idx="14">
                  <c:v>1764</c:v>
                </c:pt>
                <c:pt idx="15">
                  <c:v>1512</c:v>
                </c:pt>
                <c:pt idx="16">
                  <c:v>1260</c:v>
                </c:pt>
                <c:pt idx="17">
                  <c:v>1008</c:v>
                </c:pt>
                <c:pt idx="18">
                  <c:v>755.999999999999</c:v>
                </c:pt>
                <c:pt idx="19">
                  <c:v>504</c:v>
                </c:pt>
                <c:pt idx="20">
                  <c:v>252</c:v>
                </c:pt>
                <c:pt idx="21">
                  <c:v>0</c:v>
                </c:pt>
              </c:numCache>
            </c:numRef>
          </c:yVal>
          <c:smooth val="1"/>
        </c:ser>
        <c:axId val="88974278"/>
        <c:axId val="52493721"/>
      </c:scatterChart>
      <c:valAx>
        <c:axId val="311658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I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88387"/>
        <c:crosses val="autoZero"/>
        <c:crossBetween val="midCat"/>
      </c:valAx>
      <c:valAx>
        <c:axId val="60188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65811"/>
        <c:crosses val="autoZero"/>
        <c:crossBetween val="midCat"/>
      </c:valAx>
      <c:valAx>
        <c:axId val="8897427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I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93721"/>
        <c:crosses val="autoZero"/>
        <c:crossBetween val="midCat"/>
      </c:valAx>
      <c:valAx>
        <c:axId val="5249372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 inducido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74278"/>
        <c:crosses val="max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Tensión, par y rendimiento frente a la corriente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"U bornes (V)"</c:f>
              <c:strCache>
                <c:ptCount val="1"/>
                <c:pt idx="0">
                  <c:v>U bornes (V)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1_Motor_arranque!$B$25:$B$45</c:f>
              <c:numCache>
                <c:formatCode>0</c:formatCode>
                <c:ptCount val="21"/>
                <c:pt idx="0">
                  <c:v>0</c:v>
                </c:pt>
                <c:pt idx="1">
                  <c:v>19.0909090909091</c:v>
                </c:pt>
                <c:pt idx="2">
                  <c:v>38.1818181818182</c:v>
                </c:pt>
                <c:pt idx="3">
                  <c:v>57.2727272727273</c:v>
                </c:pt>
                <c:pt idx="4">
                  <c:v>76.3636363636364</c:v>
                </c:pt>
                <c:pt idx="5">
                  <c:v>95.4545454545455</c:v>
                </c:pt>
                <c:pt idx="6">
                  <c:v>114.545454545455</c:v>
                </c:pt>
                <c:pt idx="7">
                  <c:v>133.636363636364</c:v>
                </c:pt>
                <c:pt idx="8">
                  <c:v>152.727272727273</c:v>
                </c:pt>
                <c:pt idx="9">
                  <c:v>171.818181818182</c:v>
                </c:pt>
                <c:pt idx="10">
                  <c:v>190.909090909091</c:v>
                </c:pt>
                <c:pt idx="11">
                  <c:v>210</c:v>
                </c:pt>
                <c:pt idx="12">
                  <c:v>229.090909090909</c:v>
                </c:pt>
                <c:pt idx="13">
                  <c:v>248.181818181818</c:v>
                </c:pt>
                <c:pt idx="14">
                  <c:v>267.272727272727</c:v>
                </c:pt>
                <c:pt idx="15">
                  <c:v>286.363636363636</c:v>
                </c:pt>
                <c:pt idx="16">
                  <c:v>305.454545454545</c:v>
                </c:pt>
                <c:pt idx="17">
                  <c:v>324.545454545455</c:v>
                </c:pt>
                <c:pt idx="18">
                  <c:v>343.636363636364</c:v>
                </c:pt>
                <c:pt idx="19">
                  <c:v>362.727272727273</c:v>
                </c:pt>
                <c:pt idx="20">
                  <c:v>381.818181818182</c:v>
                </c:pt>
              </c:numCache>
            </c:numRef>
          </c:xVal>
          <c:yVal>
            <c:numRef>
              <c:f>1_Motor_arranque!$C$24:$C$45</c:f>
              <c:numCache>
                <c:formatCode>0.00</c:formatCode>
                <c:ptCount val="22"/>
                <c:pt idx="1">
                  <c:v>12.6</c:v>
                </c:pt>
                <c:pt idx="2">
                  <c:v>12.3518181818182</c:v>
                </c:pt>
                <c:pt idx="3">
                  <c:v>12.1036363636364</c:v>
                </c:pt>
                <c:pt idx="4">
                  <c:v>11.8554545454545</c:v>
                </c:pt>
                <c:pt idx="5">
                  <c:v>11.6072727272727</c:v>
                </c:pt>
                <c:pt idx="6">
                  <c:v>11.3590909090909</c:v>
                </c:pt>
                <c:pt idx="7">
                  <c:v>11.1109090909091</c:v>
                </c:pt>
                <c:pt idx="8">
                  <c:v>10.8627272727273</c:v>
                </c:pt>
                <c:pt idx="9">
                  <c:v>10.6145454545455</c:v>
                </c:pt>
                <c:pt idx="10">
                  <c:v>10.3663636363636</c:v>
                </c:pt>
                <c:pt idx="11">
                  <c:v>10.1181818181818</c:v>
                </c:pt>
                <c:pt idx="12">
                  <c:v>9.87</c:v>
                </c:pt>
                <c:pt idx="13">
                  <c:v>9.62181818181818</c:v>
                </c:pt>
                <c:pt idx="14">
                  <c:v>9.37363636363636</c:v>
                </c:pt>
                <c:pt idx="15">
                  <c:v>9.12545454545455</c:v>
                </c:pt>
                <c:pt idx="16">
                  <c:v>8.87727272727273</c:v>
                </c:pt>
                <c:pt idx="17">
                  <c:v>8.62909090909091</c:v>
                </c:pt>
                <c:pt idx="18">
                  <c:v>8.38090909090909</c:v>
                </c:pt>
                <c:pt idx="19">
                  <c:v>8.13272727272727</c:v>
                </c:pt>
                <c:pt idx="20">
                  <c:v>7.88454545454545</c:v>
                </c:pt>
                <c:pt idx="21">
                  <c:v>7.63636363636364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"Par inducido (N·m)"</c:f>
              <c:strCache>
                <c:ptCount val="1"/>
                <c:pt idx="0">
                  <c:v>Par inducido (N·m)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1_Motor_arranque!$B$25:$B$45</c:f>
              <c:numCache>
                <c:formatCode>0</c:formatCode>
                <c:ptCount val="21"/>
                <c:pt idx="0">
                  <c:v>0</c:v>
                </c:pt>
                <c:pt idx="1">
                  <c:v>19.0909090909091</c:v>
                </c:pt>
                <c:pt idx="2">
                  <c:v>38.1818181818182</c:v>
                </c:pt>
                <c:pt idx="3">
                  <c:v>57.2727272727273</c:v>
                </c:pt>
                <c:pt idx="4">
                  <c:v>76.3636363636364</c:v>
                </c:pt>
                <c:pt idx="5">
                  <c:v>95.4545454545455</c:v>
                </c:pt>
                <c:pt idx="6">
                  <c:v>114.545454545455</c:v>
                </c:pt>
                <c:pt idx="7">
                  <c:v>133.636363636364</c:v>
                </c:pt>
                <c:pt idx="8">
                  <c:v>152.727272727273</c:v>
                </c:pt>
                <c:pt idx="9">
                  <c:v>171.818181818182</c:v>
                </c:pt>
                <c:pt idx="10">
                  <c:v>190.909090909091</c:v>
                </c:pt>
                <c:pt idx="11">
                  <c:v>210</c:v>
                </c:pt>
                <c:pt idx="12">
                  <c:v>229.090909090909</c:v>
                </c:pt>
                <c:pt idx="13">
                  <c:v>248.181818181818</c:v>
                </c:pt>
                <c:pt idx="14">
                  <c:v>267.272727272727</c:v>
                </c:pt>
                <c:pt idx="15">
                  <c:v>286.363636363636</c:v>
                </c:pt>
                <c:pt idx="16">
                  <c:v>305.454545454545</c:v>
                </c:pt>
                <c:pt idx="17">
                  <c:v>324.545454545455</c:v>
                </c:pt>
                <c:pt idx="18">
                  <c:v>343.636363636364</c:v>
                </c:pt>
                <c:pt idx="19">
                  <c:v>362.727272727273</c:v>
                </c:pt>
                <c:pt idx="20">
                  <c:v>381.818181818182</c:v>
                </c:pt>
              </c:numCache>
            </c:numRef>
          </c:xVal>
          <c:yVal>
            <c:numRef>
              <c:f>1_Motor_arranque!$G$24:$G$45</c:f>
              <c:numCache>
                <c:formatCode>0.00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0.411523764980855</c:v>
                </c:pt>
                <c:pt idx="4">
                  <c:v>0.867285647471283</c:v>
                </c:pt>
                <c:pt idx="5">
                  <c:v>1.32304752996171</c:v>
                </c:pt>
                <c:pt idx="6">
                  <c:v>1.77880941245214</c:v>
                </c:pt>
                <c:pt idx="7">
                  <c:v>2.23457129494257</c:v>
                </c:pt>
                <c:pt idx="8">
                  <c:v>2.69033317743299</c:v>
                </c:pt>
                <c:pt idx="9">
                  <c:v>3.14609505992342</c:v>
                </c:pt>
                <c:pt idx="10">
                  <c:v>3.60185694241385</c:v>
                </c:pt>
                <c:pt idx="11">
                  <c:v>4.05761882490428</c:v>
                </c:pt>
                <c:pt idx="12">
                  <c:v>4.5133807073947</c:v>
                </c:pt>
                <c:pt idx="13">
                  <c:v>4.96914258988513</c:v>
                </c:pt>
                <c:pt idx="14">
                  <c:v>5.42490447237556</c:v>
                </c:pt>
                <c:pt idx="15">
                  <c:v>5.88066635486599</c:v>
                </c:pt>
                <c:pt idx="16">
                  <c:v>6.33642823735641</c:v>
                </c:pt>
                <c:pt idx="17">
                  <c:v>6.79219011984684</c:v>
                </c:pt>
                <c:pt idx="18">
                  <c:v>7.24795200233727</c:v>
                </c:pt>
                <c:pt idx="19">
                  <c:v>7.7037138848277</c:v>
                </c:pt>
                <c:pt idx="20">
                  <c:v>8.15947576731812</c:v>
                </c:pt>
                <c:pt idx="21">
                  <c:v>8.61523764980855</c:v>
                </c:pt>
              </c:numCache>
            </c:numRef>
          </c:yVal>
          <c:smooth val="1"/>
        </c:ser>
        <c:axId val="19215952"/>
        <c:axId val="86382657"/>
      </c:scatterChart>
      <c:scatterChart>
        <c:scatterStyle val="line"/>
        <c:varyColors val="0"/>
        <c:ser>
          <c:idx val="2"/>
          <c:order val="2"/>
          <c:tx>
            <c:strRef>
              <c:f>"Rendimiento (%)"</c:f>
              <c:strCache>
                <c:ptCount val="1"/>
                <c:pt idx="0">
                  <c:v>Rendimiento (%)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1_Motor_arranque!$B$25:$B$45</c:f>
              <c:numCache>
                <c:formatCode>0</c:formatCode>
                <c:ptCount val="21"/>
                <c:pt idx="0">
                  <c:v>0</c:v>
                </c:pt>
                <c:pt idx="1">
                  <c:v>19.0909090909091</c:v>
                </c:pt>
                <c:pt idx="2">
                  <c:v>38.1818181818182</c:v>
                </c:pt>
                <c:pt idx="3">
                  <c:v>57.2727272727273</c:v>
                </c:pt>
                <c:pt idx="4">
                  <c:v>76.3636363636364</c:v>
                </c:pt>
                <c:pt idx="5">
                  <c:v>95.4545454545455</c:v>
                </c:pt>
                <c:pt idx="6">
                  <c:v>114.545454545455</c:v>
                </c:pt>
                <c:pt idx="7">
                  <c:v>133.636363636364</c:v>
                </c:pt>
                <c:pt idx="8">
                  <c:v>152.727272727273</c:v>
                </c:pt>
                <c:pt idx="9">
                  <c:v>171.818181818182</c:v>
                </c:pt>
                <c:pt idx="10">
                  <c:v>190.909090909091</c:v>
                </c:pt>
                <c:pt idx="11">
                  <c:v>210</c:v>
                </c:pt>
                <c:pt idx="12">
                  <c:v>229.090909090909</c:v>
                </c:pt>
                <c:pt idx="13">
                  <c:v>248.181818181818</c:v>
                </c:pt>
                <c:pt idx="14">
                  <c:v>267.272727272727</c:v>
                </c:pt>
                <c:pt idx="15">
                  <c:v>286.363636363636</c:v>
                </c:pt>
                <c:pt idx="16">
                  <c:v>305.454545454545</c:v>
                </c:pt>
                <c:pt idx="17">
                  <c:v>324.545454545455</c:v>
                </c:pt>
                <c:pt idx="18">
                  <c:v>343.636363636364</c:v>
                </c:pt>
                <c:pt idx="19">
                  <c:v>362.727272727273</c:v>
                </c:pt>
                <c:pt idx="20">
                  <c:v>381.818181818182</c:v>
                </c:pt>
              </c:numCache>
            </c:numRef>
          </c:xVal>
          <c:yVal>
            <c:numRef>
              <c:f>1_Motor_arranque!$K$24:$K$45</c:f>
              <c:numCache>
                <c:formatCode>0.00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42.2984167078371</c:v>
                </c:pt>
                <c:pt idx="4">
                  <c:v>57.3025785934913</c:v>
                </c:pt>
                <c:pt idx="5">
                  <c:v>63.0242662227841</c:v>
                </c:pt>
                <c:pt idx="6">
                  <c:v>64.9396057102346</c:v>
                </c:pt>
                <c:pt idx="7">
                  <c:v>64.8670213408032</c:v>
                </c:pt>
                <c:pt idx="8">
                  <c:v>63.579199110274</c:v>
                </c:pt>
                <c:pt idx="9">
                  <c:v>61.4559940625806</c:v>
                </c:pt>
                <c:pt idx="10">
                  <c:v>58.7019793583988</c:v>
                </c:pt>
                <c:pt idx="11">
                  <c:v>55.4333744638928</c:v>
                </c:pt>
                <c:pt idx="12">
                  <c:v>51.7174602062192</c:v>
                </c:pt>
                <c:pt idx="13">
                  <c:v>47.592180510401</c:v>
                </c:pt>
                <c:pt idx="14">
                  <c:v>43.0765814289585</c:v>
                </c:pt>
                <c:pt idx="15">
                  <c:v>38.1766483555259</c:v>
                </c:pt>
                <c:pt idx="16">
                  <c:v>32.888665566927</c:v>
                </c:pt>
                <c:pt idx="17">
                  <c:v>27.2011551249243</c:v>
                </c:pt>
                <c:pt idx="18">
                  <c:v>21.0959487334302</c:v>
                </c:pt>
                <c:pt idx="19">
                  <c:v>14.5486928705955</c:v>
                </c:pt>
                <c:pt idx="20">
                  <c:v>7.52895227040438</c:v>
                </c:pt>
                <c:pt idx="21">
                  <c:v>0</c:v>
                </c:pt>
              </c:numCache>
            </c:numRef>
          </c:yVal>
          <c:smooth val="1"/>
        </c:ser>
        <c:axId val="58321243"/>
        <c:axId val="15084633"/>
      </c:scatterChart>
      <c:valAx>
        <c:axId val="192159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I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82657"/>
        <c:crosses val="autoZero"/>
        <c:crossBetween val="midCat"/>
      </c:valAx>
      <c:valAx>
        <c:axId val="86382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Tensión (V) / par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15952"/>
        <c:crosses val="autoZero"/>
        <c:crossBetween val="midCat"/>
      </c:valAx>
      <c:valAx>
        <c:axId val="58321243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I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84633"/>
        <c:crosses val="autoZero"/>
        <c:crossBetween val="midCat"/>
      </c:valAx>
      <c:valAx>
        <c:axId val="1508463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Rendimiento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21243"/>
        <c:crosses val="max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característica del alternador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(A)"</c:f>
              <c:strCache>
                <c:ptCount val="1"/>
                <c:pt idx="0">
                  <c:v>I (A)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2_Alternador!$A$21:$A$51</c:f>
              <c:numCache>
                <c:formatCode>0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xVal>
          <c:yVal>
            <c:numRef>
              <c:f>2_Alternador!$C$20:$C$51</c:f>
              <c:numCache>
                <c:formatCode>0.0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27.6699904045649</c:v>
                </c:pt>
                <c:pt idx="5">
                  <c:v>46.8329989314775</c:v>
                </c:pt>
                <c:pt idx="6">
                  <c:v>60.1044489910315</c:v>
                </c:pt>
                <c:pt idx="7">
                  <c:v>69.2956668750019</c:v>
                </c:pt>
                <c:pt idx="8">
                  <c:v>75.6610968627976</c:v>
                </c:pt>
                <c:pt idx="9">
                  <c:v>80.0695114430018</c:v>
                </c:pt>
                <c:pt idx="10">
                  <c:v>83.1225839217216</c:v>
                </c:pt>
                <c:pt idx="11">
                  <c:v>85.237006553879</c:v>
                </c:pt>
                <c:pt idx="12">
                  <c:v>86.7013619200031</c:v>
                </c:pt>
                <c:pt idx="13">
                  <c:v>87.7155095202436</c:v>
                </c:pt>
                <c:pt idx="14">
                  <c:v>88.4178631830679</c:v>
                </c:pt>
                <c:pt idx="15">
                  <c:v>88.9042821891036</c:v>
                </c:pt>
                <c:pt idx="16">
                  <c:v>89.2411544259216</c:v>
                </c:pt>
                <c:pt idx="17">
                  <c:v>89.4744572009582</c:v>
                </c:pt>
                <c:pt idx="18">
                  <c:v>89.6360323588101</c:v>
                </c:pt>
                <c:pt idx="19">
                  <c:v>89.7479321492468</c:v>
                </c:pt>
                <c:pt idx="20">
                  <c:v>89.8254289827094</c:v>
                </c:pt>
                <c:pt idx="21">
                  <c:v>89.8790998535244</c:v>
                </c:pt>
                <c:pt idx="22">
                  <c:v>89.916269919001</c:v>
                </c:pt>
                <c:pt idx="23">
                  <c:v>89.94201225831</c:v>
                </c:pt>
                <c:pt idx="24">
                  <c:v>89.9598402611561</c:v>
                </c:pt>
                <c:pt idx="25">
                  <c:v>89.9721871454723</c:v>
                </c:pt>
                <c:pt idx="26">
                  <c:v>89.9807380501157</c:v>
                </c:pt>
                <c:pt idx="27">
                  <c:v>89.9866600275432</c:v>
                </c:pt>
                <c:pt idx="28">
                  <c:v>89.9907613265418</c:v>
                </c:pt>
                <c:pt idx="29">
                  <c:v>89.9936017043856</c:v>
                </c:pt>
                <c:pt idx="30">
                  <c:v>89.995568824144</c:v>
                </c:pt>
                <c:pt idx="31">
                  <c:v>89.9969311640708</c:v>
                </c:pt>
              </c:numCache>
            </c:numRef>
          </c:yVal>
          <c:smooth val="1"/>
        </c:ser>
        <c:axId val="71968538"/>
        <c:axId val="57966490"/>
      </c:scatterChart>
      <c:scatterChart>
        <c:scatterStyle val="line"/>
        <c:varyColors val="0"/>
        <c:ser>
          <c:idx val="1"/>
          <c:order val="1"/>
          <c:tx>
            <c:strRef>
              <c:f>"P mecánica (W)"</c:f>
              <c:strCache>
                <c:ptCount val="1"/>
                <c:pt idx="0">
                  <c:v>P mecánica (W)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2_Alternador!$A$21:$A$51</c:f>
              <c:numCache>
                <c:formatCode>0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xVal>
          <c:yVal>
            <c:numRef>
              <c:f>2_Alternador!$E$20:$E$51</c:f>
              <c:numCache>
                <c:formatCode>0.0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645.633109439848</c:v>
                </c:pt>
                <c:pt idx="5">
                  <c:v>1092.76997506781</c:v>
                </c:pt>
                <c:pt idx="6">
                  <c:v>1402.43714312407</c:v>
                </c:pt>
                <c:pt idx="7">
                  <c:v>1616.89889375005</c:v>
                </c:pt>
                <c:pt idx="8">
                  <c:v>1765.42559346528</c:v>
                </c:pt>
                <c:pt idx="9">
                  <c:v>1868.28860033671</c:v>
                </c:pt>
                <c:pt idx="10">
                  <c:v>1939.5269581735</c:v>
                </c:pt>
                <c:pt idx="11">
                  <c:v>1988.86348625718</c:v>
                </c:pt>
                <c:pt idx="12">
                  <c:v>2023.03177813341</c:v>
                </c:pt>
                <c:pt idx="13">
                  <c:v>2046.69522213902</c:v>
                </c:pt>
                <c:pt idx="14">
                  <c:v>2063.08347427158</c:v>
                </c:pt>
                <c:pt idx="15">
                  <c:v>2074.43325107909</c:v>
                </c:pt>
                <c:pt idx="16">
                  <c:v>2082.2936032715</c:v>
                </c:pt>
                <c:pt idx="17">
                  <c:v>2087.73733468902</c:v>
                </c:pt>
                <c:pt idx="18">
                  <c:v>2091.50742170557</c:v>
                </c:pt>
                <c:pt idx="19">
                  <c:v>2094.11841681576</c:v>
                </c:pt>
                <c:pt idx="20">
                  <c:v>2095.92667626322</c:v>
                </c:pt>
                <c:pt idx="21">
                  <c:v>2097.17899658224</c:v>
                </c:pt>
                <c:pt idx="22">
                  <c:v>2098.04629811002</c:v>
                </c:pt>
                <c:pt idx="23">
                  <c:v>2098.6469526939</c:v>
                </c:pt>
                <c:pt idx="24">
                  <c:v>2099.06293942698</c:v>
                </c:pt>
                <c:pt idx="25">
                  <c:v>2099.35103339435</c:v>
                </c:pt>
                <c:pt idx="26">
                  <c:v>2099.5505545027</c:v>
                </c:pt>
                <c:pt idx="27">
                  <c:v>2099.68873397601</c:v>
                </c:pt>
                <c:pt idx="28">
                  <c:v>2099.78443095264</c:v>
                </c:pt>
                <c:pt idx="29">
                  <c:v>2099.85070643566</c:v>
                </c:pt>
                <c:pt idx="30">
                  <c:v>2099.89660589669</c:v>
                </c:pt>
                <c:pt idx="31">
                  <c:v>2099.92839382832</c:v>
                </c:pt>
              </c:numCache>
            </c:numRef>
          </c:yVal>
          <c:smooth val="1"/>
        </c:ser>
        <c:axId val="31332434"/>
        <c:axId val="97599965"/>
      </c:scatterChart>
      <c:valAx>
        <c:axId val="719685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del alternador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66490"/>
        <c:crosses val="autoZero"/>
        <c:crossBetween val="midCat"/>
      </c:valAx>
      <c:valAx>
        <c:axId val="57966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68538"/>
        <c:crosses val="autoZero"/>
        <c:crossBetween val="midCat"/>
      </c:valAx>
      <c:valAx>
        <c:axId val="3133243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del alternador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99965"/>
        <c:crosses val="autoZero"/>
        <c:crossBetween val="midCat"/>
      </c:valAx>
      <c:valAx>
        <c:axId val="9759996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mecánica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32434"/>
        <c:crosses val="max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 que el alternador resta al motor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"Par en el cigüeñal (N·m)"</c:f>
              <c:strCache>
                <c:ptCount val="1"/>
                <c:pt idx="0">
                  <c:v>Par en el cigüeñal (N·m)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2_Alternador!$A$21:$A$51</c:f>
              <c:numCache>
                <c:formatCode>0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  <c:pt idx="21">
                  <c:v>10500</c:v>
                </c:pt>
                <c:pt idx="22">
                  <c:v>11000</c:v>
                </c:pt>
                <c:pt idx="23">
                  <c:v>11500</c:v>
                </c:pt>
                <c:pt idx="24">
                  <c:v>12000</c:v>
                </c:pt>
                <c:pt idx="25">
                  <c:v>12500</c:v>
                </c:pt>
                <c:pt idx="26">
                  <c:v>13000</c:v>
                </c:pt>
                <c:pt idx="27">
                  <c:v>13500</c:v>
                </c:pt>
                <c:pt idx="28">
                  <c:v>14000</c:v>
                </c:pt>
                <c:pt idx="29">
                  <c:v>14500</c:v>
                </c:pt>
                <c:pt idx="30">
                  <c:v>15000</c:v>
                </c:pt>
              </c:numCache>
            </c:numRef>
          </c:xVal>
          <c:yVal>
            <c:numRef>
              <c:f>2_Alternador!$F$20:$F$51</c:f>
              <c:numCache>
                <c:formatCode>0.0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10.6865928822788</c:v>
                </c:pt>
                <c:pt idx="5">
                  <c:v>13.565739969167</c:v>
                </c:pt>
                <c:pt idx="6">
                  <c:v>13.9279797511216</c:v>
                </c:pt>
                <c:pt idx="7">
                  <c:v>13.3815474738471</c:v>
                </c:pt>
                <c:pt idx="8">
                  <c:v>12.5235110680877</c:v>
                </c:pt>
                <c:pt idx="9">
                  <c:v>11.5965472687672</c:v>
                </c:pt>
                <c:pt idx="10">
                  <c:v>10.7010904919811</c:v>
                </c:pt>
                <c:pt idx="11">
                  <c:v>9.87596859515166</c:v>
                </c:pt>
                <c:pt idx="12">
                  <c:v>9.13239621334895</c:v>
                </c:pt>
                <c:pt idx="13">
                  <c:v>8.46928320175573</c:v>
                </c:pt>
                <c:pt idx="14">
                  <c:v>7.88039839059657</c:v>
                </c:pt>
                <c:pt idx="15">
                  <c:v>7.35776910566495</c:v>
                </c:pt>
                <c:pt idx="16">
                  <c:v>6.89327225452931</c:v>
                </c:pt>
                <c:pt idx="17">
                  <c:v>6.47933747551851</c:v>
                </c:pt>
                <c:pt idx="18">
                  <c:v>6.10921225526364</c:v>
                </c:pt>
                <c:pt idx="19">
                  <c:v>5.77701448923737</c:v>
                </c:pt>
                <c:pt idx="20">
                  <c:v>5.4776869661191</c:v>
                </c:pt>
                <c:pt idx="21">
                  <c:v>5.2069119001312</c:v>
                </c:pt>
                <c:pt idx="22">
                  <c:v>4.96101452495796</c:v>
                </c:pt>
                <c:pt idx="23">
                  <c:v>4.7368696060775</c:v>
                </c:pt>
                <c:pt idx="24">
                  <c:v>4.53181685709964</c:v>
                </c:pt>
                <c:pt idx="25">
                  <c:v>4.34358722524727</c:v>
                </c:pt>
                <c:pt idx="26">
                  <c:v>4.17024003577502</c:v>
                </c:pt>
                <c:pt idx="27">
                  <c:v>4.01011009159974</c:v>
                </c:pt>
                <c:pt idx="28">
                  <c:v>3.86176349420062</c:v>
                </c:pt>
                <c:pt idx="29">
                  <c:v>3.72396090505301</c:v>
                </c:pt>
                <c:pt idx="30">
                  <c:v>3.59562705313207</c:v>
                </c:pt>
                <c:pt idx="31">
                  <c:v>3.47582543377474</c:v>
                </c:pt>
              </c:numCache>
            </c:numRef>
          </c:yVal>
          <c:smooth val="1"/>
        </c:ser>
        <c:axId val="53047611"/>
        <c:axId val="53744505"/>
      </c:scatterChart>
      <c:valAx>
        <c:axId val="530476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del alternador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44505"/>
        <c:crosses val="autoZero"/>
        <c:crossBetween val="midCat"/>
      </c:valAx>
      <c:valAx>
        <c:axId val="53744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476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Capacidad aprovechable según la corriente (Peukert)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"Capacidad aprovechada (Ah)"</c:f>
              <c:strCache>
                <c:ptCount val="1"/>
                <c:pt idx="0">
                  <c:v>Capacidad aprovechada (Ah)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4_Bateria!$A$18:$A$33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7.5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60</c:v>
                </c:pt>
                <c:pt idx="11">
                  <c:v>80</c:v>
                </c:pt>
                <c:pt idx="12">
                  <c:v>100</c:v>
                </c:pt>
                <c:pt idx="13">
                  <c:v>150</c:v>
                </c:pt>
                <c:pt idx="14">
                  <c:v>200</c:v>
                </c:pt>
                <c:pt idx="15">
                  <c:v>300</c:v>
                </c:pt>
              </c:numCache>
            </c:numRef>
          </c:xVal>
          <c:yVal>
            <c:numRef>
              <c:f>4_Bateria!$D$17:$D$33</c:f>
              <c:numCache>
                <c:formatCode>0.0</c:formatCode>
                <c:ptCount val="17"/>
                <c:pt idx="1">
                  <c:v>78.9644407771496</c:v>
                </c:pt>
                <c:pt idx="2">
                  <c:v>66.4009151820193</c:v>
                </c:pt>
                <c:pt idx="3">
                  <c:v>60</c:v>
                </c:pt>
                <c:pt idx="4">
                  <c:v>52.8067042076036</c:v>
                </c:pt>
                <c:pt idx="5">
                  <c:v>47.716243726023</c:v>
                </c:pt>
                <c:pt idx="6">
                  <c:v>44.4049682695371</c:v>
                </c:pt>
                <c:pt idx="7">
                  <c:v>40.1244182985853</c:v>
                </c:pt>
                <c:pt idx="8">
                  <c:v>37.3399786373087</c:v>
                </c:pt>
                <c:pt idx="9">
                  <c:v>33.7404795114209</c:v>
                </c:pt>
                <c:pt idx="10">
                  <c:v>31.3990541817632</c:v>
                </c:pt>
                <c:pt idx="11">
                  <c:v>28.3722482700953</c:v>
                </c:pt>
                <c:pt idx="12">
                  <c:v>26.4033521038018</c:v>
                </c:pt>
                <c:pt idx="13">
                  <c:v>24.9707487017269</c:v>
                </c:pt>
                <c:pt idx="14">
                  <c:v>22.5636185585184</c:v>
                </c:pt>
                <c:pt idx="15">
                  <c:v>20.9978130694835</c:v>
                </c:pt>
                <c:pt idx="16">
                  <c:v>18.9736659610103</c:v>
                </c:pt>
              </c:numCache>
            </c:numRef>
          </c:yVal>
          <c:smooth val="1"/>
        </c:ser>
        <c:axId val="79176291"/>
        <c:axId val="69291471"/>
      </c:scatterChart>
      <c:valAx>
        <c:axId val="791762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de descarga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91471"/>
        <c:crosses val="autoZero"/>
        <c:crossBetween val="midCat"/>
      </c:valAx>
      <c:valAx>
        <c:axId val="69291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Capacidad (Ah)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762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Corriente del primario y energía frente a las rpm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al abrir (A)"</c:f>
              <c:strCache>
                <c:ptCount val="1"/>
                <c:pt idx="0">
                  <c:v>I al abrir (A)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5_Encendido!$A$21:$A$47</c:f>
              <c:numCache>
                <c:formatCode>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5_Encendido!$E$20:$E$47</c:f>
              <c:numCache>
                <c:formatCode>0.00</c:formatCode>
                <c:ptCount val="28"/>
                <c:pt idx="1">
                  <c:v>4.49999383068411</c:v>
                </c:pt>
                <c:pt idx="2">
                  <c:v>4.49944465588161</c:v>
                </c:pt>
                <c:pt idx="3">
                  <c:v>4.49473104170644</c:v>
                </c:pt>
                <c:pt idx="4">
                  <c:v>4.47967538575824</c:v>
                </c:pt>
                <c:pt idx="5">
                  <c:v>4.45000951557791</c:v>
                </c:pt>
                <c:pt idx="6">
                  <c:v>4.40492274053468</c:v>
                </c:pt>
                <c:pt idx="7">
                  <c:v>4.3460184675975</c:v>
                </c:pt>
                <c:pt idx="8">
                  <c:v>4.27595819234461</c:v>
                </c:pt>
                <c:pt idx="9">
                  <c:v>4.19757519267113</c:v>
                </c:pt>
                <c:pt idx="10">
                  <c:v>4.11343995132956</c:v>
                </c:pt>
                <c:pt idx="11">
                  <c:v>4.02570348947161</c:v>
                </c:pt>
                <c:pt idx="12">
                  <c:v>3.93608157820138</c:v>
                </c:pt>
                <c:pt idx="13">
                  <c:v>3.84589934444769</c:v>
                </c:pt>
                <c:pt idx="14">
                  <c:v>3.75615500300286</c:v>
                </c:pt>
                <c:pt idx="15">
                  <c:v>3.66758370041713</c:v>
                </c:pt>
                <c:pt idx="16">
                  <c:v>3.58071390819496</c:v>
                </c:pt>
                <c:pt idx="17">
                  <c:v>3.49591427933207</c:v>
                </c:pt>
                <c:pt idx="18">
                  <c:v>3.41343128269627</c:v>
                </c:pt>
                <c:pt idx="19">
                  <c:v>3.33341882709349</c:v>
                </c:pt>
                <c:pt idx="20">
                  <c:v>3.25596129016696</c:v>
                </c:pt>
                <c:pt idx="21">
                  <c:v>3.1810912772231</c:v>
                </c:pt>
                <c:pt idx="22">
                  <c:v>3.10880324254943</c:v>
                </c:pt>
                <c:pt idx="23">
                  <c:v>3.03906389688743</c:v>
                </c:pt>
                <c:pt idx="24">
                  <c:v>2.97182013459777</c:v>
                </c:pt>
                <c:pt idx="25">
                  <c:v>2.90700505396477</c:v>
                </c:pt>
                <c:pt idx="26">
                  <c:v>2.84454251472851</c:v>
                </c:pt>
                <c:pt idx="27">
                  <c:v>2.78435057485936</c:v>
                </c:pt>
              </c:numCache>
            </c:numRef>
          </c:yVal>
          <c:smooth val="1"/>
        </c:ser>
        <c:axId val="23769038"/>
        <c:axId val="66932688"/>
      </c:scatterChart>
      <c:scatterChart>
        <c:scatterStyle val="line"/>
        <c:varyColors val="0"/>
        <c:ser>
          <c:idx val="1"/>
          <c:order val="1"/>
          <c:tx>
            <c:strRef>
              <c:f>"Energía (mJ)"</c:f>
              <c:strCache>
                <c:ptCount val="1"/>
                <c:pt idx="0">
                  <c:v>Energía (mJ)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5_Encendido!$A$21:$A$47</c:f>
              <c:numCache>
                <c:formatCode>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5_Encendido!$F$20:$F$47</c:f>
              <c:numCache>
                <c:formatCode>0.0</c:formatCode>
                <c:ptCount val="28"/>
                <c:pt idx="1">
                  <c:v>80.9997779047803</c:v>
                </c:pt>
                <c:pt idx="2">
                  <c:v>80.9800088453663</c:v>
                </c:pt>
                <c:pt idx="3">
                  <c:v>80.8104285491178</c:v>
                </c:pt>
                <c:pt idx="4">
                  <c:v>80.2699662470731</c:v>
                </c:pt>
                <c:pt idx="5">
                  <c:v>79.2103387549358</c:v>
                </c:pt>
                <c:pt idx="6">
                  <c:v>77.6133774003181</c:v>
                </c:pt>
                <c:pt idx="7">
                  <c:v>75.5515060827942</c:v>
                </c:pt>
                <c:pt idx="8">
                  <c:v>73.135273850716</c:v>
                </c:pt>
                <c:pt idx="9">
                  <c:v>70.4785499925122</c:v>
                </c:pt>
                <c:pt idx="10">
                  <c:v>67.6815529327764</c:v>
                </c:pt>
                <c:pt idx="11">
                  <c:v>64.8251543405756</c:v>
                </c:pt>
                <c:pt idx="12">
                  <c:v>61.9709527610252</c:v>
                </c:pt>
                <c:pt idx="13">
                  <c:v>59.1637670704927</c:v>
                </c:pt>
                <c:pt idx="14">
                  <c:v>56.4348016263337</c:v>
                </c:pt>
                <c:pt idx="15">
                  <c:v>53.8046807982617</c:v>
                </c:pt>
                <c:pt idx="16">
                  <c:v>51.2860483693633</c:v>
                </c:pt>
                <c:pt idx="17">
                  <c:v>48.8856665937514</c:v>
                </c:pt>
                <c:pt idx="18">
                  <c:v>46.606052486758</c:v>
                </c:pt>
                <c:pt idx="19">
                  <c:v>44.4467243072853</c:v>
                </c:pt>
                <c:pt idx="20">
                  <c:v>42.4051356922628</c:v>
                </c:pt>
                <c:pt idx="21">
                  <c:v>40.4773668560996</c:v>
                </c:pt>
                <c:pt idx="22">
                  <c:v>38.6586304035433</c:v>
                </c:pt>
                <c:pt idx="23">
                  <c:v>36.9436374774584</c:v>
                </c:pt>
                <c:pt idx="24">
                  <c:v>35.3268596496029</c:v>
                </c:pt>
                <c:pt idx="25">
                  <c:v>33.8027135351069</c:v>
                </c:pt>
                <c:pt idx="26">
                  <c:v>32.365688472392</c:v>
                </c:pt>
                <c:pt idx="27">
                  <c:v>31.0104324948787</c:v>
                </c:pt>
              </c:numCache>
            </c:numRef>
          </c:yVal>
          <c:smooth val="1"/>
        </c:ser>
        <c:axId val="14577668"/>
        <c:axId val="96693535"/>
      </c:scatterChart>
      <c:valAx>
        <c:axId val="237690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del motor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32688"/>
        <c:crosses val="autoZero"/>
        <c:crossBetween val="midCat"/>
      </c:valAx>
      <c:valAx>
        <c:axId val="66932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69038"/>
        <c:crosses val="autoZero"/>
        <c:crossBetween val="midCat"/>
      </c:valAx>
      <c:valAx>
        <c:axId val="14577668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del motor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93535"/>
        <c:crosses val="autoZero"/>
        <c:crossBetween val="midCat"/>
      </c:valAx>
      <c:valAx>
        <c:axId val="9669353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Energía (mJ)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77668"/>
        <c:crosses val="max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de cierre frente a las rpm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"Tiempo de cierre (ms)"</c:f>
              <c:strCache>
                <c:ptCount val="1"/>
                <c:pt idx="0">
                  <c:v>Tiempo de cierre (ms)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5_Encendido!$A$21:$A$47</c:f>
              <c:numCache>
                <c:formatCode>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5_Encendido!$D$20:$D$47</c:f>
              <c:numCache>
                <c:formatCode>0.00</c:formatCode>
                <c:ptCount val="28"/>
                <c:pt idx="1">
                  <c:v>36</c:v>
                </c:pt>
                <c:pt idx="2">
                  <c:v>24</c:v>
                </c:pt>
                <c:pt idx="3">
                  <c:v>18</c:v>
                </c:pt>
                <c:pt idx="4">
                  <c:v>14.4</c:v>
                </c:pt>
                <c:pt idx="5">
                  <c:v>12</c:v>
                </c:pt>
                <c:pt idx="6">
                  <c:v>10.2857142857143</c:v>
                </c:pt>
                <c:pt idx="7">
                  <c:v>9</c:v>
                </c:pt>
                <c:pt idx="8">
                  <c:v>8</c:v>
                </c:pt>
                <c:pt idx="9">
                  <c:v>7.2</c:v>
                </c:pt>
                <c:pt idx="10">
                  <c:v>6.54545454545455</c:v>
                </c:pt>
                <c:pt idx="11">
                  <c:v>6</c:v>
                </c:pt>
                <c:pt idx="12">
                  <c:v>5.53846153846154</c:v>
                </c:pt>
                <c:pt idx="13">
                  <c:v>5.14285714285714</c:v>
                </c:pt>
                <c:pt idx="14">
                  <c:v>4.8</c:v>
                </c:pt>
                <c:pt idx="15">
                  <c:v>4.5</c:v>
                </c:pt>
                <c:pt idx="16">
                  <c:v>4.23529411764706</c:v>
                </c:pt>
                <c:pt idx="17">
                  <c:v>4</c:v>
                </c:pt>
                <c:pt idx="18">
                  <c:v>3.78947368421053</c:v>
                </c:pt>
                <c:pt idx="19">
                  <c:v>3.6</c:v>
                </c:pt>
                <c:pt idx="20">
                  <c:v>3.42857142857143</c:v>
                </c:pt>
                <c:pt idx="21">
                  <c:v>3.27272727272727</c:v>
                </c:pt>
                <c:pt idx="22">
                  <c:v>3.1304347826087</c:v>
                </c:pt>
                <c:pt idx="23">
                  <c:v>3</c:v>
                </c:pt>
                <c:pt idx="24">
                  <c:v>2.88</c:v>
                </c:pt>
                <c:pt idx="25">
                  <c:v>2.76923076923077</c:v>
                </c:pt>
                <c:pt idx="26">
                  <c:v>2.66666666666667</c:v>
                </c:pt>
                <c:pt idx="27">
                  <c:v>2.57142857142857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"Periodo por chispa (ms)"</c:f>
              <c:strCache>
                <c:ptCount val="1"/>
                <c:pt idx="0">
                  <c:v>Periodo por chispa (ms)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5_Encendido!$A$21:$A$47</c:f>
              <c:numCache>
                <c:formatCode>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5_Encendido!$C$20:$C$47</c:f>
              <c:numCache>
                <c:formatCode>0.00</c:formatCode>
                <c:ptCount val="28"/>
                <c:pt idx="1">
                  <c:v>60</c:v>
                </c:pt>
                <c:pt idx="2">
                  <c:v>40</c:v>
                </c:pt>
                <c:pt idx="3">
                  <c:v>30</c:v>
                </c:pt>
                <c:pt idx="4">
                  <c:v>24</c:v>
                </c:pt>
                <c:pt idx="5">
                  <c:v>20</c:v>
                </c:pt>
                <c:pt idx="6">
                  <c:v>17.1428571428571</c:v>
                </c:pt>
                <c:pt idx="7">
                  <c:v>15</c:v>
                </c:pt>
                <c:pt idx="8">
                  <c:v>13.3333333333333</c:v>
                </c:pt>
                <c:pt idx="9">
                  <c:v>12</c:v>
                </c:pt>
                <c:pt idx="10">
                  <c:v>10.9090909090909</c:v>
                </c:pt>
                <c:pt idx="11">
                  <c:v>10</c:v>
                </c:pt>
                <c:pt idx="12">
                  <c:v>9.23076923076923</c:v>
                </c:pt>
                <c:pt idx="13">
                  <c:v>8.57142857142857</c:v>
                </c:pt>
                <c:pt idx="14">
                  <c:v>8</c:v>
                </c:pt>
                <c:pt idx="15">
                  <c:v>7.5</c:v>
                </c:pt>
                <c:pt idx="16">
                  <c:v>7.05882352941177</c:v>
                </c:pt>
                <c:pt idx="17">
                  <c:v>6.66666666666667</c:v>
                </c:pt>
                <c:pt idx="18">
                  <c:v>6.31578947368421</c:v>
                </c:pt>
                <c:pt idx="19">
                  <c:v>6</c:v>
                </c:pt>
                <c:pt idx="20">
                  <c:v>5.71428571428571</c:v>
                </c:pt>
                <c:pt idx="21">
                  <c:v>5.45454545454545</c:v>
                </c:pt>
                <c:pt idx="22">
                  <c:v>5.21739130434783</c:v>
                </c:pt>
                <c:pt idx="23">
                  <c:v>5</c:v>
                </c:pt>
                <c:pt idx="24">
                  <c:v>4.8</c:v>
                </c:pt>
                <c:pt idx="25">
                  <c:v>4.61538461538462</c:v>
                </c:pt>
                <c:pt idx="26">
                  <c:v>4.44444444444445</c:v>
                </c:pt>
                <c:pt idx="27">
                  <c:v>4.28571428571429</c:v>
                </c:pt>
              </c:numCache>
            </c:numRef>
          </c:yVal>
          <c:smooth val="1"/>
        </c:ser>
        <c:axId val="87663776"/>
        <c:axId val="90684279"/>
      </c:scatterChart>
      <c:valAx>
        <c:axId val="876637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del motor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84279"/>
        <c:crosses val="autoZero"/>
        <c:crossBetween val="midCat"/>
      </c:valAx>
      <c:valAx>
        <c:axId val="90684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637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Caída de tensión según la longitud del cable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"Caída con la sección elegida (V)"</c:f>
              <c:strCache>
                <c:ptCount val="1"/>
                <c:pt idx="0">
                  <c:v>Caída con la sección elegida (V)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6_Cable_y_fusible!$A$26:$A$38</c:f>
              <c:numCache>
                <c:formatCode>General</c:formatCode>
                <c:ptCount val="1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</c:numCache>
            </c:numRef>
          </c:xVal>
          <c:yVal>
            <c:numRef>
              <c:f>6_Cable_y_fusible!$B$25:$B$38</c:f>
              <c:numCache>
                <c:formatCode>0.000</c:formatCode>
                <c:ptCount val="14"/>
                <c:pt idx="1">
                  <c:v>0.0543888888888889</c:v>
                </c:pt>
                <c:pt idx="2">
                  <c:v>0.108777777777778</c:v>
                </c:pt>
                <c:pt idx="3">
                  <c:v>0.163166666666667</c:v>
                </c:pt>
                <c:pt idx="4">
                  <c:v>0.217555555555556</c:v>
                </c:pt>
                <c:pt idx="5">
                  <c:v>0.271944444444444</c:v>
                </c:pt>
                <c:pt idx="6">
                  <c:v>0.326333333333333</c:v>
                </c:pt>
                <c:pt idx="7">
                  <c:v>0.380722222222222</c:v>
                </c:pt>
                <c:pt idx="8">
                  <c:v>0.435111111111111</c:v>
                </c:pt>
                <c:pt idx="9">
                  <c:v>0.4895</c:v>
                </c:pt>
                <c:pt idx="10">
                  <c:v>0.543888888888889</c:v>
                </c:pt>
                <c:pt idx="11">
                  <c:v>0.598277777777778</c:v>
                </c:pt>
                <c:pt idx="12">
                  <c:v>0.652666666666667</c:v>
                </c:pt>
                <c:pt idx="13">
                  <c:v>0.707055555555555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"Límite admisible (V)"</c:f>
              <c:strCache>
                <c:ptCount val="1"/>
                <c:pt idx="0">
                  <c:v>Límite admisible (V)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6_Cable_y_fusible!$A$26:$A$38</c:f>
              <c:numCache>
                <c:formatCode>General</c:formatCode>
                <c:ptCount val="1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</c:numCache>
            </c:numRef>
          </c:xVal>
          <c:yVal>
            <c:numRef>
              <c:f>6_Cable_y_fusible!$D$25:$D$38</c:f>
              <c:numCache>
                <c:formatCode>0.00</c:formatCode>
                <c:ptCount val="14"/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</c:numCache>
            </c:numRef>
          </c:yVal>
          <c:smooth val="1"/>
        </c:ser>
        <c:axId val="60198520"/>
        <c:axId val="26774699"/>
      </c:scatterChart>
      <c:valAx>
        <c:axId val="601985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Longitud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74699"/>
        <c:crosses val="autoZero"/>
        <c:crossBetween val="midCat"/>
      </c:valAx>
      <c:valAx>
        <c:axId val="26774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Caída de tensión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9852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21</xdr:col>
      <xdr:colOff>6480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12828240" y="1047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22</xdr:row>
      <xdr:rowOff>0</xdr:rowOff>
    </xdr:from>
    <xdr:to>
      <xdr:col>21</xdr:col>
      <xdr:colOff>6480</xdr:colOff>
      <xdr:row>37</xdr:row>
      <xdr:rowOff>39240</xdr:rowOff>
    </xdr:to>
    <xdr:graphicFrame>
      <xdr:nvGraphicFramePr>
        <xdr:cNvPr id="1" name="Chart 2"/>
        <xdr:cNvGraphicFramePr/>
      </xdr:nvGraphicFramePr>
      <xdr:xfrm>
        <a:off x="12828240" y="46674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13</xdr:col>
      <xdr:colOff>622080</xdr:colOff>
      <xdr:row>19</xdr:row>
      <xdr:rowOff>191520</xdr:rowOff>
    </xdr:to>
    <xdr:graphicFrame>
      <xdr:nvGraphicFramePr>
        <xdr:cNvPr id="2" name="Chart 1"/>
        <xdr:cNvGraphicFramePr/>
      </xdr:nvGraphicFramePr>
      <xdr:xfrm>
        <a:off x="8246880" y="1047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13</xdr:col>
      <xdr:colOff>622080</xdr:colOff>
      <xdr:row>39</xdr:row>
      <xdr:rowOff>1080</xdr:rowOff>
    </xdr:to>
    <xdr:graphicFrame>
      <xdr:nvGraphicFramePr>
        <xdr:cNvPr id="3" name="Chart 2"/>
        <xdr:cNvGraphicFramePr/>
      </xdr:nvGraphicFramePr>
      <xdr:xfrm>
        <a:off x="8246880" y="501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12</xdr:col>
      <xdr:colOff>621720</xdr:colOff>
      <xdr:row>18</xdr:row>
      <xdr:rowOff>39240</xdr:rowOff>
    </xdr:to>
    <xdr:graphicFrame>
      <xdr:nvGraphicFramePr>
        <xdr:cNvPr id="4" name="Chart 1"/>
        <xdr:cNvGraphicFramePr/>
      </xdr:nvGraphicFramePr>
      <xdr:xfrm>
        <a:off x="7330320" y="1047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15</xdr:col>
      <xdr:colOff>10440</xdr:colOff>
      <xdr:row>19</xdr:row>
      <xdr:rowOff>191520</xdr:rowOff>
    </xdr:to>
    <xdr:graphicFrame>
      <xdr:nvGraphicFramePr>
        <xdr:cNvPr id="5" name="Chart 1"/>
        <xdr:cNvGraphicFramePr/>
      </xdr:nvGraphicFramePr>
      <xdr:xfrm>
        <a:off x="9163080" y="1047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15</xdr:col>
      <xdr:colOff>10440</xdr:colOff>
      <xdr:row>39</xdr:row>
      <xdr:rowOff>1080</xdr:rowOff>
    </xdr:to>
    <xdr:graphicFrame>
      <xdr:nvGraphicFramePr>
        <xdr:cNvPr id="6" name="Chart 2"/>
        <xdr:cNvGraphicFramePr/>
      </xdr:nvGraphicFramePr>
      <xdr:xfrm>
        <a:off x="9163080" y="501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315000</xdr:colOff>
      <xdr:row>18</xdr:row>
      <xdr:rowOff>39240</xdr:rowOff>
    </xdr:to>
    <xdr:graphicFrame>
      <xdr:nvGraphicFramePr>
        <xdr:cNvPr id="7" name="Chart 1"/>
        <xdr:cNvGraphicFramePr/>
      </xdr:nvGraphicFramePr>
      <xdr:xfrm>
        <a:off x="10079280" y="10476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imuladores_Electricidad_Automotriz.xlsx" TargetMode="External"/><Relationship Id="rId2" Type="http://schemas.openxmlformats.org/officeDocument/2006/relationships/hyperlink" Target="Simuladores_Electricidad_Automotriz.xlsx" TargetMode="External"/><Relationship Id="rId3" Type="http://schemas.openxmlformats.org/officeDocument/2006/relationships/hyperlink" Target="Simuladores_Electricidad_Automotriz.xlsx" TargetMode="External"/><Relationship Id="rId4" Type="http://schemas.openxmlformats.org/officeDocument/2006/relationships/hyperlink" Target="Simuladores_Electricidad_Automotriz.xlsx" TargetMode="External"/><Relationship Id="rId5" Type="http://schemas.openxmlformats.org/officeDocument/2006/relationships/hyperlink" Target="Simuladores_Electricidad_Automotriz.xlsx" TargetMode="External"/><Relationship Id="rId6" Type="http://schemas.openxmlformats.org/officeDocument/2006/relationships/hyperlink" Target="Simuladores_Electricidad_Automotriz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90"/>
  </cols>
  <sheetData>
    <row r="1" customFormat="false" ht="27.75" hidden="false" customHeight="true" outlineLevel="0" collapsed="false">
      <c r="B1" s="1" t="s">
        <v>0</v>
      </c>
      <c r="C1" s="1"/>
    </row>
    <row r="3" customFormat="false" ht="15" hidden="false" customHeight="false" outlineLevel="0" collapsed="false">
      <c r="B3" s="2" t="s">
        <v>1</v>
      </c>
      <c r="C3" s="3"/>
    </row>
    <row r="4" customFormat="false" ht="15" hidden="false" customHeight="false" outlineLevel="0" collapsed="false">
      <c r="B4" s="4" t="s">
        <v>2</v>
      </c>
      <c r="C4" s="3" t="s">
        <v>3</v>
      </c>
    </row>
    <row r="5" customFormat="false" ht="15" hidden="false" customHeight="false" outlineLevel="0" collapsed="false">
      <c r="B5" s="5" t="s">
        <v>4</v>
      </c>
      <c r="C5" s="3" t="s">
        <v>5</v>
      </c>
    </row>
    <row r="6" customFormat="false" ht="15" hidden="false" customHeight="false" outlineLevel="0" collapsed="false">
      <c r="B6" s="3" t="s">
        <v>6</v>
      </c>
      <c r="C6" s="3" t="s">
        <v>7</v>
      </c>
    </row>
    <row r="7" customFormat="false" ht="15" hidden="false" customHeight="false" outlineLevel="0" collapsed="false">
      <c r="B7" s="3"/>
      <c r="C7" s="3"/>
    </row>
    <row r="8" customFormat="false" ht="15" hidden="false" customHeight="false" outlineLevel="0" collapsed="false">
      <c r="B8" s="2" t="s">
        <v>8</v>
      </c>
      <c r="C8" s="2" t="s">
        <v>9</v>
      </c>
    </row>
    <row r="9" customFormat="false" ht="31.5" hidden="false" customHeight="true" outlineLevel="0" collapsed="false">
      <c r="B9" s="6" t="s">
        <v>10</v>
      </c>
      <c r="C9" s="7" t="s">
        <v>11</v>
      </c>
    </row>
    <row r="10" customFormat="false" ht="31.5" hidden="false" customHeight="true" outlineLevel="0" collapsed="false">
      <c r="B10" s="6" t="s">
        <v>12</v>
      </c>
      <c r="C10" s="7" t="s">
        <v>13</v>
      </c>
    </row>
    <row r="11" customFormat="false" ht="31.5" hidden="false" customHeight="true" outlineLevel="0" collapsed="false">
      <c r="B11" s="6" t="s">
        <v>14</v>
      </c>
      <c r="C11" s="7" t="s">
        <v>15</v>
      </c>
    </row>
    <row r="12" customFormat="false" ht="31.5" hidden="false" customHeight="true" outlineLevel="0" collapsed="false">
      <c r="B12" s="6" t="s">
        <v>16</v>
      </c>
      <c r="C12" s="7" t="s">
        <v>17</v>
      </c>
    </row>
    <row r="13" customFormat="false" ht="31.5" hidden="false" customHeight="true" outlineLevel="0" collapsed="false">
      <c r="B13" s="6" t="s">
        <v>18</v>
      </c>
      <c r="C13" s="7" t="s">
        <v>19</v>
      </c>
    </row>
    <row r="14" customFormat="false" ht="31.5" hidden="false" customHeight="true" outlineLevel="0" collapsed="false">
      <c r="B14" s="6" t="s">
        <v>20</v>
      </c>
      <c r="C14" s="7" t="s">
        <v>21</v>
      </c>
    </row>
    <row r="15" customFormat="false" ht="15" hidden="false" customHeight="false" outlineLevel="0" collapsed="false">
      <c r="B15" s="3"/>
      <c r="C15" s="3"/>
    </row>
    <row r="16" customFormat="false" ht="45" hidden="false" customHeight="true" outlineLevel="0" collapsed="false">
      <c r="B16" s="2" t="s">
        <v>22</v>
      </c>
      <c r="C16" s="7" t="s">
        <v>23</v>
      </c>
    </row>
  </sheetData>
  <mergeCells count="1">
    <mergeCell ref="B1:C1"/>
  </mergeCells>
  <hyperlinks>
    <hyperlink ref="B9" r:id="rId1" location="'1_Motor_arranque'!A1" display="1_Motor_arranque"/>
    <hyperlink ref="B10" r:id="rId2" location="'2_Alternador'!A1" display="2_Alternador"/>
    <hyperlink ref="B11" r:id="rId3" location="'3_Balance_electrico'!A1" display="3_Balance_electrico"/>
    <hyperlink ref="B12" r:id="rId4" location="'4_Bateria'!A1" display="4_Bateria"/>
    <hyperlink ref="B13" r:id="rId5" location="'5_Encendido'!A1" display="5_Encendido"/>
    <hyperlink ref="B14" r:id="rId6" location="'6_Cable_y_fusible'!A1" display="6_Cable_y_fusib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26</v>
      </c>
    </row>
    <row r="5" customFormat="false" ht="15" hidden="false" customHeight="false" outlineLevel="0" collapsed="false">
      <c r="A5" s="3" t="s">
        <v>27</v>
      </c>
      <c r="B5" s="10" t="n">
        <v>12.6</v>
      </c>
      <c r="C5" s="3" t="s">
        <v>28</v>
      </c>
    </row>
    <row r="6" customFormat="false" ht="15" hidden="false" customHeight="false" outlineLevel="0" collapsed="false">
      <c r="A6" s="3" t="s">
        <v>29</v>
      </c>
      <c r="B6" s="10" t="n">
        <v>0.01</v>
      </c>
      <c r="C6" s="3" t="s">
        <v>30</v>
      </c>
    </row>
    <row r="7" customFormat="false" ht="15" hidden="false" customHeight="false" outlineLevel="0" collapsed="false">
      <c r="A7" s="3" t="s">
        <v>31</v>
      </c>
      <c r="B7" s="10" t="n">
        <v>0.003</v>
      </c>
      <c r="C7" s="3" t="s">
        <v>30</v>
      </c>
    </row>
    <row r="8" customFormat="false" ht="15" hidden="false" customHeight="false" outlineLevel="0" collapsed="false">
      <c r="A8" s="3" t="s">
        <v>32</v>
      </c>
      <c r="B8" s="10" t="n">
        <v>0.02</v>
      </c>
      <c r="C8" s="3" t="s">
        <v>30</v>
      </c>
    </row>
    <row r="9" customFormat="false" ht="15" hidden="false" customHeight="false" outlineLevel="0" collapsed="false">
      <c r="A9" s="3" t="s">
        <v>33</v>
      </c>
      <c r="B9" s="10" t="n">
        <v>400</v>
      </c>
      <c r="C9" s="3" t="s">
        <v>34</v>
      </c>
    </row>
    <row r="10" customFormat="false" ht="15" hidden="false" customHeight="false" outlineLevel="0" collapsed="false">
      <c r="A10" s="3" t="s">
        <v>35</v>
      </c>
      <c r="B10" s="10" t="n">
        <v>0.5</v>
      </c>
      <c r="C10" s="3" t="s">
        <v>36</v>
      </c>
    </row>
    <row r="11" customFormat="false" ht="15" hidden="false" customHeight="false" outlineLevel="0" collapsed="false">
      <c r="A11" s="3" t="s">
        <v>37</v>
      </c>
      <c r="B11" s="10" t="n">
        <v>119</v>
      </c>
      <c r="C11" s="3"/>
    </row>
    <row r="12" customFormat="false" ht="15" hidden="false" customHeight="false" outlineLevel="0" collapsed="false">
      <c r="A12" s="3" t="s">
        <v>38</v>
      </c>
      <c r="B12" s="10" t="n">
        <v>9</v>
      </c>
      <c r="C12" s="3"/>
    </row>
    <row r="13" customFormat="false" ht="15" hidden="false" customHeight="false" outlineLevel="0" collapsed="false">
      <c r="A13" s="3" t="s">
        <v>39</v>
      </c>
      <c r="B13" s="10" t="n">
        <v>100</v>
      </c>
      <c r="C13" s="3" t="s">
        <v>40</v>
      </c>
    </row>
    <row r="15" customFormat="false" ht="15" hidden="false" customHeight="false" outlineLevel="0" collapsed="false">
      <c r="A15" s="9" t="s">
        <v>41</v>
      </c>
    </row>
    <row r="16" customFormat="false" ht="15" hidden="false" customHeight="false" outlineLevel="0" collapsed="false">
      <c r="A16" s="3" t="s">
        <v>42</v>
      </c>
      <c r="B16" s="11" t="n">
        <f aca="false">B5/(B6+B7+B8)</f>
        <v>381.818181818182</v>
      </c>
      <c r="C16" s="3" t="s">
        <v>43</v>
      </c>
    </row>
    <row r="17" customFormat="false" ht="15" hidden="false" customHeight="false" outlineLevel="0" collapsed="false">
      <c r="A17" s="3" t="s">
        <v>44</v>
      </c>
      <c r="B17" s="12" t="n">
        <f aca="false">60/(2*PI()*B9)</f>
        <v>0.0238732414637843</v>
      </c>
      <c r="C17" s="3" t="s">
        <v>45</v>
      </c>
    </row>
    <row r="18" customFormat="false" ht="15" hidden="false" customHeight="false" outlineLevel="0" collapsed="false">
      <c r="A18" s="3" t="s">
        <v>46</v>
      </c>
      <c r="B18" s="13" t="n">
        <f aca="false">B11/B12</f>
        <v>13.2222222222222</v>
      </c>
      <c r="C18" s="3"/>
    </row>
    <row r="19" customFormat="false" ht="15" hidden="false" customHeight="false" outlineLevel="0" collapsed="false">
      <c r="A19" s="3" t="s">
        <v>47</v>
      </c>
      <c r="B19" s="11" t="n">
        <f aca="false">B16/2</f>
        <v>190.909090909091</v>
      </c>
      <c r="C19" s="3" t="s">
        <v>43</v>
      </c>
    </row>
    <row r="20" customFormat="false" ht="15" hidden="false" customHeight="false" outlineLevel="0" collapsed="false">
      <c r="A20" s="3" t="s">
        <v>48</v>
      </c>
      <c r="B20" s="11" t="n">
        <f aca="false">MAX(J25:J45)</f>
        <v>1071.94779769431</v>
      </c>
      <c r="C20" s="3" t="s">
        <v>49</v>
      </c>
    </row>
    <row r="21" customFormat="false" ht="15" hidden="false" customHeight="false" outlineLevel="0" collapsed="false">
      <c r="A21" s="3" t="s">
        <v>50</v>
      </c>
      <c r="B21" s="13" t="n">
        <f aca="false">B5-B19*(B6+B7)</f>
        <v>10.1181818181818</v>
      </c>
      <c r="C21" s="3" t="s">
        <v>28</v>
      </c>
    </row>
    <row r="22" customFormat="false" ht="15" hidden="false" customHeight="false" outlineLevel="0" collapsed="false">
      <c r="A22" s="3" t="s">
        <v>51</v>
      </c>
      <c r="B22" s="13" t="str">
        <f aca="false">IF((B9*(B21-B19*B8))/B18&gt;=B13,"SÍ","NO")</f>
        <v>SÍ</v>
      </c>
      <c r="C22" s="3"/>
    </row>
    <row r="24" customFormat="false" ht="42" hidden="false" customHeight="true" outlineLevel="0" collapsed="false">
      <c r="A24" s="14" t="s">
        <v>52</v>
      </c>
      <c r="B24" s="14" t="s">
        <v>53</v>
      </c>
      <c r="C24" s="14" t="s">
        <v>54</v>
      </c>
      <c r="D24" s="14" t="s">
        <v>55</v>
      </c>
      <c r="E24" s="14" t="s">
        <v>56</v>
      </c>
      <c r="F24" s="14" t="s">
        <v>57</v>
      </c>
      <c r="G24" s="14" t="s">
        <v>58</v>
      </c>
      <c r="H24" s="14" t="s">
        <v>59</v>
      </c>
      <c r="I24" s="14" t="s">
        <v>60</v>
      </c>
      <c r="J24" s="14" t="s">
        <v>61</v>
      </c>
      <c r="K24" s="14" t="s">
        <v>62</v>
      </c>
    </row>
    <row r="25" customFormat="false" ht="15" hidden="false" customHeight="false" outlineLevel="0" collapsed="false">
      <c r="A25" s="15" t="n">
        <v>0</v>
      </c>
      <c r="B25" s="15" t="n">
        <f aca="false">$B$16*A25/20</f>
        <v>0</v>
      </c>
      <c r="C25" s="16" t="n">
        <f aca="false">$B$5-B25*($B$6+$B$7)</f>
        <v>12.6</v>
      </c>
      <c r="D25" s="16" t="n">
        <f aca="false">MAX(0,C25-B25*$B$8)</f>
        <v>12.6</v>
      </c>
      <c r="E25" s="15" t="n">
        <f aca="false">$B$9*D25</f>
        <v>5040</v>
      </c>
      <c r="F25" s="15" t="n">
        <f aca="false">E25/$B$18</f>
        <v>381.176470588235</v>
      </c>
      <c r="G25" s="16" t="n">
        <f aca="false">MAX(0,$B$17*B25-$B$10)</f>
        <v>0</v>
      </c>
      <c r="H25" s="16" t="n">
        <f aca="false">G25*$B$18*0.9</f>
        <v>0</v>
      </c>
      <c r="I25" s="15" t="n">
        <f aca="false">C25*B25</f>
        <v>0</v>
      </c>
      <c r="J25" s="15" t="n">
        <f aca="false">G25*2*PI()*E25/60</f>
        <v>0</v>
      </c>
      <c r="K25" s="16" t="n">
        <f aca="false">IF(I25&gt;0,J25/I25*100,0)</f>
        <v>0</v>
      </c>
    </row>
    <row r="26" customFormat="false" ht="15" hidden="false" customHeight="false" outlineLevel="0" collapsed="false">
      <c r="A26" s="17" t="n">
        <v>1</v>
      </c>
      <c r="B26" s="17" t="n">
        <f aca="false">$B$16*A26/20</f>
        <v>19.0909090909091</v>
      </c>
      <c r="C26" s="18" t="n">
        <f aca="false">$B$5-B26*($B$6+$B$7)</f>
        <v>12.3518181818182</v>
      </c>
      <c r="D26" s="18" t="n">
        <f aca="false">MAX(0,C26-B26*$B$8)</f>
        <v>11.97</v>
      </c>
      <c r="E26" s="17" t="n">
        <f aca="false">$B$9*D26</f>
        <v>4788</v>
      </c>
      <c r="F26" s="17" t="n">
        <f aca="false">E26/$B$18</f>
        <v>362.117647058824</v>
      </c>
      <c r="G26" s="18" t="n">
        <f aca="false">MAX(0,$B$17*B26-$B$10)</f>
        <v>0</v>
      </c>
      <c r="H26" s="18" t="n">
        <f aca="false">G26*$B$18*0.9</f>
        <v>0</v>
      </c>
      <c r="I26" s="17" t="n">
        <f aca="false">C26*B26</f>
        <v>235.807438016529</v>
      </c>
      <c r="J26" s="17" t="n">
        <f aca="false">G26*2*PI()*E26/60</f>
        <v>0</v>
      </c>
      <c r="K26" s="18" t="n">
        <f aca="false">IF(I26&gt;0,J26/I26*100,0)</f>
        <v>0</v>
      </c>
    </row>
    <row r="27" customFormat="false" ht="15" hidden="false" customHeight="false" outlineLevel="0" collapsed="false">
      <c r="A27" s="15" t="n">
        <v>2</v>
      </c>
      <c r="B27" s="15" t="n">
        <f aca="false">$B$16*A27/20</f>
        <v>38.1818181818182</v>
      </c>
      <c r="C27" s="16" t="n">
        <f aca="false">$B$5-B27*($B$6+$B$7)</f>
        <v>12.1036363636364</v>
      </c>
      <c r="D27" s="16" t="n">
        <f aca="false">MAX(0,C27-B27*$B$8)</f>
        <v>11.34</v>
      </c>
      <c r="E27" s="15" t="n">
        <f aca="false">$B$9*D27</f>
        <v>4536</v>
      </c>
      <c r="F27" s="15" t="n">
        <f aca="false">E27/$B$18</f>
        <v>343.058823529412</v>
      </c>
      <c r="G27" s="16" t="n">
        <f aca="false">MAX(0,$B$17*B27-$B$10)</f>
        <v>0.411523764980855</v>
      </c>
      <c r="H27" s="16" t="n">
        <f aca="false">G27*$B$18*0.9</f>
        <v>4.89713280327217</v>
      </c>
      <c r="I27" s="15" t="n">
        <f aca="false">C27*B27</f>
        <v>462.138842975207</v>
      </c>
      <c r="J27" s="15" t="n">
        <f aca="false">G27*2*PI()*E27/60</f>
        <v>195.47741357043</v>
      </c>
      <c r="K27" s="16" t="n">
        <f aca="false">IF(I27&gt;0,J27/I27*100,0)</f>
        <v>42.2984167078371</v>
      </c>
    </row>
    <row r="28" customFormat="false" ht="15" hidden="false" customHeight="false" outlineLevel="0" collapsed="false">
      <c r="A28" s="17" t="n">
        <v>3</v>
      </c>
      <c r="B28" s="17" t="n">
        <f aca="false">$B$16*A28/20</f>
        <v>57.2727272727273</v>
      </c>
      <c r="C28" s="18" t="n">
        <f aca="false">$B$5-B28*($B$6+$B$7)</f>
        <v>11.8554545454545</v>
      </c>
      <c r="D28" s="18" t="n">
        <f aca="false">MAX(0,C28-B28*$B$8)</f>
        <v>10.71</v>
      </c>
      <c r="E28" s="17" t="n">
        <f aca="false">$B$9*D28</f>
        <v>4284</v>
      </c>
      <c r="F28" s="17" t="n">
        <f aca="false">E28/$B$18</f>
        <v>324</v>
      </c>
      <c r="G28" s="18" t="n">
        <f aca="false">MAX(0,$B$17*B28-$B$10)</f>
        <v>0.867285647471283</v>
      </c>
      <c r="H28" s="18" t="n">
        <f aca="false">G28*$B$18*0.9</f>
        <v>10.3206992049083</v>
      </c>
      <c r="I28" s="17" t="n">
        <f aca="false">C28*B28</f>
        <v>678.994214876033</v>
      </c>
      <c r="J28" s="17" t="n">
        <f aca="false">G28*2*PI()*E28/60</f>
        <v>389.081193624598</v>
      </c>
      <c r="K28" s="18" t="n">
        <f aca="false">IF(I28&gt;0,J28/I28*100,0)</f>
        <v>57.3025785934913</v>
      </c>
    </row>
    <row r="29" customFormat="false" ht="15" hidden="false" customHeight="false" outlineLevel="0" collapsed="false">
      <c r="A29" s="15" t="n">
        <v>4</v>
      </c>
      <c r="B29" s="15" t="n">
        <f aca="false">$B$16*A29/20</f>
        <v>76.3636363636364</v>
      </c>
      <c r="C29" s="16" t="n">
        <f aca="false">$B$5-B29*($B$6+$B$7)</f>
        <v>11.6072727272727</v>
      </c>
      <c r="D29" s="16" t="n">
        <f aca="false">MAX(0,C29-B29*$B$8)</f>
        <v>10.08</v>
      </c>
      <c r="E29" s="15" t="n">
        <f aca="false">$B$9*D29</f>
        <v>4032</v>
      </c>
      <c r="F29" s="15" t="n">
        <f aca="false">E29/$B$18</f>
        <v>304.941176470588</v>
      </c>
      <c r="G29" s="16" t="n">
        <f aca="false">MAX(0,$B$17*B29-$B$10)</f>
        <v>1.32304752996171</v>
      </c>
      <c r="H29" s="16" t="n">
        <f aca="false">G29*$B$18*0.9</f>
        <v>15.7442656065443</v>
      </c>
      <c r="I29" s="15" t="n">
        <f aca="false">C29*B29</f>
        <v>886.373553719008</v>
      </c>
      <c r="J29" s="15" t="n">
        <f aca="false">G29*2*PI()*E29/60</f>
        <v>558.63042822422</v>
      </c>
      <c r="K29" s="16" t="n">
        <f aca="false">IF(I29&gt;0,J29/I29*100,0)</f>
        <v>63.0242662227841</v>
      </c>
    </row>
    <row r="30" customFormat="false" ht="15" hidden="false" customHeight="false" outlineLevel="0" collapsed="false">
      <c r="A30" s="17" t="n">
        <v>5</v>
      </c>
      <c r="B30" s="17" t="n">
        <f aca="false">$B$16*A30/20</f>
        <v>95.4545454545455</v>
      </c>
      <c r="C30" s="18" t="n">
        <f aca="false">$B$5-B30*($B$6+$B$7)</f>
        <v>11.3590909090909</v>
      </c>
      <c r="D30" s="18" t="n">
        <f aca="false">MAX(0,C30-B30*$B$8)</f>
        <v>9.45</v>
      </c>
      <c r="E30" s="17" t="n">
        <f aca="false">$B$9*D30</f>
        <v>3780</v>
      </c>
      <c r="F30" s="17" t="n">
        <f aca="false">E30/$B$18</f>
        <v>285.882352941176</v>
      </c>
      <c r="G30" s="18" t="n">
        <f aca="false">MAX(0,$B$17*B30-$B$10)</f>
        <v>1.77880941245214</v>
      </c>
      <c r="H30" s="18" t="n">
        <f aca="false">G30*$B$18*0.9</f>
        <v>21.1678320081804</v>
      </c>
      <c r="I30" s="17" t="n">
        <f aca="false">C30*B30</f>
        <v>1084.27685950413</v>
      </c>
      <c r="J30" s="17" t="n">
        <f aca="false">G30*2*PI()*E30/60</f>
        <v>704.125117369297</v>
      </c>
      <c r="K30" s="18" t="n">
        <f aca="false">IF(I30&gt;0,J30/I30*100,0)</f>
        <v>64.9396057102346</v>
      </c>
    </row>
    <row r="31" customFormat="false" ht="15" hidden="false" customHeight="false" outlineLevel="0" collapsed="false">
      <c r="A31" s="15" t="n">
        <v>6</v>
      </c>
      <c r="B31" s="15" t="n">
        <f aca="false">$B$16*A31/20</f>
        <v>114.545454545455</v>
      </c>
      <c r="C31" s="16" t="n">
        <f aca="false">$B$5-B31*($B$6+$B$7)</f>
        <v>11.1109090909091</v>
      </c>
      <c r="D31" s="16" t="n">
        <f aca="false">MAX(0,C31-B31*$B$8)</f>
        <v>8.82</v>
      </c>
      <c r="E31" s="15" t="n">
        <f aca="false">$B$9*D31</f>
        <v>3528</v>
      </c>
      <c r="F31" s="15" t="n">
        <f aca="false">E31/$B$18</f>
        <v>266.823529411765</v>
      </c>
      <c r="G31" s="16" t="n">
        <f aca="false">MAX(0,$B$17*B31-$B$10)</f>
        <v>2.23457129494257</v>
      </c>
      <c r="H31" s="16" t="n">
        <f aca="false">G31*$B$18*0.9</f>
        <v>26.5913984098165</v>
      </c>
      <c r="I31" s="15" t="n">
        <f aca="false">C31*B31</f>
        <v>1272.7041322314</v>
      </c>
      <c r="J31" s="15" t="n">
        <f aca="false">G31*2*PI()*E31/60</f>
        <v>825.565261059829</v>
      </c>
      <c r="K31" s="16" t="n">
        <f aca="false">IF(I31&gt;0,J31/I31*100,0)</f>
        <v>64.8670213408032</v>
      </c>
    </row>
    <row r="32" customFormat="false" ht="15" hidden="false" customHeight="false" outlineLevel="0" collapsed="false">
      <c r="A32" s="17" t="n">
        <v>7</v>
      </c>
      <c r="B32" s="17" t="n">
        <f aca="false">$B$16*A32/20</f>
        <v>133.636363636364</v>
      </c>
      <c r="C32" s="18" t="n">
        <f aca="false">$B$5-B32*($B$6+$B$7)</f>
        <v>10.8627272727273</v>
      </c>
      <c r="D32" s="18" t="n">
        <f aca="false">MAX(0,C32-B32*$B$8)</f>
        <v>8.19</v>
      </c>
      <c r="E32" s="17" t="n">
        <f aca="false">$B$9*D32</f>
        <v>3276</v>
      </c>
      <c r="F32" s="17" t="n">
        <f aca="false">E32/$B$18</f>
        <v>247.764705882353</v>
      </c>
      <c r="G32" s="18" t="n">
        <f aca="false">MAX(0,$B$17*B32-$B$10)</f>
        <v>2.69033317743299</v>
      </c>
      <c r="H32" s="18" t="n">
        <f aca="false">G32*$B$18*0.9</f>
        <v>32.0149648114526</v>
      </c>
      <c r="I32" s="17" t="n">
        <f aca="false">C32*B32</f>
        <v>1451.65537190083</v>
      </c>
      <c r="J32" s="17" t="n">
        <f aca="false">G32*2*PI()*E32/60</f>
        <v>922.950859295816</v>
      </c>
      <c r="K32" s="18" t="n">
        <f aca="false">IF(I32&gt;0,J32/I32*100,0)</f>
        <v>63.579199110274</v>
      </c>
    </row>
    <row r="33" customFormat="false" ht="15" hidden="false" customHeight="false" outlineLevel="0" collapsed="false">
      <c r="A33" s="15" t="n">
        <v>8</v>
      </c>
      <c r="B33" s="15" t="n">
        <f aca="false">$B$16*A33/20</f>
        <v>152.727272727273</v>
      </c>
      <c r="C33" s="16" t="n">
        <f aca="false">$B$5-B33*($B$6+$B$7)</f>
        <v>10.6145454545455</v>
      </c>
      <c r="D33" s="16" t="n">
        <f aca="false">MAX(0,C33-B33*$B$8)</f>
        <v>7.56</v>
      </c>
      <c r="E33" s="15" t="n">
        <f aca="false">$B$9*D33</f>
        <v>3024</v>
      </c>
      <c r="F33" s="15" t="n">
        <f aca="false">E33/$B$18</f>
        <v>228.705882352941</v>
      </c>
      <c r="G33" s="16" t="n">
        <f aca="false">MAX(0,$B$17*B33-$B$10)</f>
        <v>3.14609505992342</v>
      </c>
      <c r="H33" s="16" t="n">
        <f aca="false">G33*$B$18*0.9</f>
        <v>37.4385312130887</v>
      </c>
      <c r="I33" s="15" t="n">
        <f aca="false">C33*B33</f>
        <v>1621.1305785124</v>
      </c>
      <c r="J33" s="15" t="n">
        <f aca="false">G33*2*PI()*E33/60</f>
        <v>996.281912077256</v>
      </c>
      <c r="K33" s="16" t="n">
        <f aca="false">IF(I33&gt;0,J33/I33*100,0)</f>
        <v>61.4559940625806</v>
      </c>
    </row>
    <row r="34" customFormat="false" ht="15" hidden="false" customHeight="false" outlineLevel="0" collapsed="false">
      <c r="A34" s="17" t="n">
        <v>9</v>
      </c>
      <c r="B34" s="17" t="n">
        <f aca="false">$B$16*A34/20</f>
        <v>171.818181818182</v>
      </c>
      <c r="C34" s="18" t="n">
        <f aca="false">$B$5-B34*($B$6+$B$7)</f>
        <v>10.3663636363636</v>
      </c>
      <c r="D34" s="18" t="n">
        <f aca="false">MAX(0,C34-B34*$B$8)</f>
        <v>6.93</v>
      </c>
      <c r="E34" s="17" t="n">
        <f aca="false">$B$9*D34</f>
        <v>2772</v>
      </c>
      <c r="F34" s="17" t="n">
        <f aca="false">E34/$B$18</f>
        <v>209.647058823529</v>
      </c>
      <c r="G34" s="18" t="n">
        <f aca="false">MAX(0,$B$17*B34-$B$10)</f>
        <v>3.60185694241385</v>
      </c>
      <c r="H34" s="18" t="n">
        <f aca="false">G34*$B$18*0.9</f>
        <v>42.8620976147248</v>
      </c>
      <c r="I34" s="17" t="n">
        <f aca="false">C34*B34</f>
        <v>1781.12975206612</v>
      </c>
      <c r="J34" s="17" t="n">
        <f aca="false">G34*2*PI()*E34/60</f>
        <v>1045.55841940415</v>
      </c>
      <c r="K34" s="18" t="n">
        <f aca="false">IF(I34&gt;0,J34/I34*100,0)</f>
        <v>58.7019793583988</v>
      </c>
    </row>
    <row r="35" customFormat="false" ht="15" hidden="false" customHeight="false" outlineLevel="0" collapsed="false">
      <c r="A35" s="15" t="n">
        <v>10</v>
      </c>
      <c r="B35" s="15" t="n">
        <f aca="false">$B$16*A35/20</f>
        <v>190.909090909091</v>
      </c>
      <c r="C35" s="16" t="n">
        <f aca="false">$B$5-B35*($B$6+$B$7)</f>
        <v>10.1181818181818</v>
      </c>
      <c r="D35" s="16" t="n">
        <f aca="false">MAX(0,C35-B35*$B$8)</f>
        <v>6.3</v>
      </c>
      <c r="E35" s="15" t="n">
        <f aca="false">$B$9*D35</f>
        <v>2520</v>
      </c>
      <c r="F35" s="15" t="n">
        <f aca="false">E35/$B$18</f>
        <v>190.588235294118</v>
      </c>
      <c r="G35" s="16" t="n">
        <f aca="false">MAX(0,$B$17*B35-$B$10)</f>
        <v>4.05761882490428</v>
      </c>
      <c r="H35" s="16" t="n">
        <f aca="false">G35*$B$18*0.9</f>
        <v>48.2856640163609</v>
      </c>
      <c r="I35" s="15" t="n">
        <f aca="false">C35*B35</f>
        <v>1931.65289256198</v>
      </c>
      <c r="J35" s="15" t="n">
        <f aca="false">G35*2*PI()*E35/60</f>
        <v>1070.7803812765</v>
      </c>
      <c r="K35" s="16" t="n">
        <f aca="false">IF(I35&gt;0,J35/I35*100,0)</f>
        <v>55.4333744638928</v>
      </c>
    </row>
    <row r="36" customFormat="false" ht="15" hidden="false" customHeight="false" outlineLevel="0" collapsed="false">
      <c r="A36" s="17" t="n">
        <v>11</v>
      </c>
      <c r="B36" s="17" t="n">
        <f aca="false">$B$16*A36/20</f>
        <v>210</v>
      </c>
      <c r="C36" s="18" t="n">
        <f aca="false">$B$5-B36*($B$6+$B$7)</f>
        <v>9.87</v>
      </c>
      <c r="D36" s="18" t="n">
        <f aca="false">MAX(0,C36-B36*$B$8)</f>
        <v>5.67</v>
      </c>
      <c r="E36" s="17" t="n">
        <f aca="false">$B$9*D36</f>
        <v>2268</v>
      </c>
      <c r="F36" s="17" t="n">
        <f aca="false">E36/$B$18</f>
        <v>171.529411764706</v>
      </c>
      <c r="G36" s="18" t="n">
        <f aca="false">MAX(0,$B$17*B36-$B$10)</f>
        <v>4.5133807073947</v>
      </c>
      <c r="H36" s="18" t="n">
        <f aca="false">G36*$B$18*0.9</f>
        <v>53.709230417997</v>
      </c>
      <c r="I36" s="17" t="n">
        <f aca="false">C36*B36</f>
        <v>2072.7</v>
      </c>
      <c r="J36" s="17" t="n">
        <f aca="false">G36*2*PI()*E36/60</f>
        <v>1071.94779769431</v>
      </c>
      <c r="K36" s="18" t="n">
        <f aca="false">IF(I36&gt;0,J36/I36*100,0)</f>
        <v>51.7174602062192</v>
      </c>
    </row>
    <row r="37" customFormat="false" ht="15" hidden="false" customHeight="false" outlineLevel="0" collapsed="false">
      <c r="A37" s="15" t="n">
        <v>12</v>
      </c>
      <c r="B37" s="15" t="n">
        <f aca="false">$B$16*A37/20</f>
        <v>229.090909090909</v>
      </c>
      <c r="C37" s="16" t="n">
        <f aca="false">$B$5-B37*($B$6+$B$7)</f>
        <v>9.62181818181818</v>
      </c>
      <c r="D37" s="16" t="n">
        <f aca="false">MAX(0,C37-B37*$B$8)</f>
        <v>5.04</v>
      </c>
      <c r="E37" s="15" t="n">
        <f aca="false">$B$9*D37</f>
        <v>2016</v>
      </c>
      <c r="F37" s="15" t="n">
        <f aca="false">E37/$B$18</f>
        <v>152.470588235294</v>
      </c>
      <c r="G37" s="16" t="n">
        <f aca="false">MAX(0,$B$17*B37-$B$10)</f>
        <v>4.96914258988513</v>
      </c>
      <c r="H37" s="16" t="n">
        <f aca="false">G37*$B$18*0.9</f>
        <v>59.1327968196331</v>
      </c>
      <c r="I37" s="15" t="n">
        <f aca="false">C37*B37</f>
        <v>2204.27107438017</v>
      </c>
      <c r="J37" s="15" t="n">
        <f aca="false">G37*2*PI()*E37/60</f>
        <v>1049.06066865756</v>
      </c>
      <c r="K37" s="16" t="n">
        <f aca="false">IF(I37&gt;0,J37/I37*100,0)</f>
        <v>47.592180510401</v>
      </c>
    </row>
    <row r="38" customFormat="false" ht="15" hidden="false" customHeight="false" outlineLevel="0" collapsed="false">
      <c r="A38" s="17" t="n">
        <v>13</v>
      </c>
      <c r="B38" s="17" t="n">
        <f aca="false">$B$16*A38/20</f>
        <v>248.181818181818</v>
      </c>
      <c r="C38" s="18" t="n">
        <f aca="false">$B$5-B38*($B$6+$B$7)</f>
        <v>9.37363636363636</v>
      </c>
      <c r="D38" s="18" t="n">
        <f aca="false">MAX(0,C38-B38*$B$8)</f>
        <v>4.41</v>
      </c>
      <c r="E38" s="17" t="n">
        <f aca="false">$B$9*D38</f>
        <v>1764</v>
      </c>
      <c r="F38" s="17" t="n">
        <f aca="false">E38/$B$18</f>
        <v>133.411764705882</v>
      </c>
      <c r="G38" s="18" t="n">
        <f aca="false">MAX(0,$B$17*B38-$B$10)</f>
        <v>5.42490447237556</v>
      </c>
      <c r="H38" s="18" t="n">
        <f aca="false">G38*$B$18*0.9</f>
        <v>64.5563632212691</v>
      </c>
      <c r="I38" s="17" t="n">
        <f aca="false">C38*B38</f>
        <v>2326.36611570248</v>
      </c>
      <c r="J38" s="17" t="n">
        <f aca="false">G38*2*PI()*E38/60</f>
        <v>1002.11899416628</v>
      </c>
      <c r="K38" s="18" t="n">
        <f aca="false">IF(I38&gt;0,J38/I38*100,0)</f>
        <v>43.0765814289585</v>
      </c>
    </row>
    <row r="39" customFormat="false" ht="15" hidden="false" customHeight="false" outlineLevel="0" collapsed="false">
      <c r="A39" s="15" t="n">
        <v>14</v>
      </c>
      <c r="B39" s="15" t="n">
        <f aca="false">$B$16*A39/20</f>
        <v>267.272727272727</v>
      </c>
      <c r="C39" s="16" t="n">
        <f aca="false">$B$5-B39*($B$6+$B$7)</f>
        <v>9.12545454545455</v>
      </c>
      <c r="D39" s="16" t="n">
        <f aca="false">MAX(0,C39-B39*$B$8)</f>
        <v>3.78</v>
      </c>
      <c r="E39" s="15" t="n">
        <f aca="false">$B$9*D39</f>
        <v>1512</v>
      </c>
      <c r="F39" s="15" t="n">
        <f aca="false">E39/$B$18</f>
        <v>114.352941176471</v>
      </c>
      <c r="G39" s="16" t="n">
        <f aca="false">MAX(0,$B$17*B39-$B$10)</f>
        <v>5.88066635486599</v>
      </c>
      <c r="H39" s="16" t="n">
        <f aca="false">G39*$B$18*0.9</f>
        <v>69.9799296229052</v>
      </c>
      <c r="I39" s="15" t="n">
        <f aca="false">C39*B39</f>
        <v>2438.98512396694</v>
      </c>
      <c r="J39" s="15" t="n">
        <f aca="false">G39*2*PI()*E39/60</f>
        <v>931.122774220446</v>
      </c>
      <c r="K39" s="16" t="n">
        <f aca="false">IF(I39&gt;0,J39/I39*100,0)</f>
        <v>38.1766483555259</v>
      </c>
    </row>
    <row r="40" customFormat="false" ht="15" hidden="false" customHeight="false" outlineLevel="0" collapsed="false">
      <c r="A40" s="17" t="n">
        <v>15</v>
      </c>
      <c r="B40" s="17" t="n">
        <f aca="false">$B$16*A40/20</f>
        <v>286.363636363636</v>
      </c>
      <c r="C40" s="18" t="n">
        <f aca="false">$B$5-B40*($B$6+$B$7)</f>
        <v>8.87727272727273</v>
      </c>
      <c r="D40" s="18" t="n">
        <f aca="false">MAX(0,C40-B40*$B$8)</f>
        <v>3.15</v>
      </c>
      <c r="E40" s="17" t="n">
        <f aca="false">$B$9*D40</f>
        <v>1260</v>
      </c>
      <c r="F40" s="17" t="n">
        <f aca="false">E40/$B$18</f>
        <v>95.2941176470588</v>
      </c>
      <c r="G40" s="18" t="n">
        <f aca="false">MAX(0,$B$17*B40-$B$10)</f>
        <v>6.33642823735641</v>
      </c>
      <c r="H40" s="18" t="n">
        <f aca="false">G40*$B$18*0.9</f>
        <v>75.4034960245413</v>
      </c>
      <c r="I40" s="17" t="n">
        <f aca="false">C40*B40</f>
        <v>2542.12809917355</v>
      </c>
      <c r="J40" s="17" t="n">
        <f aca="false">G40*2*PI()*E40/60</f>
        <v>836.072008820069</v>
      </c>
      <c r="K40" s="18" t="n">
        <f aca="false">IF(I40&gt;0,J40/I40*100,0)</f>
        <v>32.888665566927</v>
      </c>
    </row>
    <row r="41" customFormat="false" ht="15" hidden="false" customHeight="false" outlineLevel="0" collapsed="false">
      <c r="A41" s="15" t="n">
        <v>16</v>
      </c>
      <c r="B41" s="15" t="n">
        <f aca="false">$B$16*A41/20</f>
        <v>305.454545454545</v>
      </c>
      <c r="C41" s="16" t="n">
        <f aca="false">$B$5-B41*($B$6+$B$7)</f>
        <v>8.62909090909091</v>
      </c>
      <c r="D41" s="16" t="n">
        <f aca="false">MAX(0,C41-B41*$B$8)</f>
        <v>2.52</v>
      </c>
      <c r="E41" s="15" t="n">
        <f aca="false">$B$9*D41</f>
        <v>1008</v>
      </c>
      <c r="F41" s="15" t="n">
        <f aca="false">E41/$B$18</f>
        <v>76.235294117647</v>
      </c>
      <c r="G41" s="16" t="n">
        <f aca="false">MAX(0,$B$17*B41-$B$10)</f>
        <v>6.79219011984684</v>
      </c>
      <c r="H41" s="16" t="n">
        <f aca="false">G41*$B$18*0.9</f>
        <v>80.8270624261774</v>
      </c>
      <c r="I41" s="15" t="n">
        <f aca="false">C41*B41</f>
        <v>2635.79504132231</v>
      </c>
      <c r="J41" s="15" t="n">
        <f aca="false">G41*2*PI()*E41/60</f>
        <v>716.966697965146</v>
      </c>
      <c r="K41" s="16" t="n">
        <f aca="false">IF(I41&gt;0,J41/I41*100,0)</f>
        <v>27.2011551249243</v>
      </c>
    </row>
    <row r="42" customFormat="false" ht="15" hidden="false" customHeight="false" outlineLevel="0" collapsed="false">
      <c r="A42" s="17" t="n">
        <v>17</v>
      </c>
      <c r="B42" s="17" t="n">
        <f aca="false">$B$16*A42/20</f>
        <v>324.545454545455</v>
      </c>
      <c r="C42" s="18" t="n">
        <f aca="false">$B$5-B42*($B$6+$B$7)</f>
        <v>8.38090909090909</v>
      </c>
      <c r="D42" s="18" t="n">
        <f aca="false">MAX(0,C42-B42*$B$8)</f>
        <v>1.89</v>
      </c>
      <c r="E42" s="17" t="n">
        <f aca="false">$B$9*D42</f>
        <v>755.999999999999</v>
      </c>
      <c r="F42" s="17" t="n">
        <f aca="false">E42/$B$18</f>
        <v>57.1764705882352</v>
      </c>
      <c r="G42" s="18" t="n">
        <f aca="false">MAX(0,$B$17*B42-$B$10)</f>
        <v>7.24795200233727</v>
      </c>
      <c r="H42" s="18" t="n">
        <f aca="false">G42*$B$18*0.9</f>
        <v>86.2506288278135</v>
      </c>
      <c r="I42" s="17" t="n">
        <f aca="false">C42*B42</f>
        <v>2719.98595041322</v>
      </c>
      <c r="J42" s="17" t="n">
        <f aca="false">G42*2*PI()*E42/60</f>
        <v>573.806841655677</v>
      </c>
      <c r="K42" s="18" t="n">
        <f aca="false">IF(I42&gt;0,J42/I42*100,0)</f>
        <v>21.0959487334302</v>
      </c>
    </row>
    <row r="43" customFormat="false" ht="15" hidden="false" customHeight="false" outlineLevel="0" collapsed="false">
      <c r="A43" s="15" t="n">
        <v>18</v>
      </c>
      <c r="B43" s="15" t="n">
        <f aca="false">$B$16*A43/20</f>
        <v>343.636363636364</v>
      </c>
      <c r="C43" s="16" t="n">
        <f aca="false">$B$5-B43*($B$6+$B$7)</f>
        <v>8.13272727272727</v>
      </c>
      <c r="D43" s="16" t="n">
        <f aca="false">MAX(0,C43-B43*$B$8)</f>
        <v>1.26</v>
      </c>
      <c r="E43" s="15" t="n">
        <f aca="false">$B$9*D43</f>
        <v>504</v>
      </c>
      <c r="F43" s="15" t="n">
        <f aca="false">E43/$B$18</f>
        <v>38.1176470588235</v>
      </c>
      <c r="G43" s="16" t="n">
        <f aca="false">MAX(0,$B$17*B43-$B$10)</f>
        <v>7.7037138848277</v>
      </c>
      <c r="H43" s="16" t="n">
        <f aca="false">G43*$B$18*0.9</f>
        <v>91.6741952294496</v>
      </c>
      <c r="I43" s="15" t="n">
        <f aca="false">C43*B43</f>
        <v>2794.70082644628</v>
      </c>
      <c r="J43" s="15" t="n">
        <f aca="false">G43*2*PI()*E43/60</f>
        <v>406.592439891664</v>
      </c>
      <c r="K43" s="16" t="n">
        <f aca="false">IF(I43&gt;0,J43/I43*100,0)</f>
        <v>14.5486928705955</v>
      </c>
    </row>
    <row r="44" customFormat="false" ht="15" hidden="false" customHeight="false" outlineLevel="0" collapsed="false">
      <c r="A44" s="17" t="n">
        <v>19</v>
      </c>
      <c r="B44" s="17" t="n">
        <f aca="false">$B$16*A44/20</f>
        <v>362.727272727273</v>
      </c>
      <c r="C44" s="18" t="n">
        <f aca="false">$B$5-B44*($B$6+$B$7)</f>
        <v>7.88454545454545</v>
      </c>
      <c r="D44" s="18" t="n">
        <f aca="false">MAX(0,C44-B44*$B$8)</f>
        <v>0.63</v>
      </c>
      <c r="E44" s="17" t="n">
        <f aca="false">$B$9*D44</f>
        <v>252</v>
      </c>
      <c r="F44" s="17" t="n">
        <f aca="false">E44/$B$18</f>
        <v>19.0588235294118</v>
      </c>
      <c r="G44" s="18" t="n">
        <f aca="false">MAX(0,$B$17*B44-$B$10)</f>
        <v>8.15947576731812</v>
      </c>
      <c r="H44" s="18" t="n">
        <f aca="false">G44*$B$18*0.9</f>
        <v>97.0977616310857</v>
      </c>
      <c r="I44" s="17" t="n">
        <f aca="false">C44*B44</f>
        <v>2859.93966942149</v>
      </c>
      <c r="J44" s="17" t="n">
        <f aca="false">G44*2*PI()*E44/60</f>
        <v>215.323492673105</v>
      </c>
      <c r="K44" s="18" t="n">
        <f aca="false">IF(I44&gt;0,J44/I44*100,0)</f>
        <v>7.52895227040438</v>
      </c>
    </row>
    <row r="45" customFormat="false" ht="15" hidden="false" customHeight="false" outlineLevel="0" collapsed="false">
      <c r="A45" s="15" t="n">
        <v>20</v>
      </c>
      <c r="B45" s="15" t="n">
        <f aca="false">$B$16*A45/20</f>
        <v>381.818181818182</v>
      </c>
      <c r="C45" s="16" t="n">
        <f aca="false">$B$5-B45*($B$6+$B$7)</f>
        <v>7.63636363636364</v>
      </c>
      <c r="D45" s="16" t="n">
        <f aca="false">MAX(0,C45-B45*$B$8)</f>
        <v>0</v>
      </c>
      <c r="E45" s="15" t="n">
        <f aca="false">$B$9*D45</f>
        <v>0</v>
      </c>
      <c r="F45" s="15" t="n">
        <f aca="false">E45/$B$18</f>
        <v>0</v>
      </c>
      <c r="G45" s="16" t="n">
        <f aca="false">MAX(0,$B$17*B45-$B$10)</f>
        <v>8.61523764980855</v>
      </c>
      <c r="H45" s="16" t="n">
        <f aca="false">G45*$B$18*0.9</f>
        <v>102.521328032722</v>
      </c>
      <c r="I45" s="15" t="n">
        <f aca="false">C45*B45</f>
        <v>2915.70247933884</v>
      </c>
      <c r="J45" s="15" t="n">
        <f aca="false">G45*2*PI()*E45/60</f>
        <v>0</v>
      </c>
      <c r="K45" s="16" t="n">
        <f aca="false">IF(I45&gt;0,J45/I45*100,0)</f>
        <v>0</v>
      </c>
    </row>
    <row r="47" customFormat="false" ht="15" hidden="false" customHeight="true" outlineLevel="0" collapsed="false">
      <c r="A47" s="19" t="s">
        <v>63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</sheetData>
  <mergeCells count="3">
    <mergeCell ref="A1:J1"/>
    <mergeCell ref="A2:J2"/>
    <mergeCell ref="A47:K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25.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65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66</v>
      </c>
    </row>
    <row r="5" customFormat="false" ht="15" hidden="false" customHeight="false" outlineLevel="0" collapsed="false">
      <c r="A5" s="3" t="s">
        <v>67</v>
      </c>
      <c r="B5" s="10" t="n">
        <v>14</v>
      </c>
      <c r="C5" s="3" t="s">
        <v>28</v>
      </c>
    </row>
    <row r="6" customFormat="false" ht="15" hidden="false" customHeight="false" outlineLevel="0" collapsed="false">
      <c r="A6" s="3" t="s">
        <v>68</v>
      </c>
      <c r="B6" s="10" t="n">
        <v>40</v>
      </c>
      <c r="C6" s="3" t="s">
        <v>43</v>
      </c>
    </row>
    <row r="7" customFormat="false" ht="15" hidden="false" customHeight="false" outlineLevel="0" collapsed="false">
      <c r="A7" s="3" t="s">
        <v>69</v>
      </c>
      <c r="B7" s="10" t="n">
        <v>90</v>
      </c>
      <c r="C7" s="3" t="s">
        <v>43</v>
      </c>
    </row>
    <row r="8" customFormat="false" ht="15" hidden="false" customHeight="false" outlineLevel="0" collapsed="false">
      <c r="A8" s="3" t="s">
        <v>70</v>
      </c>
      <c r="B8" s="10" t="n">
        <v>1000</v>
      </c>
      <c r="C8" s="3" t="s">
        <v>71</v>
      </c>
    </row>
    <row r="9" customFormat="false" ht="15" hidden="false" customHeight="false" outlineLevel="0" collapsed="false">
      <c r="A9" s="3" t="s">
        <v>72</v>
      </c>
      <c r="B9" s="10" t="n">
        <v>2.6</v>
      </c>
      <c r="C9" s="3"/>
    </row>
    <row r="10" customFormat="false" ht="15" hidden="false" customHeight="false" outlineLevel="0" collapsed="false">
      <c r="A10" s="3" t="s">
        <v>73</v>
      </c>
      <c r="B10" s="10" t="n">
        <v>0.6</v>
      </c>
      <c r="C10" s="3"/>
    </row>
    <row r="11" customFormat="false" ht="15" hidden="false" customHeight="false" outlineLevel="0" collapsed="false">
      <c r="A11" s="3" t="s">
        <v>74</v>
      </c>
      <c r="B11" s="10" t="n">
        <v>800</v>
      </c>
      <c r="C11" s="3" t="s">
        <v>40</v>
      </c>
    </row>
    <row r="13" customFormat="false" ht="15" hidden="false" customHeight="false" outlineLevel="0" collapsed="false">
      <c r="A13" s="9" t="s">
        <v>41</v>
      </c>
    </row>
    <row r="14" customFormat="false" ht="15" hidden="false" customHeight="false" outlineLevel="0" collapsed="false">
      <c r="A14" s="3" t="s">
        <v>75</v>
      </c>
      <c r="B14" s="11" t="n">
        <f aca="false">(1800-B8)/-LN(1-B6/B7)</f>
        <v>1361.03802241451</v>
      </c>
      <c r="C14" s="3" t="s">
        <v>40</v>
      </c>
    </row>
    <row r="15" customFormat="false" ht="15" hidden="false" customHeight="false" outlineLevel="0" collapsed="false">
      <c r="A15" s="3" t="s">
        <v>76</v>
      </c>
      <c r="B15" s="11" t="n">
        <f aca="false">B11*B9</f>
        <v>2080</v>
      </c>
      <c r="C15" s="3" t="s">
        <v>40</v>
      </c>
    </row>
    <row r="16" customFormat="false" ht="15" hidden="false" customHeight="false" outlineLevel="0" collapsed="false">
      <c r="A16" s="3" t="s">
        <v>77</v>
      </c>
      <c r="B16" s="20" t="n">
        <f aca="false">IF(B15&lt;=B8,0,B7*(1-EXP(-(B15-B8)/B14)))</f>
        <v>49.2971679847361</v>
      </c>
      <c r="C16" s="3" t="s">
        <v>43</v>
      </c>
    </row>
    <row r="17" customFormat="false" ht="15" hidden="false" customHeight="false" outlineLevel="0" collapsed="false">
      <c r="A17" s="3" t="s">
        <v>78</v>
      </c>
      <c r="B17" s="11" t="n">
        <f aca="false">B5*B7</f>
        <v>1260</v>
      </c>
      <c r="C17" s="3" t="s">
        <v>49</v>
      </c>
    </row>
    <row r="18" customFormat="false" ht="15" hidden="false" customHeight="false" outlineLevel="0" collapsed="false">
      <c r="A18" s="3" t="s">
        <v>79</v>
      </c>
      <c r="B18" s="11" t="n">
        <f aca="false">B17/B10</f>
        <v>2100</v>
      </c>
      <c r="C18" s="3" t="s">
        <v>49</v>
      </c>
    </row>
    <row r="20" customFormat="false" ht="42" hidden="false" customHeight="true" outlineLevel="0" collapsed="false">
      <c r="A20" s="14" t="s">
        <v>80</v>
      </c>
      <c r="B20" s="14" t="s">
        <v>81</v>
      </c>
      <c r="C20" s="14" t="s">
        <v>53</v>
      </c>
      <c r="D20" s="14" t="s">
        <v>82</v>
      </c>
      <c r="E20" s="14" t="s">
        <v>83</v>
      </c>
      <c r="F20" s="14" t="s">
        <v>84</v>
      </c>
    </row>
    <row r="21" customFormat="false" ht="15" hidden="false" customHeight="false" outlineLevel="0" collapsed="false">
      <c r="A21" s="15" t="n">
        <v>0</v>
      </c>
      <c r="B21" s="15" t="n">
        <f aca="false">A21/$B$9</f>
        <v>0</v>
      </c>
      <c r="C21" s="21" t="n">
        <f aca="false">IF(A21&lt;=$B$8,0,$B$7*(1-EXP(-(A21-$B$8)/$B$14)))</f>
        <v>0</v>
      </c>
      <c r="D21" s="21" t="n">
        <f aca="false">$B$5*C21</f>
        <v>0</v>
      </c>
      <c r="E21" s="21" t="n">
        <f aca="false">D21/$B$10</f>
        <v>0</v>
      </c>
      <c r="F21" s="21" t="n">
        <f aca="false">IF(B21&gt;0,E21/(2*PI()*B21/60),0)</f>
        <v>0</v>
      </c>
    </row>
    <row r="22" customFormat="false" ht="15" hidden="false" customHeight="false" outlineLevel="0" collapsed="false">
      <c r="A22" s="17" t="n">
        <v>500</v>
      </c>
      <c r="B22" s="17" t="n">
        <f aca="false">A22/$B$9</f>
        <v>192.307692307692</v>
      </c>
      <c r="C22" s="22" t="n">
        <f aca="false">IF(A22&lt;=$B$8,0,$B$7*(1-EXP(-(A22-$B$8)/$B$14)))</f>
        <v>0</v>
      </c>
      <c r="D22" s="22" t="n">
        <f aca="false">$B$5*C22</f>
        <v>0</v>
      </c>
      <c r="E22" s="22" t="n">
        <f aca="false">D22/$B$10</f>
        <v>0</v>
      </c>
      <c r="F22" s="22" t="n">
        <f aca="false">IF(B22&gt;0,E22/(2*PI()*B22/60),0)</f>
        <v>0</v>
      </c>
    </row>
    <row r="23" customFormat="false" ht="15" hidden="false" customHeight="false" outlineLevel="0" collapsed="false">
      <c r="A23" s="15" t="n">
        <v>1000</v>
      </c>
      <c r="B23" s="15" t="n">
        <f aca="false">A23/$B$9</f>
        <v>384.615384615385</v>
      </c>
      <c r="C23" s="21" t="n">
        <f aca="false">IF(A23&lt;=$B$8,0,$B$7*(1-EXP(-(A23-$B$8)/$B$14)))</f>
        <v>0</v>
      </c>
      <c r="D23" s="21" t="n">
        <f aca="false">$B$5*C23</f>
        <v>0</v>
      </c>
      <c r="E23" s="21" t="n">
        <f aca="false">D23/$B$10</f>
        <v>0</v>
      </c>
      <c r="F23" s="21" t="n">
        <f aca="false">IF(B23&gt;0,E23/(2*PI()*B23/60),0)</f>
        <v>0</v>
      </c>
    </row>
    <row r="24" customFormat="false" ht="15" hidden="false" customHeight="false" outlineLevel="0" collapsed="false">
      <c r="A24" s="17" t="n">
        <v>1500</v>
      </c>
      <c r="B24" s="17" t="n">
        <f aca="false">A24/$B$9</f>
        <v>576.923076923077</v>
      </c>
      <c r="C24" s="22" t="n">
        <f aca="false">IF(A24&lt;=$B$8,0,$B$7*(1-EXP(-(A24-$B$8)/$B$14)))</f>
        <v>27.6699904045649</v>
      </c>
      <c r="D24" s="22" t="n">
        <f aca="false">$B$5*C24</f>
        <v>387.379865663909</v>
      </c>
      <c r="E24" s="22" t="n">
        <f aca="false">D24/$B$10</f>
        <v>645.633109439848</v>
      </c>
      <c r="F24" s="22" t="n">
        <f aca="false">IF(B24&gt;0,E24/(2*PI()*B24/60),0)</f>
        <v>10.6865928822788</v>
      </c>
    </row>
    <row r="25" customFormat="false" ht="15" hidden="false" customHeight="false" outlineLevel="0" collapsed="false">
      <c r="A25" s="15" t="n">
        <v>2000</v>
      </c>
      <c r="B25" s="15" t="n">
        <f aca="false">A25/$B$9</f>
        <v>769.230769230769</v>
      </c>
      <c r="C25" s="21" t="n">
        <f aca="false">IF(A25&lt;=$B$8,0,$B$7*(1-EXP(-(A25-$B$8)/$B$14)))</f>
        <v>46.8329989314775</v>
      </c>
      <c r="D25" s="21" t="n">
        <f aca="false">$B$5*C25</f>
        <v>655.661985040685</v>
      </c>
      <c r="E25" s="21" t="n">
        <f aca="false">D25/$B$10</f>
        <v>1092.76997506781</v>
      </c>
      <c r="F25" s="21" t="n">
        <f aca="false">IF(B25&gt;0,E25/(2*PI()*B25/60),0)</f>
        <v>13.565739969167</v>
      </c>
    </row>
    <row r="26" customFormat="false" ht="15" hidden="false" customHeight="false" outlineLevel="0" collapsed="false">
      <c r="A26" s="17" t="n">
        <v>2500</v>
      </c>
      <c r="B26" s="17" t="n">
        <f aca="false">A26/$B$9</f>
        <v>961.538461538462</v>
      </c>
      <c r="C26" s="22" t="n">
        <f aca="false">IF(A26&lt;=$B$8,0,$B$7*(1-EXP(-(A26-$B$8)/$B$14)))</f>
        <v>60.1044489910315</v>
      </c>
      <c r="D26" s="22" t="n">
        <f aca="false">$B$5*C26</f>
        <v>841.462285874441</v>
      </c>
      <c r="E26" s="22" t="n">
        <f aca="false">D26/$B$10</f>
        <v>1402.43714312407</v>
      </c>
      <c r="F26" s="22" t="n">
        <f aca="false">IF(B26&gt;0,E26/(2*PI()*B26/60),0)</f>
        <v>13.9279797511216</v>
      </c>
    </row>
    <row r="27" customFormat="false" ht="15" hidden="false" customHeight="false" outlineLevel="0" collapsed="false">
      <c r="A27" s="15" t="n">
        <v>3000</v>
      </c>
      <c r="B27" s="15" t="n">
        <f aca="false">A27/$B$9</f>
        <v>1153.84615384615</v>
      </c>
      <c r="C27" s="21" t="n">
        <f aca="false">IF(A27&lt;=$B$8,0,$B$7*(1-EXP(-(A27-$B$8)/$B$14)))</f>
        <v>69.2956668750019</v>
      </c>
      <c r="D27" s="21" t="n">
        <f aca="false">$B$5*C27</f>
        <v>970.139336250027</v>
      </c>
      <c r="E27" s="21" t="n">
        <f aca="false">D27/$B$10</f>
        <v>1616.89889375005</v>
      </c>
      <c r="F27" s="21" t="n">
        <f aca="false">IF(B27&gt;0,E27/(2*PI()*B27/60),0)</f>
        <v>13.3815474738471</v>
      </c>
    </row>
    <row r="28" customFormat="false" ht="15" hidden="false" customHeight="false" outlineLevel="0" collapsed="false">
      <c r="A28" s="17" t="n">
        <v>3500</v>
      </c>
      <c r="B28" s="17" t="n">
        <f aca="false">A28/$B$9</f>
        <v>1346.15384615385</v>
      </c>
      <c r="C28" s="22" t="n">
        <f aca="false">IF(A28&lt;=$B$8,0,$B$7*(1-EXP(-(A28-$B$8)/$B$14)))</f>
        <v>75.6610968627976</v>
      </c>
      <c r="D28" s="22" t="n">
        <f aca="false">$B$5*C28</f>
        <v>1059.25535607917</v>
      </c>
      <c r="E28" s="22" t="n">
        <f aca="false">D28/$B$10</f>
        <v>1765.42559346528</v>
      </c>
      <c r="F28" s="22" t="n">
        <f aca="false">IF(B28&gt;0,E28/(2*PI()*B28/60),0)</f>
        <v>12.5235110680877</v>
      </c>
    </row>
    <row r="29" customFormat="false" ht="15" hidden="false" customHeight="false" outlineLevel="0" collapsed="false">
      <c r="A29" s="15" t="n">
        <v>4000</v>
      </c>
      <c r="B29" s="15" t="n">
        <f aca="false">A29/$B$9</f>
        <v>1538.46153846154</v>
      </c>
      <c r="C29" s="21" t="n">
        <f aca="false">IF(A29&lt;=$B$8,0,$B$7*(1-EXP(-(A29-$B$8)/$B$14)))</f>
        <v>80.0695114430018</v>
      </c>
      <c r="D29" s="21" t="n">
        <f aca="false">$B$5*C29</f>
        <v>1120.97316020203</v>
      </c>
      <c r="E29" s="21" t="n">
        <f aca="false">D29/$B$10</f>
        <v>1868.28860033671</v>
      </c>
      <c r="F29" s="21" t="n">
        <f aca="false">IF(B29&gt;0,E29/(2*PI()*B29/60),0)</f>
        <v>11.5965472687672</v>
      </c>
    </row>
    <row r="30" customFormat="false" ht="15" hidden="false" customHeight="false" outlineLevel="0" collapsed="false">
      <c r="A30" s="17" t="n">
        <v>4500</v>
      </c>
      <c r="B30" s="17" t="n">
        <f aca="false">A30/$B$9</f>
        <v>1730.76923076923</v>
      </c>
      <c r="C30" s="22" t="n">
        <f aca="false">IF(A30&lt;=$B$8,0,$B$7*(1-EXP(-(A30-$B$8)/$B$14)))</f>
        <v>83.1225839217216</v>
      </c>
      <c r="D30" s="22" t="n">
        <f aca="false">$B$5*C30</f>
        <v>1163.7161749041</v>
      </c>
      <c r="E30" s="22" t="n">
        <f aca="false">D30/$B$10</f>
        <v>1939.5269581735</v>
      </c>
      <c r="F30" s="22" t="n">
        <f aca="false">IF(B30&gt;0,E30/(2*PI()*B30/60),0)</f>
        <v>10.7010904919811</v>
      </c>
    </row>
    <row r="31" customFormat="false" ht="15" hidden="false" customHeight="false" outlineLevel="0" collapsed="false">
      <c r="A31" s="15" t="n">
        <v>5000</v>
      </c>
      <c r="B31" s="15" t="n">
        <f aca="false">A31/$B$9</f>
        <v>1923.07692307692</v>
      </c>
      <c r="C31" s="21" t="n">
        <f aca="false">IF(A31&lt;=$B$8,0,$B$7*(1-EXP(-(A31-$B$8)/$B$14)))</f>
        <v>85.237006553879</v>
      </c>
      <c r="D31" s="21" t="n">
        <f aca="false">$B$5*C31</f>
        <v>1193.31809175431</v>
      </c>
      <c r="E31" s="21" t="n">
        <f aca="false">D31/$B$10</f>
        <v>1988.86348625718</v>
      </c>
      <c r="F31" s="21" t="n">
        <f aca="false">IF(B31&gt;0,E31/(2*PI()*B31/60),0)</f>
        <v>9.87596859515166</v>
      </c>
    </row>
    <row r="32" customFormat="false" ht="15" hidden="false" customHeight="false" outlineLevel="0" collapsed="false">
      <c r="A32" s="17" t="n">
        <v>5500</v>
      </c>
      <c r="B32" s="17" t="n">
        <f aca="false">A32/$B$9</f>
        <v>2115.38461538462</v>
      </c>
      <c r="C32" s="22" t="n">
        <f aca="false">IF(A32&lt;=$B$8,0,$B$7*(1-EXP(-(A32-$B$8)/$B$14)))</f>
        <v>86.7013619200031</v>
      </c>
      <c r="D32" s="22" t="n">
        <f aca="false">$B$5*C32</f>
        <v>1213.81906688004</v>
      </c>
      <c r="E32" s="22" t="n">
        <f aca="false">D32/$B$10</f>
        <v>2023.03177813341</v>
      </c>
      <c r="F32" s="22" t="n">
        <f aca="false">IF(B32&gt;0,E32/(2*PI()*B32/60),0)</f>
        <v>9.13239621334895</v>
      </c>
    </row>
    <row r="33" customFormat="false" ht="15" hidden="false" customHeight="false" outlineLevel="0" collapsed="false">
      <c r="A33" s="15" t="n">
        <v>6000</v>
      </c>
      <c r="B33" s="15" t="n">
        <f aca="false">A33/$B$9</f>
        <v>2307.69230769231</v>
      </c>
      <c r="C33" s="21" t="n">
        <f aca="false">IF(A33&lt;=$B$8,0,$B$7*(1-EXP(-(A33-$B$8)/$B$14)))</f>
        <v>87.7155095202436</v>
      </c>
      <c r="D33" s="21" t="n">
        <f aca="false">$B$5*C33</f>
        <v>1228.01713328341</v>
      </c>
      <c r="E33" s="21" t="n">
        <f aca="false">D33/$B$10</f>
        <v>2046.69522213902</v>
      </c>
      <c r="F33" s="21" t="n">
        <f aca="false">IF(B33&gt;0,E33/(2*PI()*B33/60),0)</f>
        <v>8.46928320175573</v>
      </c>
    </row>
    <row r="34" customFormat="false" ht="15" hidden="false" customHeight="false" outlineLevel="0" collapsed="false">
      <c r="A34" s="17" t="n">
        <v>6500</v>
      </c>
      <c r="B34" s="17" t="n">
        <f aca="false">A34/$B$9</f>
        <v>2500</v>
      </c>
      <c r="C34" s="22" t="n">
        <f aca="false">IF(A34&lt;=$B$8,0,$B$7*(1-EXP(-(A34-$B$8)/$B$14)))</f>
        <v>88.4178631830679</v>
      </c>
      <c r="D34" s="22" t="n">
        <f aca="false">$B$5*C34</f>
        <v>1237.85008456295</v>
      </c>
      <c r="E34" s="22" t="n">
        <f aca="false">D34/$B$10</f>
        <v>2063.08347427158</v>
      </c>
      <c r="F34" s="22" t="n">
        <f aca="false">IF(B34&gt;0,E34/(2*PI()*B34/60),0)</f>
        <v>7.88039839059657</v>
      </c>
    </row>
    <row r="35" customFormat="false" ht="15" hidden="false" customHeight="false" outlineLevel="0" collapsed="false">
      <c r="A35" s="15" t="n">
        <v>7000</v>
      </c>
      <c r="B35" s="15" t="n">
        <f aca="false">A35/$B$9</f>
        <v>2692.30769230769</v>
      </c>
      <c r="C35" s="21" t="n">
        <f aca="false">IF(A35&lt;=$B$8,0,$B$7*(1-EXP(-(A35-$B$8)/$B$14)))</f>
        <v>88.9042821891036</v>
      </c>
      <c r="D35" s="21" t="n">
        <f aca="false">$B$5*C35</f>
        <v>1244.65995064745</v>
      </c>
      <c r="E35" s="21" t="n">
        <f aca="false">D35/$B$10</f>
        <v>2074.43325107909</v>
      </c>
      <c r="F35" s="21" t="n">
        <f aca="false">IF(B35&gt;0,E35/(2*PI()*B35/60),0)</f>
        <v>7.35776910566495</v>
      </c>
    </row>
    <row r="36" customFormat="false" ht="15" hidden="false" customHeight="false" outlineLevel="0" collapsed="false">
      <c r="A36" s="17" t="n">
        <v>7500</v>
      </c>
      <c r="B36" s="17" t="n">
        <f aca="false">A36/$B$9</f>
        <v>2884.61538461538</v>
      </c>
      <c r="C36" s="22" t="n">
        <f aca="false">IF(A36&lt;=$B$8,0,$B$7*(1-EXP(-(A36-$B$8)/$B$14)))</f>
        <v>89.2411544259216</v>
      </c>
      <c r="D36" s="22" t="n">
        <f aca="false">$B$5*C36</f>
        <v>1249.3761619629</v>
      </c>
      <c r="E36" s="22" t="n">
        <f aca="false">D36/$B$10</f>
        <v>2082.2936032715</v>
      </c>
      <c r="F36" s="22" t="n">
        <f aca="false">IF(B36&gt;0,E36/(2*PI()*B36/60),0)</f>
        <v>6.89327225452931</v>
      </c>
    </row>
    <row r="37" customFormat="false" ht="15" hidden="false" customHeight="false" outlineLevel="0" collapsed="false">
      <c r="A37" s="15" t="n">
        <v>8000</v>
      </c>
      <c r="B37" s="15" t="n">
        <f aca="false">A37/$B$9</f>
        <v>3076.92307692308</v>
      </c>
      <c r="C37" s="21" t="n">
        <f aca="false">IF(A37&lt;=$B$8,0,$B$7*(1-EXP(-(A37-$B$8)/$B$14)))</f>
        <v>89.4744572009582</v>
      </c>
      <c r="D37" s="21" t="n">
        <f aca="false">$B$5*C37</f>
        <v>1252.64240081341</v>
      </c>
      <c r="E37" s="21" t="n">
        <f aca="false">D37/$B$10</f>
        <v>2087.73733468902</v>
      </c>
      <c r="F37" s="21" t="n">
        <f aca="false">IF(B37&gt;0,E37/(2*PI()*B37/60),0)</f>
        <v>6.47933747551851</v>
      </c>
    </row>
    <row r="38" customFormat="false" ht="15" hidden="false" customHeight="false" outlineLevel="0" collapsed="false">
      <c r="A38" s="17" t="n">
        <v>8500</v>
      </c>
      <c r="B38" s="17" t="n">
        <f aca="false">A38/$B$9</f>
        <v>3269.23076923077</v>
      </c>
      <c r="C38" s="22" t="n">
        <f aca="false">IF(A38&lt;=$B$8,0,$B$7*(1-EXP(-(A38-$B$8)/$B$14)))</f>
        <v>89.6360323588101</v>
      </c>
      <c r="D38" s="22" t="n">
        <f aca="false">$B$5*C38</f>
        <v>1254.90445302334</v>
      </c>
      <c r="E38" s="22" t="n">
        <f aca="false">D38/$B$10</f>
        <v>2091.50742170557</v>
      </c>
      <c r="F38" s="22" t="n">
        <f aca="false">IF(B38&gt;0,E38/(2*PI()*B38/60),0)</f>
        <v>6.10921225526364</v>
      </c>
    </row>
    <row r="39" customFormat="false" ht="15" hidden="false" customHeight="false" outlineLevel="0" collapsed="false">
      <c r="A39" s="15" t="n">
        <v>9000</v>
      </c>
      <c r="B39" s="15" t="n">
        <f aca="false">A39/$B$9</f>
        <v>3461.53846153846</v>
      </c>
      <c r="C39" s="21" t="n">
        <f aca="false">IF(A39&lt;=$B$8,0,$B$7*(1-EXP(-(A39-$B$8)/$B$14)))</f>
        <v>89.7479321492468</v>
      </c>
      <c r="D39" s="21" t="n">
        <f aca="false">$B$5*C39</f>
        <v>1256.47105008945</v>
      </c>
      <c r="E39" s="21" t="n">
        <f aca="false">D39/$B$10</f>
        <v>2094.11841681576</v>
      </c>
      <c r="F39" s="21" t="n">
        <f aca="false">IF(B39&gt;0,E39/(2*PI()*B39/60),0)</f>
        <v>5.77701448923737</v>
      </c>
    </row>
    <row r="40" customFormat="false" ht="15" hidden="false" customHeight="false" outlineLevel="0" collapsed="false">
      <c r="A40" s="17" t="n">
        <v>9500</v>
      </c>
      <c r="B40" s="17" t="n">
        <f aca="false">A40/$B$9</f>
        <v>3653.84615384615</v>
      </c>
      <c r="C40" s="22" t="n">
        <f aca="false">IF(A40&lt;=$B$8,0,$B$7*(1-EXP(-(A40-$B$8)/$B$14)))</f>
        <v>89.8254289827094</v>
      </c>
      <c r="D40" s="22" t="n">
        <f aca="false">$B$5*C40</f>
        <v>1257.55600575793</v>
      </c>
      <c r="E40" s="22" t="n">
        <f aca="false">D40/$B$10</f>
        <v>2095.92667626322</v>
      </c>
      <c r="F40" s="22" t="n">
        <f aca="false">IF(B40&gt;0,E40/(2*PI()*B40/60),0)</f>
        <v>5.4776869661191</v>
      </c>
    </row>
    <row r="41" customFormat="false" ht="15" hidden="false" customHeight="false" outlineLevel="0" collapsed="false">
      <c r="A41" s="15" t="n">
        <v>10000</v>
      </c>
      <c r="B41" s="15" t="n">
        <f aca="false">A41/$B$9</f>
        <v>3846.15384615385</v>
      </c>
      <c r="C41" s="21" t="n">
        <f aca="false">IF(A41&lt;=$B$8,0,$B$7*(1-EXP(-(A41-$B$8)/$B$14)))</f>
        <v>89.8790998535244</v>
      </c>
      <c r="D41" s="21" t="n">
        <f aca="false">$B$5*C41</f>
        <v>1258.30739794934</v>
      </c>
      <c r="E41" s="21" t="n">
        <f aca="false">D41/$B$10</f>
        <v>2097.17899658224</v>
      </c>
      <c r="F41" s="21" t="n">
        <f aca="false">IF(B41&gt;0,E41/(2*PI()*B41/60),0)</f>
        <v>5.2069119001312</v>
      </c>
    </row>
    <row r="42" customFormat="false" ht="15" hidden="false" customHeight="false" outlineLevel="0" collapsed="false">
      <c r="A42" s="17" t="n">
        <v>10500</v>
      </c>
      <c r="B42" s="17" t="n">
        <f aca="false">A42/$B$9</f>
        <v>4038.46153846154</v>
      </c>
      <c r="C42" s="22" t="n">
        <f aca="false">IF(A42&lt;=$B$8,0,$B$7*(1-EXP(-(A42-$B$8)/$B$14)))</f>
        <v>89.916269919001</v>
      </c>
      <c r="D42" s="22" t="n">
        <f aca="false">$B$5*C42</f>
        <v>1258.82777886601</v>
      </c>
      <c r="E42" s="22" t="n">
        <f aca="false">D42/$B$10</f>
        <v>2098.04629811002</v>
      </c>
      <c r="F42" s="22" t="n">
        <f aca="false">IF(B42&gt;0,E42/(2*PI()*B42/60),0)</f>
        <v>4.96101452495796</v>
      </c>
    </row>
    <row r="43" customFormat="false" ht="15" hidden="false" customHeight="false" outlineLevel="0" collapsed="false">
      <c r="A43" s="15" t="n">
        <v>11000</v>
      </c>
      <c r="B43" s="15" t="n">
        <f aca="false">A43/$B$9</f>
        <v>4230.76923076923</v>
      </c>
      <c r="C43" s="21" t="n">
        <f aca="false">IF(A43&lt;=$B$8,0,$B$7*(1-EXP(-(A43-$B$8)/$B$14)))</f>
        <v>89.94201225831</v>
      </c>
      <c r="D43" s="21" t="n">
        <f aca="false">$B$5*C43</f>
        <v>1259.18817161634</v>
      </c>
      <c r="E43" s="21" t="n">
        <f aca="false">D43/$B$10</f>
        <v>2098.6469526939</v>
      </c>
      <c r="F43" s="21" t="n">
        <f aca="false">IF(B43&gt;0,E43/(2*PI()*B43/60),0)</f>
        <v>4.7368696060775</v>
      </c>
    </row>
    <row r="44" customFormat="false" ht="15" hidden="false" customHeight="false" outlineLevel="0" collapsed="false">
      <c r="A44" s="17" t="n">
        <v>11500</v>
      </c>
      <c r="B44" s="17" t="n">
        <f aca="false">A44/$B$9</f>
        <v>4423.07692307692</v>
      </c>
      <c r="C44" s="22" t="n">
        <f aca="false">IF(A44&lt;=$B$8,0,$B$7*(1-EXP(-(A44-$B$8)/$B$14)))</f>
        <v>89.9598402611561</v>
      </c>
      <c r="D44" s="22" t="n">
        <f aca="false">$B$5*C44</f>
        <v>1259.43776365619</v>
      </c>
      <c r="E44" s="22" t="n">
        <f aca="false">D44/$B$10</f>
        <v>2099.06293942698</v>
      </c>
      <c r="F44" s="22" t="n">
        <f aca="false">IF(B44&gt;0,E44/(2*PI()*B44/60),0)</f>
        <v>4.53181685709964</v>
      </c>
    </row>
    <row r="45" customFormat="false" ht="15" hidden="false" customHeight="false" outlineLevel="0" collapsed="false">
      <c r="A45" s="15" t="n">
        <v>12000</v>
      </c>
      <c r="B45" s="15" t="n">
        <f aca="false">A45/$B$9</f>
        <v>4615.38461538462</v>
      </c>
      <c r="C45" s="21" t="n">
        <f aca="false">IF(A45&lt;=$B$8,0,$B$7*(1-EXP(-(A45-$B$8)/$B$14)))</f>
        <v>89.9721871454723</v>
      </c>
      <c r="D45" s="21" t="n">
        <f aca="false">$B$5*C45</f>
        <v>1259.61062003661</v>
      </c>
      <c r="E45" s="21" t="n">
        <f aca="false">D45/$B$10</f>
        <v>2099.35103339435</v>
      </c>
      <c r="F45" s="21" t="n">
        <f aca="false">IF(B45&gt;0,E45/(2*PI()*B45/60),0)</f>
        <v>4.34358722524727</v>
      </c>
    </row>
    <row r="46" customFormat="false" ht="15" hidden="false" customHeight="false" outlineLevel="0" collapsed="false">
      <c r="A46" s="17" t="n">
        <v>12500</v>
      </c>
      <c r="B46" s="17" t="n">
        <f aca="false">A46/$B$9</f>
        <v>4807.69230769231</v>
      </c>
      <c r="C46" s="22" t="n">
        <f aca="false">IF(A46&lt;=$B$8,0,$B$7*(1-EXP(-(A46-$B$8)/$B$14)))</f>
        <v>89.9807380501157</v>
      </c>
      <c r="D46" s="22" t="n">
        <f aca="false">$B$5*C46</f>
        <v>1259.73033270162</v>
      </c>
      <c r="E46" s="22" t="n">
        <f aca="false">D46/$B$10</f>
        <v>2099.5505545027</v>
      </c>
      <c r="F46" s="22" t="n">
        <f aca="false">IF(B46&gt;0,E46/(2*PI()*B46/60),0)</f>
        <v>4.17024003577502</v>
      </c>
    </row>
    <row r="47" customFormat="false" ht="15" hidden="false" customHeight="false" outlineLevel="0" collapsed="false">
      <c r="A47" s="15" t="n">
        <v>13000</v>
      </c>
      <c r="B47" s="15" t="n">
        <f aca="false">A47/$B$9</f>
        <v>5000</v>
      </c>
      <c r="C47" s="21" t="n">
        <f aca="false">IF(A47&lt;=$B$8,0,$B$7*(1-EXP(-(A47-$B$8)/$B$14)))</f>
        <v>89.9866600275432</v>
      </c>
      <c r="D47" s="21" t="n">
        <f aca="false">$B$5*C47</f>
        <v>1259.8132403856</v>
      </c>
      <c r="E47" s="21" t="n">
        <f aca="false">D47/$B$10</f>
        <v>2099.68873397601</v>
      </c>
      <c r="F47" s="21" t="n">
        <f aca="false">IF(B47&gt;0,E47/(2*PI()*B47/60),0)</f>
        <v>4.01011009159974</v>
      </c>
    </row>
    <row r="48" customFormat="false" ht="15" hidden="false" customHeight="false" outlineLevel="0" collapsed="false">
      <c r="A48" s="17" t="n">
        <v>13500</v>
      </c>
      <c r="B48" s="17" t="n">
        <f aca="false">A48/$B$9</f>
        <v>5192.30769230769</v>
      </c>
      <c r="C48" s="22" t="n">
        <f aca="false">IF(A48&lt;=$B$8,0,$B$7*(1-EXP(-(A48-$B$8)/$B$14)))</f>
        <v>89.9907613265418</v>
      </c>
      <c r="D48" s="22" t="n">
        <f aca="false">$B$5*C48</f>
        <v>1259.87065857159</v>
      </c>
      <c r="E48" s="22" t="n">
        <f aca="false">D48/$B$10</f>
        <v>2099.78443095264</v>
      </c>
      <c r="F48" s="22" t="n">
        <f aca="false">IF(B48&gt;0,E48/(2*PI()*B48/60),0)</f>
        <v>3.86176349420062</v>
      </c>
    </row>
    <row r="49" customFormat="false" ht="15" hidden="false" customHeight="false" outlineLevel="0" collapsed="false">
      <c r="A49" s="15" t="n">
        <v>14000</v>
      </c>
      <c r="B49" s="15" t="n">
        <f aca="false">A49/$B$9</f>
        <v>5384.61538461539</v>
      </c>
      <c r="C49" s="21" t="n">
        <f aca="false">IF(A49&lt;=$B$8,0,$B$7*(1-EXP(-(A49-$B$8)/$B$14)))</f>
        <v>89.9936017043856</v>
      </c>
      <c r="D49" s="21" t="n">
        <f aca="false">$B$5*C49</f>
        <v>1259.9104238614</v>
      </c>
      <c r="E49" s="21" t="n">
        <f aca="false">D49/$B$10</f>
        <v>2099.85070643566</v>
      </c>
      <c r="F49" s="21" t="n">
        <f aca="false">IF(B49&gt;0,E49/(2*PI()*B49/60),0)</f>
        <v>3.72396090505301</v>
      </c>
    </row>
    <row r="50" customFormat="false" ht="15" hidden="false" customHeight="false" outlineLevel="0" collapsed="false">
      <c r="A50" s="17" t="n">
        <v>14500</v>
      </c>
      <c r="B50" s="17" t="n">
        <f aca="false">A50/$B$9</f>
        <v>5576.92307692308</v>
      </c>
      <c r="C50" s="22" t="n">
        <f aca="false">IF(A50&lt;=$B$8,0,$B$7*(1-EXP(-(A50-$B$8)/$B$14)))</f>
        <v>89.995568824144</v>
      </c>
      <c r="D50" s="22" t="n">
        <f aca="false">$B$5*C50</f>
        <v>1259.93796353802</v>
      </c>
      <c r="E50" s="22" t="n">
        <f aca="false">D50/$B$10</f>
        <v>2099.89660589669</v>
      </c>
      <c r="F50" s="22" t="n">
        <f aca="false">IF(B50&gt;0,E50/(2*PI()*B50/60),0)</f>
        <v>3.59562705313207</v>
      </c>
    </row>
    <row r="51" customFormat="false" ht="15" hidden="false" customHeight="false" outlineLevel="0" collapsed="false">
      <c r="A51" s="15" t="n">
        <v>15000</v>
      </c>
      <c r="B51" s="15" t="n">
        <f aca="false">A51/$B$9</f>
        <v>5769.23076923077</v>
      </c>
      <c r="C51" s="21" t="n">
        <f aca="false">IF(A51&lt;=$B$8,0,$B$7*(1-EXP(-(A51-$B$8)/$B$14)))</f>
        <v>89.9969311640708</v>
      </c>
      <c r="D51" s="21" t="n">
        <f aca="false">$B$5*C51</f>
        <v>1259.95703629699</v>
      </c>
      <c r="E51" s="21" t="n">
        <f aca="false">D51/$B$10</f>
        <v>2099.92839382832</v>
      </c>
      <c r="F51" s="21" t="n">
        <f aca="false">IF(B51&gt;0,E51/(2*PI()*B51/60),0)</f>
        <v>3.47582543377474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25.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42" hidden="false" customHeight="true" outlineLevel="0" collapsed="false">
      <c r="A4" s="14" t="s">
        <v>87</v>
      </c>
      <c r="B4" s="14" t="s">
        <v>88</v>
      </c>
      <c r="C4" s="14" t="s">
        <v>89</v>
      </c>
      <c r="D4" s="14" t="s">
        <v>90</v>
      </c>
    </row>
    <row r="5" customFormat="false" ht="15" hidden="false" customHeight="false" outlineLevel="0" collapsed="false">
      <c r="A5" s="23" t="s">
        <v>91</v>
      </c>
      <c r="B5" s="10" t="n">
        <v>120</v>
      </c>
      <c r="C5" s="10" t="n">
        <v>1</v>
      </c>
      <c r="D5" s="24" t="n">
        <f aca="false">B5*C5/2_Alternador!$B$5</f>
        <v>8.57142857142857</v>
      </c>
    </row>
    <row r="6" customFormat="false" ht="15" hidden="false" customHeight="false" outlineLevel="0" collapsed="false">
      <c r="A6" s="23" t="s">
        <v>92</v>
      </c>
      <c r="B6" s="10" t="n">
        <v>60</v>
      </c>
      <c r="C6" s="10" t="n">
        <v>1</v>
      </c>
      <c r="D6" s="24" t="n">
        <f aca="false">B6*C6/2_Alternador!$B$5</f>
        <v>4.28571428571429</v>
      </c>
    </row>
    <row r="7" customFormat="false" ht="15" hidden="false" customHeight="false" outlineLevel="0" collapsed="false">
      <c r="A7" s="23" t="s">
        <v>93</v>
      </c>
      <c r="B7" s="10" t="n">
        <v>30</v>
      </c>
      <c r="C7" s="10" t="n">
        <v>1</v>
      </c>
      <c r="D7" s="24" t="n">
        <f aca="false">B7*C7/2_Alternador!$B$5</f>
        <v>2.14285714285714</v>
      </c>
    </row>
    <row r="8" customFormat="false" ht="15" hidden="false" customHeight="false" outlineLevel="0" collapsed="false">
      <c r="A8" s="23" t="s">
        <v>94</v>
      </c>
      <c r="B8" s="10" t="n">
        <v>110</v>
      </c>
      <c r="C8" s="10" t="n">
        <v>1</v>
      </c>
      <c r="D8" s="24" t="n">
        <f aca="false">B8*C8/2_Alternador!$B$5</f>
        <v>7.85714285714286</v>
      </c>
    </row>
    <row r="9" customFormat="false" ht="15" hidden="false" customHeight="false" outlineLevel="0" collapsed="false">
      <c r="A9" s="23" t="s">
        <v>95</v>
      </c>
      <c r="B9" s="10" t="n">
        <v>120</v>
      </c>
      <c r="C9" s="10" t="n">
        <v>0</v>
      </c>
      <c r="D9" s="24" t="n">
        <f aca="false">B9*C9/2_Alternador!$B$5</f>
        <v>0</v>
      </c>
    </row>
    <row r="10" customFormat="false" ht="15" hidden="false" customHeight="false" outlineLevel="0" collapsed="false">
      <c r="A10" s="23" t="s">
        <v>96</v>
      </c>
      <c r="B10" s="10" t="n">
        <v>110</v>
      </c>
      <c r="C10" s="10" t="n">
        <v>0</v>
      </c>
      <c r="D10" s="24" t="n">
        <f aca="false">B10*C10/2_Alternador!$B$5</f>
        <v>0</v>
      </c>
    </row>
    <row r="11" customFormat="false" ht="15" hidden="false" customHeight="false" outlineLevel="0" collapsed="false">
      <c r="A11" s="23" t="s">
        <v>97</v>
      </c>
      <c r="B11" s="10" t="n">
        <v>15</v>
      </c>
      <c r="C11" s="10" t="n">
        <v>1</v>
      </c>
      <c r="D11" s="24" t="n">
        <f aca="false">B11*C11/2_Alternador!$B$5</f>
        <v>1.07142857142857</v>
      </c>
    </row>
    <row r="12" customFormat="false" ht="15" hidden="false" customHeight="false" outlineLevel="0" collapsed="false">
      <c r="A12" s="23" t="s">
        <v>98</v>
      </c>
      <c r="B12" s="10" t="n">
        <v>20</v>
      </c>
      <c r="C12" s="10" t="n">
        <v>1</v>
      </c>
      <c r="D12" s="24" t="n">
        <f aca="false">B12*C12/2_Alternador!$B$5</f>
        <v>1.42857142857143</v>
      </c>
    </row>
    <row r="13" customFormat="false" ht="15" hidden="false" customHeight="false" outlineLevel="0" collapsed="false">
      <c r="A13" s="23" t="s">
        <v>99</v>
      </c>
      <c r="B13" s="10" t="n">
        <v>90</v>
      </c>
      <c r="C13" s="10" t="n">
        <v>1</v>
      </c>
      <c r="D13" s="24" t="n">
        <f aca="false">B13*C13/2_Alternador!$B$5</f>
        <v>6.42857142857143</v>
      </c>
    </row>
    <row r="14" customFormat="false" ht="15" hidden="false" customHeight="false" outlineLevel="0" collapsed="false">
      <c r="A14" s="23" t="s">
        <v>100</v>
      </c>
      <c r="B14" s="10" t="n">
        <v>200</v>
      </c>
      <c r="C14" s="10" t="n">
        <v>1</v>
      </c>
      <c r="D14" s="24" t="n">
        <f aca="false">B14*C14/2_Alternador!$B$5</f>
        <v>14.2857142857143</v>
      </c>
    </row>
    <row r="15" customFormat="false" ht="15" hidden="false" customHeight="false" outlineLevel="0" collapsed="false">
      <c r="A15" s="23" t="s">
        <v>101</v>
      </c>
      <c r="B15" s="10" t="n">
        <v>150</v>
      </c>
      <c r="C15" s="10" t="n">
        <v>1</v>
      </c>
      <c r="D15" s="24" t="n">
        <f aca="false">B15*C15/2_Alternador!$B$5</f>
        <v>10.7142857142857</v>
      </c>
    </row>
    <row r="16" customFormat="false" ht="15" hidden="false" customHeight="false" outlineLevel="0" collapsed="false">
      <c r="A16" s="23" t="s">
        <v>102</v>
      </c>
      <c r="B16" s="10" t="n">
        <v>240</v>
      </c>
      <c r="C16" s="10" t="n">
        <v>0</v>
      </c>
      <c r="D16" s="24" t="n">
        <f aca="false">B16*C16/2_Alternador!$B$5</f>
        <v>0</v>
      </c>
    </row>
    <row r="17" customFormat="false" ht="15" hidden="false" customHeight="false" outlineLevel="0" collapsed="false">
      <c r="A17" s="23" t="s">
        <v>103</v>
      </c>
      <c r="B17" s="10" t="n">
        <v>63</v>
      </c>
      <c r="C17" s="10" t="n">
        <v>0</v>
      </c>
      <c r="D17" s="24" t="n">
        <f aca="false">B17*C17/2_Alternador!$B$5</f>
        <v>0</v>
      </c>
    </row>
    <row r="18" customFormat="false" ht="15" hidden="false" customHeight="false" outlineLevel="0" collapsed="false">
      <c r="A18" s="23" t="s">
        <v>104</v>
      </c>
      <c r="B18" s="10" t="n">
        <v>150</v>
      </c>
      <c r="C18" s="10" t="n">
        <v>0</v>
      </c>
      <c r="D18" s="24" t="n">
        <f aca="false">B18*C18/2_Alternador!$B$5</f>
        <v>0</v>
      </c>
    </row>
    <row r="20" customFormat="false" ht="15" hidden="false" customHeight="false" outlineLevel="0" collapsed="false">
      <c r="A20" s="3" t="s">
        <v>105</v>
      </c>
      <c r="B20" s="20" t="n">
        <f aca="false">SUM(D5:D18)</f>
        <v>56.7857142857143</v>
      </c>
      <c r="C20" s="3" t="s">
        <v>43</v>
      </c>
    </row>
    <row r="21" customFormat="false" ht="15" hidden="false" customHeight="false" outlineLevel="0" collapsed="false">
      <c r="A21" s="3" t="s">
        <v>106</v>
      </c>
      <c r="B21" s="20" t="n">
        <f aca="false">2_Alternador!B16</f>
        <v>49.2971679847361</v>
      </c>
      <c r="C21" s="3" t="s">
        <v>43</v>
      </c>
    </row>
    <row r="22" customFormat="false" ht="15" hidden="false" customHeight="false" outlineLevel="0" collapsed="false">
      <c r="A22" s="3" t="s">
        <v>107</v>
      </c>
      <c r="B22" s="20" t="n">
        <f aca="false">IF(2000*2_Alternador!B9&lt;=2_Alternador!B8,0,2_Alternador!B7*(1-EXP(-(2000*2_Alternador!B9-2_Alternador!B8)/2_Alternador!B14)))</f>
        <v>85.8879171364386</v>
      </c>
      <c r="C22" s="3" t="s">
        <v>43</v>
      </c>
    </row>
    <row r="23" customFormat="false" ht="15" hidden="false" customHeight="false" outlineLevel="0" collapsed="false">
      <c r="A23" s="3" t="s">
        <v>108</v>
      </c>
      <c r="B23" s="13" t="str">
        <f aca="false">IF(B21&gt;=B20,"POSITIVO: la batería se carga","NEGATIVO: la batería aporta "&amp;TEXT(B20-B21,"0.0")&amp;" A")</f>
        <v>NEGATIVO: la batería aporta 7.5 A</v>
      </c>
      <c r="C23" s="3"/>
    </row>
    <row r="24" customFormat="false" ht="15" hidden="false" customHeight="false" outlineLevel="0" collapsed="false">
      <c r="A24" s="3" t="s">
        <v>109</v>
      </c>
      <c r="B24" s="13" t="str">
        <f aca="false">IF(B22&gt;=B20,"POSITIVO","NEGATIVO")</f>
        <v>POSITIVO</v>
      </c>
      <c r="C24" s="3"/>
    </row>
    <row r="26" customFormat="false" ht="15" hidden="false" customHeight="false" outlineLevel="0" collapsed="false">
      <c r="A26" s="25" t="s">
        <v>110</v>
      </c>
    </row>
  </sheetData>
  <mergeCells count="2">
    <mergeCell ref="A1:J1"/>
    <mergeCell ref="A2:J2"/>
  </mergeCells>
  <dataValidations count="1">
    <dataValidation allowBlank="false" error="Escriba 1 (conectado) o 0 (apagado)" errorStyle="stop" operator="between" showDropDown="false" showErrorMessage="true" showInputMessage="false" sqref="C5:C18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112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26</v>
      </c>
    </row>
    <row r="5" customFormat="false" ht="15" hidden="false" customHeight="false" outlineLevel="0" collapsed="false">
      <c r="A5" s="3" t="s">
        <v>113</v>
      </c>
      <c r="B5" s="10" t="n">
        <v>60</v>
      </c>
      <c r="C5" s="3" t="s">
        <v>114</v>
      </c>
    </row>
    <row r="6" customFormat="false" ht="15" hidden="false" customHeight="false" outlineLevel="0" collapsed="false">
      <c r="A6" s="3" t="s">
        <v>115</v>
      </c>
      <c r="B6" s="10" t="n">
        <v>1.25</v>
      </c>
      <c r="C6" s="3"/>
    </row>
    <row r="7" customFormat="false" ht="15" hidden="false" customHeight="false" outlineLevel="0" collapsed="false">
      <c r="A7" s="3" t="s">
        <v>116</v>
      </c>
      <c r="B7" s="10" t="n">
        <v>12.45</v>
      </c>
      <c r="C7" s="3" t="s">
        <v>28</v>
      </c>
    </row>
    <row r="8" customFormat="false" ht="15" hidden="false" customHeight="false" outlineLevel="0" collapsed="false">
      <c r="A8" s="3" t="s">
        <v>117</v>
      </c>
      <c r="B8" s="10" t="n">
        <v>0.008</v>
      </c>
      <c r="C8" s="3" t="s">
        <v>30</v>
      </c>
    </row>
    <row r="9" customFormat="false" ht="15" hidden="false" customHeight="false" outlineLevel="0" collapsed="false">
      <c r="A9" s="3" t="s">
        <v>118</v>
      </c>
      <c r="B9" s="10" t="n">
        <v>200</v>
      </c>
      <c r="C9" s="3" t="s">
        <v>43</v>
      </c>
    </row>
    <row r="11" customFormat="false" ht="15" hidden="false" customHeight="false" outlineLevel="0" collapsed="false">
      <c r="A11" s="9" t="s">
        <v>41</v>
      </c>
    </row>
    <row r="12" customFormat="false" ht="15" hidden="false" customHeight="false" outlineLevel="0" collapsed="false">
      <c r="A12" s="3" t="s">
        <v>119</v>
      </c>
      <c r="B12" s="11" t="n">
        <f aca="false">MAX(0,MIN(100,(B7-11.9)/(12.7-11.9)*100))</f>
        <v>68.75</v>
      </c>
      <c r="C12" s="3" t="s">
        <v>120</v>
      </c>
    </row>
    <row r="13" customFormat="false" ht="15" hidden="false" customHeight="false" outlineLevel="0" collapsed="false">
      <c r="A13" s="3" t="s">
        <v>121</v>
      </c>
      <c r="B13" s="13" t="n">
        <f aca="false">B7-B9*B8</f>
        <v>10.85</v>
      </c>
      <c r="C13" s="3" t="s">
        <v>28</v>
      </c>
    </row>
    <row r="14" customFormat="false" ht="15" hidden="false" customHeight="false" outlineLevel="0" collapsed="false">
      <c r="A14" s="3" t="s">
        <v>122</v>
      </c>
      <c r="B14" s="13" t="str">
        <f aca="false">IF(B13&gt;=9.6,"Correcto (≥ 9,6 V)","Batería débil (&lt; 9,6 V)")</f>
        <v>Correcto (≥ 9,6 V)</v>
      </c>
      <c r="C14" s="3"/>
    </row>
    <row r="15" customFormat="false" ht="15" hidden="false" customHeight="false" outlineLevel="0" collapsed="false">
      <c r="A15" s="3" t="s">
        <v>123</v>
      </c>
      <c r="B15" s="11" t="n">
        <f aca="false">B9^2*B8</f>
        <v>320</v>
      </c>
      <c r="C15" s="3" t="s">
        <v>49</v>
      </c>
    </row>
    <row r="17" customFormat="false" ht="42" hidden="false" customHeight="true" outlineLevel="0" collapsed="false">
      <c r="A17" s="14" t="s">
        <v>124</v>
      </c>
      <c r="B17" s="14" t="s">
        <v>125</v>
      </c>
      <c r="C17" s="14" t="s">
        <v>126</v>
      </c>
      <c r="D17" s="14" t="s">
        <v>127</v>
      </c>
      <c r="E17" s="14" t="s">
        <v>128</v>
      </c>
    </row>
    <row r="18" customFormat="false" ht="15" hidden="false" customHeight="false" outlineLevel="0" collapsed="false">
      <c r="A18" s="10" t="n">
        <v>1</v>
      </c>
      <c r="B18" s="26" t="n">
        <f aca="false">20*($B$5/(20*A18))^$B$6</f>
        <v>78.9644407771496</v>
      </c>
      <c r="C18" s="27" t="n">
        <f aca="false">B18*60</f>
        <v>4737.86644662897</v>
      </c>
      <c r="D18" s="24" t="n">
        <f aca="false">A18*B18</f>
        <v>78.9644407771496</v>
      </c>
      <c r="E18" s="28" t="n">
        <f aca="false">D18/$B$5</f>
        <v>1.31607401295249</v>
      </c>
    </row>
    <row r="19" customFormat="false" ht="15" hidden="false" customHeight="false" outlineLevel="0" collapsed="false">
      <c r="A19" s="10" t="n">
        <v>2</v>
      </c>
      <c r="B19" s="26" t="n">
        <f aca="false">20*($B$5/(20*A19))^$B$6</f>
        <v>33.2004575910096</v>
      </c>
      <c r="C19" s="27" t="n">
        <f aca="false">B19*60</f>
        <v>1992.02745546058</v>
      </c>
      <c r="D19" s="24" t="n">
        <f aca="false">A19*B19</f>
        <v>66.4009151820193</v>
      </c>
      <c r="E19" s="28" t="n">
        <f aca="false">D19/$B$5</f>
        <v>1.10668191970032</v>
      </c>
    </row>
    <row r="20" customFormat="false" ht="15" hidden="false" customHeight="false" outlineLevel="0" collapsed="false">
      <c r="A20" s="10" t="n">
        <v>3</v>
      </c>
      <c r="B20" s="26" t="n">
        <f aca="false">20*($B$5/(20*A20))^$B$6</f>
        <v>20</v>
      </c>
      <c r="C20" s="27" t="n">
        <f aca="false">B20*60</f>
        <v>1200</v>
      </c>
      <c r="D20" s="24" t="n">
        <f aca="false">A20*B20</f>
        <v>60</v>
      </c>
      <c r="E20" s="28" t="n">
        <f aca="false">D20/$B$5</f>
        <v>1</v>
      </c>
    </row>
    <row r="21" customFormat="false" ht="15" hidden="false" customHeight="false" outlineLevel="0" collapsed="false">
      <c r="A21" s="10" t="n">
        <v>5</v>
      </c>
      <c r="B21" s="26" t="n">
        <f aca="false">20*($B$5/(20*A21))^$B$6</f>
        <v>10.5613408415207</v>
      </c>
      <c r="C21" s="27" t="n">
        <f aca="false">B21*60</f>
        <v>633.680450491243</v>
      </c>
      <c r="D21" s="24" t="n">
        <f aca="false">A21*B21</f>
        <v>52.8067042076036</v>
      </c>
      <c r="E21" s="28" t="n">
        <f aca="false">D21/$B$5</f>
        <v>0.880111736793393</v>
      </c>
    </row>
    <row r="22" customFormat="false" ht="15" hidden="false" customHeight="false" outlineLevel="0" collapsed="false">
      <c r="A22" s="10" t="n">
        <v>7.5</v>
      </c>
      <c r="B22" s="26" t="n">
        <f aca="false">20*($B$5/(20*A22))^$B$6</f>
        <v>6.36216583013641</v>
      </c>
      <c r="C22" s="27" t="n">
        <f aca="false">B22*60</f>
        <v>381.729949808184</v>
      </c>
      <c r="D22" s="24" t="n">
        <f aca="false">A22*B22</f>
        <v>47.716243726023</v>
      </c>
      <c r="E22" s="28" t="n">
        <f aca="false">D22/$B$5</f>
        <v>0.795270728767051</v>
      </c>
    </row>
    <row r="23" customFormat="false" ht="15" hidden="false" customHeight="false" outlineLevel="0" collapsed="false">
      <c r="A23" s="10" t="n">
        <v>10</v>
      </c>
      <c r="B23" s="26" t="n">
        <f aca="false">20*($B$5/(20*A23))^$B$6</f>
        <v>4.44049682695371</v>
      </c>
      <c r="C23" s="27" t="n">
        <f aca="false">B23*60</f>
        <v>266.429809617223</v>
      </c>
      <c r="D23" s="24" t="n">
        <f aca="false">A23*B23</f>
        <v>44.4049682695371</v>
      </c>
      <c r="E23" s="28" t="n">
        <f aca="false">D23/$B$5</f>
        <v>0.740082804492285</v>
      </c>
    </row>
    <row r="24" customFormat="false" ht="15" hidden="false" customHeight="false" outlineLevel="0" collapsed="false">
      <c r="A24" s="10" t="n">
        <v>15</v>
      </c>
      <c r="B24" s="26" t="n">
        <f aca="false">20*($B$5/(20*A24))^$B$6</f>
        <v>2.67496121990569</v>
      </c>
      <c r="C24" s="27" t="n">
        <f aca="false">B24*60</f>
        <v>160.497673194341</v>
      </c>
      <c r="D24" s="24" t="n">
        <f aca="false">A24*B24</f>
        <v>40.1244182985853</v>
      </c>
      <c r="E24" s="28" t="n">
        <f aca="false">D24/$B$5</f>
        <v>0.668740304976422</v>
      </c>
    </row>
    <row r="25" customFormat="false" ht="15" hidden="false" customHeight="false" outlineLevel="0" collapsed="false">
      <c r="A25" s="10" t="n">
        <v>20</v>
      </c>
      <c r="B25" s="26" t="n">
        <f aca="false">20*($B$5/(20*A25))^$B$6</f>
        <v>1.86699893186543</v>
      </c>
      <c r="C25" s="27" t="n">
        <f aca="false">B25*60</f>
        <v>112.019935911926</v>
      </c>
      <c r="D25" s="24" t="n">
        <f aca="false">A25*B25</f>
        <v>37.3399786373087</v>
      </c>
      <c r="E25" s="28" t="n">
        <f aca="false">D25/$B$5</f>
        <v>0.622332977288478</v>
      </c>
    </row>
    <row r="26" customFormat="false" ht="15" hidden="false" customHeight="false" outlineLevel="0" collapsed="false">
      <c r="A26" s="10" t="n">
        <v>30</v>
      </c>
      <c r="B26" s="26" t="n">
        <f aca="false">20*($B$5/(20*A26))^$B$6</f>
        <v>1.1246826503807</v>
      </c>
      <c r="C26" s="27" t="n">
        <f aca="false">B26*60</f>
        <v>67.4809590228419</v>
      </c>
      <c r="D26" s="24" t="n">
        <f aca="false">A26*B26</f>
        <v>33.7404795114209</v>
      </c>
      <c r="E26" s="28" t="n">
        <f aca="false">D26/$B$5</f>
        <v>0.562341325190349</v>
      </c>
    </row>
    <row r="27" customFormat="false" ht="15" hidden="false" customHeight="false" outlineLevel="0" collapsed="false">
      <c r="A27" s="10" t="n">
        <v>40</v>
      </c>
      <c r="B27" s="26" t="n">
        <f aca="false">20*($B$5/(20*A27))^$B$6</f>
        <v>0.784976354544079</v>
      </c>
      <c r="C27" s="27" t="n">
        <f aca="false">B27*60</f>
        <v>47.0985812726447</v>
      </c>
      <c r="D27" s="24" t="n">
        <f aca="false">A27*B27</f>
        <v>31.3990541817632</v>
      </c>
      <c r="E27" s="28" t="n">
        <f aca="false">D27/$B$5</f>
        <v>0.523317569696053</v>
      </c>
    </row>
    <row r="28" customFormat="false" ht="15" hidden="false" customHeight="false" outlineLevel="0" collapsed="false">
      <c r="A28" s="10" t="n">
        <v>60</v>
      </c>
      <c r="B28" s="26" t="n">
        <f aca="false">20*($B$5/(20*A28))^$B$6</f>
        <v>0.472870804501588</v>
      </c>
      <c r="C28" s="27" t="n">
        <f aca="false">B28*60</f>
        <v>28.3722482700953</v>
      </c>
      <c r="D28" s="24" t="n">
        <f aca="false">A28*B28</f>
        <v>28.3722482700953</v>
      </c>
      <c r="E28" s="28" t="n">
        <f aca="false">D28/$B$5</f>
        <v>0.472870804501588</v>
      </c>
    </row>
    <row r="29" customFormat="false" ht="15" hidden="false" customHeight="false" outlineLevel="0" collapsed="false">
      <c r="A29" s="10" t="n">
        <v>80</v>
      </c>
      <c r="B29" s="26" t="n">
        <f aca="false">20*($B$5/(20*A29))^$B$6</f>
        <v>0.330041901297523</v>
      </c>
      <c r="C29" s="27" t="n">
        <f aca="false">B29*60</f>
        <v>19.8025140778514</v>
      </c>
      <c r="D29" s="24" t="n">
        <f aca="false">A29*B29</f>
        <v>26.4033521038018</v>
      </c>
      <c r="E29" s="28" t="n">
        <f aca="false">D29/$B$5</f>
        <v>0.440055868396697</v>
      </c>
    </row>
    <row r="30" customFormat="false" ht="15" hidden="false" customHeight="false" outlineLevel="0" collapsed="false">
      <c r="A30" s="10" t="n">
        <v>100</v>
      </c>
      <c r="B30" s="26" t="n">
        <f aca="false">20*($B$5/(20*A30))^$B$6</f>
        <v>0.249707487017269</v>
      </c>
      <c r="C30" s="27" t="n">
        <f aca="false">B30*60</f>
        <v>14.9824492210361</v>
      </c>
      <c r="D30" s="24" t="n">
        <f aca="false">A30*B30</f>
        <v>24.9707487017269</v>
      </c>
      <c r="E30" s="28" t="n">
        <f aca="false">D30/$B$5</f>
        <v>0.416179145028782</v>
      </c>
    </row>
    <row r="31" customFormat="false" ht="15" hidden="false" customHeight="false" outlineLevel="0" collapsed="false">
      <c r="A31" s="10" t="n">
        <v>150</v>
      </c>
      <c r="B31" s="26" t="n">
        <f aca="false">20*($B$5/(20*A31))^$B$6</f>
        <v>0.150424123723456</v>
      </c>
      <c r="C31" s="27" t="n">
        <f aca="false">B31*60</f>
        <v>9.02544742340735</v>
      </c>
      <c r="D31" s="24" t="n">
        <f aca="false">A31*B31</f>
        <v>22.5636185585184</v>
      </c>
      <c r="E31" s="28" t="n">
        <f aca="false">D31/$B$5</f>
        <v>0.376060309308639</v>
      </c>
    </row>
    <row r="32" customFormat="false" ht="15" hidden="false" customHeight="false" outlineLevel="0" collapsed="false">
      <c r="A32" s="10" t="n">
        <v>200</v>
      </c>
      <c r="B32" s="26" t="n">
        <f aca="false">20*($B$5/(20*A32))^$B$6</f>
        <v>0.104989065347418</v>
      </c>
      <c r="C32" s="27" t="n">
        <f aca="false">B32*60</f>
        <v>6.29934392084505</v>
      </c>
      <c r="D32" s="24" t="n">
        <f aca="false">A32*B32</f>
        <v>20.9978130694835</v>
      </c>
      <c r="E32" s="28" t="n">
        <f aca="false">D32/$B$5</f>
        <v>0.349963551158058</v>
      </c>
    </row>
    <row r="33" customFormat="false" ht="15" hidden="false" customHeight="false" outlineLevel="0" collapsed="false">
      <c r="A33" s="10" t="n">
        <v>300</v>
      </c>
      <c r="B33" s="26" t="n">
        <f aca="false">20*($B$5/(20*A33))^$B$6</f>
        <v>0.0632455532033676</v>
      </c>
      <c r="C33" s="27" t="n">
        <f aca="false">B33*60</f>
        <v>3.79473319220206</v>
      </c>
      <c r="D33" s="24" t="n">
        <f aca="false">A33*B33</f>
        <v>18.9736659610103</v>
      </c>
      <c r="E33" s="28" t="n">
        <f aca="false">D33/$B$5</f>
        <v>0.316227766016838</v>
      </c>
    </row>
    <row r="35" customFormat="false" ht="15" hidden="false" customHeight="false" outlineLevel="0" collapsed="false">
      <c r="A35" s="25" t="s">
        <v>129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25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131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26</v>
      </c>
    </row>
    <row r="5" customFormat="false" ht="15" hidden="false" customHeight="false" outlineLevel="0" collapsed="false">
      <c r="A5" s="3" t="s">
        <v>132</v>
      </c>
      <c r="B5" s="10" t="n">
        <v>4</v>
      </c>
      <c r="C5" s="3"/>
    </row>
    <row r="6" customFormat="false" ht="15" hidden="false" customHeight="false" outlineLevel="0" collapsed="false">
      <c r="A6" s="3" t="s">
        <v>133</v>
      </c>
      <c r="B6" s="10" t="n">
        <v>1</v>
      </c>
      <c r="C6" s="3"/>
    </row>
    <row r="7" customFormat="false" ht="15" hidden="false" customHeight="false" outlineLevel="0" collapsed="false">
      <c r="A7" s="3" t="s">
        <v>134</v>
      </c>
      <c r="B7" s="10" t="n">
        <v>0.6</v>
      </c>
      <c r="C7" s="3" t="s">
        <v>135</v>
      </c>
    </row>
    <row r="8" customFormat="false" ht="15" hidden="false" customHeight="false" outlineLevel="0" collapsed="false">
      <c r="A8" s="3" t="s">
        <v>136</v>
      </c>
      <c r="B8" s="10" t="n">
        <v>3.5</v>
      </c>
      <c r="C8" s="3" t="s">
        <v>137</v>
      </c>
    </row>
    <row r="9" customFormat="false" ht="15" hidden="false" customHeight="false" outlineLevel="0" collapsed="false">
      <c r="A9" s="3" t="s">
        <v>138</v>
      </c>
      <c r="B9" s="10" t="n">
        <v>13.5</v>
      </c>
      <c r="C9" s="3" t="s">
        <v>28</v>
      </c>
    </row>
    <row r="10" customFormat="false" ht="15" hidden="false" customHeight="false" outlineLevel="0" collapsed="false">
      <c r="A10" s="3" t="s">
        <v>139</v>
      </c>
      <c r="B10" s="10" t="n">
        <v>3</v>
      </c>
      <c r="C10" s="3" t="s">
        <v>30</v>
      </c>
    </row>
    <row r="11" customFormat="false" ht="15" hidden="false" customHeight="false" outlineLevel="0" collapsed="false">
      <c r="A11" s="3" t="s">
        <v>140</v>
      </c>
      <c r="B11" s="10" t="n">
        <v>8</v>
      </c>
      <c r="C11" s="3" t="s">
        <v>141</v>
      </c>
    </row>
    <row r="13" customFormat="false" ht="15" hidden="false" customHeight="false" outlineLevel="0" collapsed="false">
      <c r="A13" s="9" t="s">
        <v>41</v>
      </c>
    </row>
    <row r="14" customFormat="false" ht="15" hidden="false" customHeight="false" outlineLevel="0" collapsed="false">
      <c r="A14" s="3" t="s">
        <v>142</v>
      </c>
      <c r="B14" s="20" t="n">
        <f aca="false">360/B5</f>
        <v>90</v>
      </c>
      <c r="C14" s="3" t="s">
        <v>143</v>
      </c>
    </row>
    <row r="15" customFormat="false" ht="15" hidden="false" customHeight="false" outlineLevel="0" collapsed="false">
      <c r="A15" s="3" t="s">
        <v>134</v>
      </c>
      <c r="B15" s="20" t="n">
        <f aca="false">B14*B7</f>
        <v>54</v>
      </c>
      <c r="C15" s="3" t="s">
        <v>144</v>
      </c>
    </row>
    <row r="16" customFormat="false" ht="15" hidden="false" customHeight="false" outlineLevel="0" collapsed="false">
      <c r="A16" s="3" t="s">
        <v>145</v>
      </c>
      <c r="B16" s="13" t="n">
        <f aca="false">B11/B10</f>
        <v>2.66666666666667</v>
      </c>
      <c r="C16" s="3" t="s">
        <v>137</v>
      </c>
    </row>
    <row r="17" customFormat="false" ht="15" hidden="false" customHeight="false" outlineLevel="0" collapsed="false">
      <c r="A17" s="3" t="s">
        <v>146</v>
      </c>
      <c r="B17" s="13" t="n">
        <f aca="false">B9/B10</f>
        <v>4.5</v>
      </c>
      <c r="C17" s="3" t="s">
        <v>43</v>
      </c>
    </row>
    <row r="18" customFormat="false" ht="15" hidden="false" customHeight="false" outlineLevel="0" collapsed="false">
      <c r="A18" s="3" t="s">
        <v>147</v>
      </c>
      <c r="B18" s="20" t="n">
        <f aca="false">0.5*B11/1000*B17^2*1000</f>
        <v>81</v>
      </c>
      <c r="C18" s="3" t="s">
        <v>148</v>
      </c>
    </row>
    <row r="20" customFormat="false" ht="42" hidden="false" customHeight="true" outlineLevel="0" collapsed="false">
      <c r="A20" s="14" t="s">
        <v>149</v>
      </c>
      <c r="B20" s="14" t="s">
        <v>150</v>
      </c>
      <c r="C20" s="14" t="s">
        <v>151</v>
      </c>
      <c r="D20" s="14" t="s">
        <v>152</v>
      </c>
      <c r="E20" s="14" t="s">
        <v>153</v>
      </c>
      <c r="F20" s="14" t="s">
        <v>154</v>
      </c>
      <c r="G20" s="14" t="s">
        <v>155</v>
      </c>
    </row>
    <row r="21" customFormat="false" ht="15" hidden="false" customHeight="false" outlineLevel="0" collapsed="false">
      <c r="A21" s="15" t="n">
        <v>500</v>
      </c>
      <c r="B21" s="21" t="n">
        <f aca="false">A21*$B$5/120</f>
        <v>16.6666666666667</v>
      </c>
      <c r="C21" s="16" t="n">
        <f aca="false">1000/B21</f>
        <v>60</v>
      </c>
      <c r="D21" s="16" t="n">
        <f aca="false">IF($B$6=1,C21*$B$7,MIN($B$8,0.9*C21))</f>
        <v>36</v>
      </c>
      <c r="E21" s="16" t="n">
        <f aca="false">$B$17*(1-EXP(-D21/$B$16))</f>
        <v>4.49999383068411</v>
      </c>
      <c r="F21" s="21" t="n">
        <f aca="false">0.5*$B$11*E21^2</f>
        <v>80.9997779047803</v>
      </c>
      <c r="G21" s="29" t="n">
        <f aca="false">E21/$B$17</f>
        <v>0.999998629040914</v>
      </c>
    </row>
    <row r="22" customFormat="false" ht="15" hidden="false" customHeight="false" outlineLevel="0" collapsed="false">
      <c r="A22" s="17" t="n">
        <v>750</v>
      </c>
      <c r="B22" s="22" t="n">
        <f aca="false">A22*$B$5/120</f>
        <v>25</v>
      </c>
      <c r="C22" s="18" t="n">
        <f aca="false">1000/B22</f>
        <v>40</v>
      </c>
      <c r="D22" s="18" t="n">
        <f aca="false">IF($B$6=1,C22*$B$7,MIN($B$8,0.9*C22))</f>
        <v>24</v>
      </c>
      <c r="E22" s="18" t="n">
        <f aca="false">$B$17*(1-EXP(-D22/$B$16))</f>
        <v>4.49944465588161</v>
      </c>
      <c r="F22" s="22" t="n">
        <f aca="false">0.5*$B$11*E22^2</f>
        <v>80.9800088453663</v>
      </c>
      <c r="G22" s="30" t="n">
        <f aca="false">E22/$B$17</f>
        <v>0.999876590195913</v>
      </c>
    </row>
    <row r="23" customFormat="false" ht="15" hidden="false" customHeight="false" outlineLevel="0" collapsed="false">
      <c r="A23" s="15" t="n">
        <v>1000</v>
      </c>
      <c r="B23" s="21" t="n">
        <f aca="false">A23*$B$5/120</f>
        <v>33.3333333333333</v>
      </c>
      <c r="C23" s="16" t="n">
        <f aca="false">1000/B23</f>
        <v>30</v>
      </c>
      <c r="D23" s="16" t="n">
        <f aca="false">IF($B$6=1,C23*$B$7,MIN($B$8,0.9*C23))</f>
        <v>18</v>
      </c>
      <c r="E23" s="16" t="n">
        <f aca="false">$B$17*(1-EXP(-D23/$B$16))</f>
        <v>4.49473104170644</v>
      </c>
      <c r="F23" s="21" t="n">
        <f aca="false">0.5*$B$11*E23^2</f>
        <v>80.8104285491178</v>
      </c>
      <c r="G23" s="29" t="n">
        <f aca="false">E23/$B$17</f>
        <v>0.998829120379209</v>
      </c>
    </row>
    <row r="24" customFormat="false" ht="15" hidden="false" customHeight="false" outlineLevel="0" collapsed="false">
      <c r="A24" s="17" t="n">
        <v>1250</v>
      </c>
      <c r="B24" s="22" t="n">
        <f aca="false">A24*$B$5/120</f>
        <v>41.6666666666667</v>
      </c>
      <c r="C24" s="18" t="n">
        <f aca="false">1000/B24</f>
        <v>24</v>
      </c>
      <c r="D24" s="18" t="n">
        <f aca="false">IF($B$6=1,C24*$B$7,MIN($B$8,0.9*C24))</f>
        <v>14.4</v>
      </c>
      <c r="E24" s="18" t="n">
        <f aca="false">$B$17*(1-EXP(-D24/$B$16))</f>
        <v>4.47967538575824</v>
      </c>
      <c r="F24" s="22" t="n">
        <f aca="false">0.5*$B$11*E24^2</f>
        <v>80.2699662470731</v>
      </c>
      <c r="G24" s="30" t="n">
        <f aca="false">E24/$B$17</f>
        <v>0.995483419057388</v>
      </c>
    </row>
    <row r="25" customFormat="false" ht="15" hidden="false" customHeight="false" outlineLevel="0" collapsed="false">
      <c r="A25" s="15" t="n">
        <v>1500</v>
      </c>
      <c r="B25" s="21" t="n">
        <f aca="false">A25*$B$5/120</f>
        <v>50</v>
      </c>
      <c r="C25" s="16" t="n">
        <f aca="false">1000/B25</f>
        <v>20</v>
      </c>
      <c r="D25" s="16" t="n">
        <f aca="false">IF($B$6=1,C25*$B$7,MIN($B$8,0.9*C25))</f>
        <v>12</v>
      </c>
      <c r="E25" s="16" t="n">
        <f aca="false">$B$17*(1-EXP(-D25/$B$16))</f>
        <v>4.45000951557791</v>
      </c>
      <c r="F25" s="21" t="n">
        <f aca="false">0.5*$B$11*E25^2</f>
        <v>79.2103387549358</v>
      </c>
      <c r="G25" s="29" t="n">
        <f aca="false">E25/$B$17</f>
        <v>0.988891003461758</v>
      </c>
    </row>
    <row r="26" customFormat="false" ht="15" hidden="false" customHeight="false" outlineLevel="0" collapsed="false">
      <c r="A26" s="17" t="n">
        <v>1750</v>
      </c>
      <c r="B26" s="22" t="n">
        <f aca="false">A26*$B$5/120</f>
        <v>58.3333333333333</v>
      </c>
      <c r="C26" s="18" t="n">
        <f aca="false">1000/B26</f>
        <v>17.1428571428571</v>
      </c>
      <c r="D26" s="18" t="n">
        <f aca="false">IF($B$6=1,C26*$B$7,MIN($B$8,0.9*C26))</f>
        <v>10.2857142857143</v>
      </c>
      <c r="E26" s="18" t="n">
        <f aca="false">$B$17*(1-EXP(-D26/$B$16))</f>
        <v>4.40492274053468</v>
      </c>
      <c r="F26" s="22" t="n">
        <f aca="false">0.5*$B$11*E26^2</f>
        <v>77.6133774003181</v>
      </c>
      <c r="G26" s="30" t="n">
        <f aca="false">E26/$B$17</f>
        <v>0.978871720118817</v>
      </c>
    </row>
    <row r="27" customFormat="false" ht="15" hidden="false" customHeight="false" outlineLevel="0" collapsed="false">
      <c r="A27" s="15" t="n">
        <v>2000</v>
      </c>
      <c r="B27" s="21" t="n">
        <f aca="false">A27*$B$5/120</f>
        <v>66.6666666666667</v>
      </c>
      <c r="C27" s="16" t="n">
        <f aca="false">1000/B27</f>
        <v>15</v>
      </c>
      <c r="D27" s="16" t="n">
        <f aca="false">IF($B$6=1,C27*$B$7,MIN($B$8,0.9*C27))</f>
        <v>9</v>
      </c>
      <c r="E27" s="16" t="n">
        <f aca="false">$B$17*(1-EXP(-D27/$B$16))</f>
        <v>4.3460184675975</v>
      </c>
      <c r="F27" s="21" t="n">
        <f aca="false">0.5*$B$11*E27^2</f>
        <v>75.5515060827942</v>
      </c>
      <c r="G27" s="29" t="n">
        <f aca="false">E27/$B$17</f>
        <v>0.965781881688334</v>
      </c>
    </row>
    <row r="28" customFormat="false" ht="15" hidden="false" customHeight="false" outlineLevel="0" collapsed="false">
      <c r="A28" s="17" t="n">
        <v>2250</v>
      </c>
      <c r="B28" s="22" t="n">
        <f aca="false">A28*$B$5/120</f>
        <v>75</v>
      </c>
      <c r="C28" s="18" t="n">
        <f aca="false">1000/B28</f>
        <v>13.3333333333333</v>
      </c>
      <c r="D28" s="18" t="n">
        <f aca="false">IF($B$6=1,C28*$B$7,MIN($B$8,0.9*C28))</f>
        <v>8</v>
      </c>
      <c r="E28" s="18" t="n">
        <f aca="false">$B$17*(1-EXP(-D28/$B$16))</f>
        <v>4.27595819234461</v>
      </c>
      <c r="F28" s="22" t="n">
        <f aca="false">0.5*$B$11*E28^2</f>
        <v>73.135273850716</v>
      </c>
      <c r="G28" s="30" t="n">
        <f aca="false">E28/$B$17</f>
        <v>0.950212931632136</v>
      </c>
    </row>
    <row r="29" customFormat="false" ht="15" hidden="false" customHeight="false" outlineLevel="0" collapsed="false">
      <c r="A29" s="15" t="n">
        <v>2500</v>
      </c>
      <c r="B29" s="21" t="n">
        <f aca="false">A29*$B$5/120</f>
        <v>83.3333333333333</v>
      </c>
      <c r="C29" s="16" t="n">
        <f aca="false">1000/B29</f>
        <v>12</v>
      </c>
      <c r="D29" s="16" t="n">
        <f aca="false">IF($B$6=1,C29*$B$7,MIN($B$8,0.9*C29))</f>
        <v>7.2</v>
      </c>
      <c r="E29" s="16" t="n">
        <f aca="false">$B$17*(1-EXP(-D29/$B$16))</f>
        <v>4.19757519267113</v>
      </c>
      <c r="F29" s="21" t="n">
        <f aca="false">0.5*$B$11*E29^2</f>
        <v>70.4785499925122</v>
      </c>
      <c r="G29" s="29" t="n">
        <f aca="false">E29/$B$17</f>
        <v>0.93279448726025</v>
      </c>
    </row>
    <row r="30" customFormat="false" ht="15" hidden="false" customHeight="false" outlineLevel="0" collapsed="false">
      <c r="A30" s="17" t="n">
        <v>2750</v>
      </c>
      <c r="B30" s="22" t="n">
        <f aca="false">A30*$B$5/120</f>
        <v>91.6666666666667</v>
      </c>
      <c r="C30" s="18" t="n">
        <f aca="false">1000/B30</f>
        <v>10.9090909090909</v>
      </c>
      <c r="D30" s="18" t="n">
        <f aca="false">IF($B$6=1,C30*$B$7,MIN($B$8,0.9*C30))</f>
        <v>6.54545454545455</v>
      </c>
      <c r="E30" s="18" t="n">
        <f aca="false">$B$17*(1-EXP(-D30/$B$16))</f>
        <v>4.11343995132956</v>
      </c>
      <c r="F30" s="22" t="n">
        <f aca="false">0.5*$B$11*E30^2</f>
        <v>67.6815529327764</v>
      </c>
      <c r="G30" s="30" t="n">
        <f aca="false">E30/$B$17</f>
        <v>0.914097766962124</v>
      </c>
    </row>
    <row r="31" customFormat="false" ht="15" hidden="false" customHeight="false" outlineLevel="0" collapsed="false">
      <c r="A31" s="15" t="n">
        <v>3000</v>
      </c>
      <c r="B31" s="21" t="n">
        <f aca="false">A31*$B$5/120</f>
        <v>100</v>
      </c>
      <c r="C31" s="16" t="n">
        <f aca="false">1000/B31</f>
        <v>10</v>
      </c>
      <c r="D31" s="16" t="n">
        <f aca="false">IF($B$6=1,C31*$B$7,MIN($B$8,0.9*C31))</f>
        <v>6</v>
      </c>
      <c r="E31" s="16" t="n">
        <f aca="false">$B$17*(1-EXP(-D31/$B$16))</f>
        <v>4.02570348947161</v>
      </c>
      <c r="F31" s="21" t="n">
        <f aca="false">0.5*$B$11*E31^2</f>
        <v>64.8251543405756</v>
      </c>
      <c r="G31" s="29" t="n">
        <f aca="false">E31/$B$17</f>
        <v>0.894600775438136</v>
      </c>
    </row>
    <row r="32" customFormat="false" ht="15" hidden="false" customHeight="false" outlineLevel="0" collapsed="false">
      <c r="A32" s="17" t="n">
        <v>3250</v>
      </c>
      <c r="B32" s="22" t="n">
        <f aca="false">A32*$B$5/120</f>
        <v>108.333333333333</v>
      </c>
      <c r="C32" s="18" t="n">
        <f aca="false">1000/B32</f>
        <v>9.23076923076923</v>
      </c>
      <c r="D32" s="18" t="n">
        <f aca="false">IF($B$6=1,C32*$B$7,MIN($B$8,0.9*C32))</f>
        <v>5.53846153846154</v>
      </c>
      <c r="E32" s="18" t="n">
        <f aca="false">$B$17*(1-EXP(-D32/$B$16))</f>
        <v>3.93608157820138</v>
      </c>
      <c r="F32" s="22" t="n">
        <f aca="false">0.5*$B$11*E32^2</f>
        <v>61.9709527610252</v>
      </c>
      <c r="G32" s="30" t="n">
        <f aca="false">E32/$B$17</f>
        <v>0.874684795155863</v>
      </c>
    </row>
    <row r="33" customFormat="false" ht="15" hidden="false" customHeight="false" outlineLevel="0" collapsed="false">
      <c r="A33" s="15" t="n">
        <v>3500</v>
      </c>
      <c r="B33" s="21" t="n">
        <f aca="false">A33*$B$5/120</f>
        <v>116.666666666667</v>
      </c>
      <c r="C33" s="16" t="n">
        <f aca="false">1000/B33</f>
        <v>8.57142857142857</v>
      </c>
      <c r="D33" s="16" t="n">
        <f aca="false">IF($B$6=1,C33*$B$7,MIN($B$8,0.9*C33))</f>
        <v>5.14285714285714</v>
      </c>
      <c r="E33" s="16" t="n">
        <f aca="false">$B$17*(1-EXP(-D33/$B$16))</f>
        <v>3.84589934444769</v>
      </c>
      <c r="F33" s="21" t="n">
        <f aca="false">0.5*$B$11*E33^2</f>
        <v>59.1637670704927</v>
      </c>
      <c r="G33" s="29" t="n">
        <f aca="false">E33/$B$17</f>
        <v>0.854644298766153</v>
      </c>
    </row>
    <row r="34" customFormat="false" ht="15" hidden="false" customHeight="false" outlineLevel="0" collapsed="false">
      <c r="A34" s="17" t="n">
        <v>3750</v>
      </c>
      <c r="B34" s="22" t="n">
        <f aca="false">A34*$B$5/120</f>
        <v>125</v>
      </c>
      <c r="C34" s="18" t="n">
        <f aca="false">1000/B34</f>
        <v>8</v>
      </c>
      <c r="D34" s="18" t="n">
        <f aca="false">IF($B$6=1,C34*$B$7,MIN($B$8,0.9*C34))</f>
        <v>4.8</v>
      </c>
      <c r="E34" s="18" t="n">
        <f aca="false">$B$17*(1-EXP(-D34/$B$16))</f>
        <v>3.75615500300286</v>
      </c>
      <c r="F34" s="22" t="n">
        <f aca="false">0.5*$B$11*E34^2</f>
        <v>56.4348016263337</v>
      </c>
      <c r="G34" s="30" t="n">
        <f aca="false">E34/$B$17</f>
        <v>0.834701111778413</v>
      </c>
    </row>
    <row r="35" customFormat="false" ht="15" hidden="false" customHeight="false" outlineLevel="0" collapsed="false">
      <c r="A35" s="15" t="n">
        <v>4000</v>
      </c>
      <c r="B35" s="21" t="n">
        <f aca="false">A35*$B$5/120</f>
        <v>133.333333333333</v>
      </c>
      <c r="C35" s="16" t="n">
        <f aca="false">1000/B35</f>
        <v>7.5</v>
      </c>
      <c r="D35" s="16" t="n">
        <f aca="false">IF($B$6=1,C35*$B$7,MIN($B$8,0.9*C35))</f>
        <v>4.5</v>
      </c>
      <c r="E35" s="16" t="n">
        <f aca="false">$B$17*(1-EXP(-D35/$B$16))</f>
        <v>3.66758370041713</v>
      </c>
      <c r="F35" s="21" t="n">
        <f aca="false">0.5*$B$11*E35^2</f>
        <v>53.8046807982617</v>
      </c>
      <c r="G35" s="29" t="n">
        <f aca="false">E35/$B$17</f>
        <v>0.815018600092696</v>
      </c>
    </row>
    <row r="36" customFormat="false" ht="15" hidden="false" customHeight="false" outlineLevel="0" collapsed="false">
      <c r="A36" s="17" t="n">
        <v>4250</v>
      </c>
      <c r="B36" s="22" t="n">
        <f aca="false">A36*$B$5/120</f>
        <v>141.666666666667</v>
      </c>
      <c r="C36" s="18" t="n">
        <f aca="false">1000/B36</f>
        <v>7.05882352941177</v>
      </c>
      <c r="D36" s="18" t="n">
        <f aca="false">IF($B$6=1,C36*$B$7,MIN($B$8,0.9*C36))</f>
        <v>4.23529411764706</v>
      </c>
      <c r="E36" s="18" t="n">
        <f aca="false">$B$17*(1-EXP(-D36/$B$16))</f>
        <v>3.58071390819496</v>
      </c>
      <c r="F36" s="22" t="n">
        <f aca="false">0.5*$B$11*E36^2</f>
        <v>51.2860483693633</v>
      </c>
      <c r="G36" s="30" t="n">
        <f aca="false">E36/$B$17</f>
        <v>0.795714201821102</v>
      </c>
    </row>
    <row r="37" customFormat="false" ht="15" hidden="false" customHeight="false" outlineLevel="0" collapsed="false">
      <c r="A37" s="15" t="n">
        <v>4500</v>
      </c>
      <c r="B37" s="21" t="n">
        <f aca="false">A37*$B$5/120</f>
        <v>150</v>
      </c>
      <c r="C37" s="16" t="n">
        <f aca="false">1000/B37</f>
        <v>6.66666666666667</v>
      </c>
      <c r="D37" s="16" t="n">
        <f aca="false">IF($B$6=1,C37*$B$7,MIN($B$8,0.9*C37))</f>
        <v>4</v>
      </c>
      <c r="E37" s="16" t="n">
        <f aca="false">$B$17*(1-EXP(-D37/$B$16))</f>
        <v>3.49591427933207</v>
      </c>
      <c r="F37" s="21" t="n">
        <f aca="false">0.5*$B$11*E37^2</f>
        <v>48.8856665937514</v>
      </c>
      <c r="G37" s="29" t="n">
        <f aca="false">E37/$B$17</f>
        <v>0.77686983985157</v>
      </c>
    </row>
    <row r="38" customFormat="false" ht="15" hidden="false" customHeight="false" outlineLevel="0" collapsed="false">
      <c r="A38" s="17" t="n">
        <v>4750</v>
      </c>
      <c r="B38" s="22" t="n">
        <f aca="false">A38*$B$5/120</f>
        <v>158.333333333333</v>
      </c>
      <c r="C38" s="18" t="n">
        <f aca="false">1000/B38</f>
        <v>6.31578947368421</v>
      </c>
      <c r="D38" s="18" t="n">
        <f aca="false">IF($B$6=1,C38*$B$7,MIN($B$8,0.9*C38))</f>
        <v>3.78947368421053</v>
      </c>
      <c r="E38" s="18" t="n">
        <f aca="false">$B$17*(1-EXP(-D38/$B$16))</f>
        <v>3.41343128269627</v>
      </c>
      <c r="F38" s="22" t="n">
        <f aca="false">0.5*$B$11*E38^2</f>
        <v>46.606052486758</v>
      </c>
      <c r="G38" s="30" t="n">
        <f aca="false">E38/$B$17</f>
        <v>0.758540285043616</v>
      </c>
    </row>
    <row r="39" customFormat="false" ht="15" hidden="false" customHeight="false" outlineLevel="0" collapsed="false">
      <c r="A39" s="15" t="n">
        <v>5000</v>
      </c>
      <c r="B39" s="21" t="n">
        <f aca="false">A39*$B$5/120</f>
        <v>166.666666666667</v>
      </c>
      <c r="C39" s="16" t="n">
        <f aca="false">1000/B39</f>
        <v>6</v>
      </c>
      <c r="D39" s="16" t="n">
        <f aca="false">IF($B$6=1,C39*$B$7,MIN($B$8,0.9*C39))</f>
        <v>3.6</v>
      </c>
      <c r="E39" s="16" t="n">
        <f aca="false">$B$17*(1-EXP(-D39/$B$16))</f>
        <v>3.33341882709349</v>
      </c>
      <c r="F39" s="21" t="n">
        <f aca="false">0.5*$B$11*E39^2</f>
        <v>44.4467243072853</v>
      </c>
      <c r="G39" s="29" t="n">
        <f aca="false">E39/$B$17</f>
        <v>0.740759739354108</v>
      </c>
    </row>
    <row r="40" customFormat="false" ht="15" hidden="false" customHeight="false" outlineLevel="0" collapsed="false">
      <c r="A40" s="17" t="n">
        <v>5250</v>
      </c>
      <c r="B40" s="22" t="n">
        <f aca="false">A40*$B$5/120</f>
        <v>175</v>
      </c>
      <c r="C40" s="18" t="n">
        <f aca="false">1000/B40</f>
        <v>5.71428571428571</v>
      </c>
      <c r="D40" s="18" t="n">
        <f aca="false">IF($B$6=1,C40*$B$7,MIN($B$8,0.9*C40))</f>
        <v>3.42857142857143</v>
      </c>
      <c r="E40" s="18" t="n">
        <f aca="false">$B$17*(1-EXP(-D40/$B$16))</f>
        <v>3.25596129016696</v>
      </c>
      <c r="F40" s="22" t="n">
        <f aca="false">0.5*$B$11*E40^2</f>
        <v>42.4051356922628</v>
      </c>
      <c r="G40" s="30" t="n">
        <f aca="false">E40/$B$17</f>
        <v>0.723546953370436</v>
      </c>
    </row>
    <row r="41" customFormat="false" ht="15" hidden="false" customHeight="false" outlineLevel="0" collapsed="false">
      <c r="A41" s="15" t="n">
        <v>5500</v>
      </c>
      <c r="B41" s="21" t="n">
        <f aca="false">A41*$B$5/120</f>
        <v>183.333333333333</v>
      </c>
      <c r="C41" s="16" t="n">
        <f aca="false">1000/B41</f>
        <v>5.45454545454545</v>
      </c>
      <c r="D41" s="16" t="n">
        <f aca="false">IF($B$6=1,C41*$B$7,MIN($B$8,0.9*C41))</f>
        <v>3.27272727272727</v>
      </c>
      <c r="E41" s="16" t="n">
        <f aca="false">$B$17*(1-EXP(-D41/$B$16))</f>
        <v>3.1810912772231</v>
      </c>
      <c r="F41" s="21" t="n">
        <f aca="false">0.5*$B$11*E41^2</f>
        <v>40.4773668560996</v>
      </c>
      <c r="G41" s="29" t="n">
        <f aca="false">E41/$B$17</f>
        <v>0.706909172716244</v>
      </c>
    </row>
    <row r="42" customFormat="false" ht="15" hidden="false" customHeight="false" outlineLevel="0" collapsed="false">
      <c r="A42" s="17" t="n">
        <v>5750</v>
      </c>
      <c r="B42" s="22" t="n">
        <f aca="false">A42*$B$5/120</f>
        <v>191.666666666667</v>
      </c>
      <c r="C42" s="18" t="n">
        <f aca="false">1000/B42</f>
        <v>5.21739130434783</v>
      </c>
      <c r="D42" s="18" t="n">
        <f aca="false">IF($B$6=1,C42*$B$7,MIN($B$8,0.9*C42))</f>
        <v>3.1304347826087</v>
      </c>
      <c r="E42" s="18" t="n">
        <f aca="false">$B$17*(1-EXP(-D42/$B$16))</f>
        <v>3.10880324254943</v>
      </c>
      <c r="F42" s="22" t="n">
        <f aca="false">0.5*$B$11*E42^2</f>
        <v>38.6586304035433</v>
      </c>
      <c r="G42" s="30" t="n">
        <f aca="false">E42/$B$17</f>
        <v>0.690845165010984</v>
      </c>
    </row>
    <row r="43" customFormat="false" ht="15" hidden="false" customHeight="false" outlineLevel="0" collapsed="false">
      <c r="A43" s="15" t="n">
        <v>6000</v>
      </c>
      <c r="B43" s="21" t="n">
        <f aca="false">A43*$B$5/120</f>
        <v>200</v>
      </c>
      <c r="C43" s="16" t="n">
        <f aca="false">1000/B43</f>
        <v>5</v>
      </c>
      <c r="D43" s="16" t="n">
        <f aca="false">IF($B$6=1,C43*$B$7,MIN($B$8,0.9*C43))</f>
        <v>3</v>
      </c>
      <c r="E43" s="16" t="n">
        <f aca="false">$B$17*(1-EXP(-D43/$B$16))</f>
        <v>3.03906389688743</v>
      </c>
      <c r="F43" s="21" t="n">
        <f aca="false">0.5*$B$11*E43^2</f>
        <v>36.9436374774584</v>
      </c>
      <c r="G43" s="29" t="n">
        <f aca="false">E43/$B$17</f>
        <v>0.67534753264165</v>
      </c>
    </row>
    <row r="44" customFormat="false" ht="15" hidden="false" customHeight="false" outlineLevel="0" collapsed="false">
      <c r="A44" s="17" t="n">
        <v>6250</v>
      </c>
      <c r="B44" s="22" t="n">
        <f aca="false">A44*$B$5/120</f>
        <v>208.333333333333</v>
      </c>
      <c r="C44" s="18" t="n">
        <f aca="false">1000/B44</f>
        <v>4.8</v>
      </c>
      <c r="D44" s="18" t="n">
        <f aca="false">IF($B$6=1,C44*$B$7,MIN($B$8,0.9*C44))</f>
        <v>2.88</v>
      </c>
      <c r="E44" s="18" t="n">
        <f aca="false">$B$17*(1-EXP(-D44/$B$16))</f>
        <v>2.97182013459777</v>
      </c>
      <c r="F44" s="22" t="n">
        <f aca="false">0.5*$B$11*E44^2</f>
        <v>35.3268596496029</v>
      </c>
      <c r="G44" s="30" t="n">
        <f aca="false">E44/$B$17</f>
        <v>0.660404474355061</v>
      </c>
    </row>
    <row r="45" customFormat="false" ht="15" hidden="false" customHeight="false" outlineLevel="0" collapsed="false">
      <c r="A45" s="15" t="n">
        <v>6500</v>
      </c>
      <c r="B45" s="21" t="n">
        <f aca="false">A45*$B$5/120</f>
        <v>216.666666666667</v>
      </c>
      <c r="C45" s="16" t="n">
        <f aca="false">1000/B45</f>
        <v>4.61538461538462</v>
      </c>
      <c r="D45" s="16" t="n">
        <f aca="false">IF($B$6=1,C45*$B$7,MIN($B$8,0.9*C45))</f>
        <v>2.76923076923077</v>
      </c>
      <c r="E45" s="16" t="n">
        <f aca="false">$B$17*(1-EXP(-D45/$B$16))</f>
        <v>2.90700505396477</v>
      </c>
      <c r="F45" s="21" t="n">
        <f aca="false">0.5*$B$11*E45^2</f>
        <v>33.8027135351069</v>
      </c>
      <c r="G45" s="29" t="n">
        <f aca="false">E45/$B$17</f>
        <v>0.646001123103283</v>
      </c>
    </row>
    <row r="46" customFormat="false" ht="15" hidden="false" customHeight="false" outlineLevel="0" collapsed="false">
      <c r="A46" s="17" t="n">
        <v>6750</v>
      </c>
      <c r="B46" s="22" t="n">
        <f aca="false">A46*$B$5/120</f>
        <v>225</v>
      </c>
      <c r="C46" s="18" t="n">
        <f aca="false">1000/B46</f>
        <v>4.44444444444445</v>
      </c>
      <c r="D46" s="18" t="n">
        <f aca="false">IF($B$6=1,C46*$B$7,MIN($B$8,0.9*C46))</f>
        <v>2.66666666666667</v>
      </c>
      <c r="E46" s="18" t="n">
        <f aca="false">$B$17*(1-EXP(-D46/$B$16))</f>
        <v>2.84454251472851</v>
      </c>
      <c r="F46" s="22" t="n">
        <f aca="false">0.5*$B$11*E46^2</f>
        <v>32.365688472392</v>
      </c>
      <c r="G46" s="30" t="n">
        <f aca="false">E46/$B$17</f>
        <v>0.632120558828558</v>
      </c>
    </row>
    <row r="47" customFormat="false" ht="15" hidden="false" customHeight="false" outlineLevel="0" collapsed="false">
      <c r="A47" s="15" t="n">
        <v>7000</v>
      </c>
      <c r="B47" s="21" t="n">
        <f aca="false">A47*$B$5/120</f>
        <v>233.333333333333</v>
      </c>
      <c r="C47" s="16" t="n">
        <f aca="false">1000/B47</f>
        <v>4.28571428571429</v>
      </c>
      <c r="D47" s="16" t="n">
        <f aca="false">IF($B$6=1,C47*$B$7,MIN($B$8,0.9*C47))</f>
        <v>2.57142857142857</v>
      </c>
      <c r="E47" s="16" t="n">
        <f aca="false">$B$17*(1-EXP(-D47/$B$16))</f>
        <v>2.78435057485936</v>
      </c>
      <c r="F47" s="21" t="n">
        <f aca="false">0.5*$B$11*E47^2</f>
        <v>31.0104324948787</v>
      </c>
      <c r="G47" s="29" t="n">
        <f aca="false">E47/$B$17</f>
        <v>0.61874457219097</v>
      </c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B6" type="whole">
      <formula1>1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25.5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157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26</v>
      </c>
    </row>
    <row r="5" customFormat="false" ht="42" hidden="false" customHeight="true" outlineLevel="0" collapsed="false">
      <c r="A5" s="3" t="s">
        <v>158</v>
      </c>
      <c r="B5" s="10" t="n">
        <v>55</v>
      </c>
      <c r="C5" s="3" t="s">
        <v>49</v>
      </c>
      <c r="E5" s="14" t="s">
        <v>159</v>
      </c>
      <c r="F5" s="14" t="s">
        <v>160</v>
      </c>
      <c r="G5" s="14"/>
      <c r="H5" s="14" t="s">
        <v>161</v>
      </c>
    </row>
    <row r="6" customFormat="false" ht="15" hidden="false" customHeight="false" outlineLevel="0" collapsed="false">
      <c r="A6" s="3" t="s">
        <v>162</v>
      </c>
      <c r="B6" s="10" t="n">
        <v>2</v>
      </c>
      <c r="C6" s="3"/>
      <c r="E6" s="23" t="n">
        <v>0.5</v>
      </c>
      <c r="F6" s="23" t="n">
        <v>8</v>
      </c>
      <c r="H6" s="23" t="n">
        <v>3</v>
      </c>
    </row>
    <row r="7" customFormat="false" ht="15" hidden="false" customHeight="false" outlineLevel="0" collapsed="false">
      <c r="A7" s="3" t="s">
        <v>163</v>
      </c>
      <c r="B7" s="10" t="n">
        <v>12</v>
      </c>
      <c r="C7" s="3" t="s">
        <v>28</v>
      </c>
      <c r="E7" s="23" t="n">
        <v>0.75</v>
      </c>
      <c r="F7" s="23" t="n">
        <v>10</v>
      </c>
      <c r="H7" s="23" t="n">
        <v>5</v>
      </c>
    </row>
    <row r="8" customFormat="false" ht="15" hidden="false" customHeight="false" outlineLevel="0" collapsed="false">
      <c r="A8" s="3" t="s">
        <v>164</v>
      </c>
      <c r="B8" s="10" t="n">
        <v>3</v>
      </c>
      <c r="C8" s="3" t="s">
        <v>165</v>
      </c>
      <c r="E8" s="23" t="n">
        <v>1</v>
      </c>
      <c r="F8" s="23" t="n">
        <v>13</v>
      </c>
      <c r="H8" s="23" t="n">
        <v>7.5</v>
      </c>
    </row>
    <row r="9" customFormat="false" ht="15" hidden="false" customHeight="false" outlineLevel="0" collapsed="false">
      <c r="A9" s="3" t="s">
        <v>166</v>
      </c>
      <c r="B9" s="10" t="n">
        <v>0.03</v>
      </c>
      <c r="C9" s="3" t="s">
        <v>135</v>
      </c>
      <c r="E9" s="23" t="n">
        <v>1.5</v>
      </c>
      <c r="F9" s="23" t="n">
        <v>16</v>
      </c>
      <c r="H9" s="23" t="n">
        <v>10</v>
      </c>
    </row>
    <row r="10" customFormat="false" ht="15" hidden="false" customHeight="false" outlineLevel="0" collapsed="false">
      <c r="A10" s="3" t="s">
        <v>167</v>
      </c>
      <c r="B10" s="10" t="n">
        <v>0.0178</v>
      </c>
      <c r="C10" s="3" t="s">
        <v>168</v>
      </c>
      <c r="E10" s="23" t="n">
        <v>2.5</v>
      </c>
      <c r="F10" s="23" t="n">
        <v>23</v>
      </c>
      <c r="H10" s="23" t="n">
        <v>15</v>
      </c>
    </row>
    <row r="11" customFormat="false" ht="15" hidden="false" customHeight="false" outlineLevel="0" collapsed="false">
      <c r="E11" s="23" t="n">
        <v>4</v>
      </c>
      <c r="F11" s="23" t="n">
        <v>30</v>
      </c>
      <c r="H11" s="23" t="n">
        <v>20</v>
      </c>
    </row>
    <row r="12" customFormat="false" ht="15" hidden="false" customHeight="false" outlineLevel="0" collapsed="false">
      <c r="A12" s="9" t="s">
        <v>41</v>
      </c>
      <c r="E12" s="23" t="n">
        <v>6</v>
      </c>
      <c r="F12" s="23" t="n">
        <v>38</v>
      </c>
      <c r="H12" s="23" t="n">
        <v>25</v>
      </c>
    </row>
    <row r="13" customFormat="false" ht="15" hidden="false" customHeight="false" outlineLevel="0" collapsed="false">
      <c r="A13" s="3" t="s">
        <v>169</v>
      </c>
      <c r="B13" s="13" t="n">
        <f aca="false">B5*B6/B7</f>
        <v>9.16666666666667</v>
      </c>
      <c r="C13" s="3" t="s">
        <v>43</v>
      </c>
      <c r="E13" s="23" t="n">
        <v>10</v>
      </c>
      <c r="F13" s="23" t="n">
        <v>53</v>
      </c>
      <c r="H13" s="23" t="n">
        <v>30</v>
      </c>
    </row>
    <row r="14" customFormat="false" ht="15" hidden="false" customHeight="false" outlineLevel="0" collapsed="false">
      <c r="A14" s="3" t="s">
        <v>170</v>
      </c>
      <c r="B14" s="13" t="n">
        <f aca="false">B9*B7</f>
        <v>0.36</v>
      </c>
      <c r="C14" s="3" t="s">
        <v>28</v>
      </c>
      <c r="E14" s="23" t="n">
        <v>16</v>
      </c>
      <c r="F14" s="23" t="n">
        <v>70</v>
      </c>
      <c r="H14" s="23" t="n">
        <v>40</v>
      </c>
    </row>
    <row r="15" customFormat="false" ht="15" hidden="false" customHeight="false" outlineLevel="0" collapsed="false">
      <c r="A15" s="3" t="s">
        <v>171</v>
      </c>
      <c r="B15" s="13" t="n">
        <f aca="false">B10*B8*B13/B14</f>
        <v>1.35972222222222</v>
      </c>
      <c r="C15" s="3" t="s">
        <v>172</v>
      </c>
      <c r="E15" s="23" t="n">
        <v>25</v>
      </c>
      <c r="F15" s="23" t="n">
        <v>95</v>
      </c>
      <c r="H15" s="23" t="n">
        <v>50</v>
      </c>
    </row>
    <row r="16" customFormat="false" ht="15" hidden="false" customHeight="false" outlineLevel="0" collapsed="false">
      <c r="A16" s="3" t="s">
        <v>173</v>
      </c>
      <c r="B16" s="13" t="n">
        <f aca="false">INDEX(E6:E15,MIN(10,COUNTIF(E6:E15,"&lt;"&amp;B15)+1))</f>
        <v>1.5</v>
      </c>
      <c r="C16" s="3" t="s">
        <v>172</v>
      </c>
    </row>
    <row r="17" customFormat="false" ht="15" hidden="false" customHeight="false" outlineLevel="0" collapsed="false">
      <c r="A17" s="3" t="s">
        <v>174</v>
      </c>
      <c r="B17" s="31" t="n">
        <f aca="false">B10*B8*B13/B16</f>
        <v>0.326333333333333</v>
      </c>
      <c r="C17" s="3" t="s">
        <v>28</v>
      </c>
      <c r="E17" s="25" t="s">
        <v>175</v>
      </c>
    </row>
    <row r="18" customFormat="false" ht="15" hidden="false" customHeight="false" outlineLevel="0" collapsed="false">
      <c r="A18" s="3" t="s">
        <v>176</v>
      </c>
      <c r="B18" s="32" t="n">
        <f aca="false">B17/B7</f>
        <v>0.0271944444444444</v>
      </c>
      <c r="C18" s="3" t="s">
        <v>120</v>
      </c>
    </row>
    <row r="19" customFormat="false" ht="15" hidden="false" customHeight="false" outlineLevel="0" collapsed="false">
      <c r="A19" s="3" t="s">
        <v>177</v>
      </c>
      <c r="B19" s="20" t="n">
        <f aca="false">B13/B16</f>
        <v>6.11111111111111</v>
      </c>
      <c r="C19" s="3" t="s">
        <v>178</v>
      </c>
    </row>
    <row r="20" customFormat="false" ht="15" hidden="false" customHeight="false" outlineLevel="0" collapsed="false">
      <c r="A20" s="3" t="s">
        <v>179</v>
      </c>
      <c r="B20" s="11" t="n">
        <f aca="false">INDEX(H6:H15,MIN(10,COUNTIF(H6:H15,"&lt;"&amp;1.25*B13)+1))</f>
        <v>15</v>
      </c>
      <c r="C20" s="3" t="s">
        <v>43</v>
      </c>
    </row>
    <row r="21" customFormat="false" ht="15" hidden="false" customHeight="false" outlineLevel="0" collapsed="false">
      <c r="A21" s="3" t="s">
        <v>180</v>
      </c>
      <c r="B21" s="11" t="n">
        <f aca="false">INDEX(F6:F15,MATCH(B16,E6:E15,0))</f>
        <v>16</v>
      </c>
      <c r="C21" s="3" t="s">
        <v>43</v>
      </c>
    </row>
    <row r="22" customFormat="false" ht="15" hidden="false" customHeight="false" outlineLevel="0" collapsed="false">
      <c r="A22" s="3" t="s">
        <v>181</v>
      </c>
      <c r="B22" s="13" t="str">
        <f aca="false">IF(B20&lt;=B21,"Correcto: el fusible protege el cable","Aumente la sección: el fusible supera la corriente del cable")</f>
        <v>Correcto: el fusible protege el cable</v>
      </c>
      <c r="C22" s="3"/>
    </row>
    <row r="25" customFormat="false" ht="42" hidden="false" customHeight="true" outlineLevel="0" collapsed="false">
      <c r="A25" s="14" t="s">
        <v>182</v>
      </c>
      <c r="B25" s="14" t="s">
        <v>183</v>
      </c>
      <c r="C25" s="14" t="s">
        <v>184</v>
      </c>
      <c r="D25" s="14" t="s">
        <v>185</v>
      </c>
    </row>
    <row r="26" customFormat="false" ht="15" hidden="false" customHeight="false" outlineLevel="0" collapsed="false">
      <c r="A26" s="23" t="n">
        <v>0.5</v>
      </c>
      <c r="B26" s="33" t="n">
        <f aca="false">$B$10*A26*$B$13/$B$16</f>
        <v>0.0543888888888889</v>
      </c>
      <c r="C26" s="34" t="n">
        <f aca="false">B26/$B$7</f>
        <v>0.00453240740740741</v>
      </c>
      <c r="D26" s="16" t="n">
        <f aca="false">$B$14</f>
        <v>0.36</v>
      </c>
    </row>
    <row r="27" customFormat="false" ht="15" hidden="false" customHeight="false" outlineLevel="0" collapsed="false">
      <c r="A27" s="23" t="n">
        <v>1</v>
      </c>
      <c r="B27" s="33" t="n">
        <f aca="false">$B$10*A27*$B$13/$B$16</f>
        <v>0.108777777777778</v>
      </c>
      <c r="C27" s="34" t="n">
        <f aca="false">B27/$B$7</f>
        <v>0.00906481481481481</v>
      </c>
      <c r="D27" s="16" t="n">
        <f aca="false">$B$14</f>
        <v>0.36</v>
      </c>
    </row>
    <row r="28" customFormat="false" ht="15" hidden="false" customHeight="false" outlineLevel="0" collapsed="false">
      <c r="A28" s="23" t="n">
        <v>1.5</v>
      </c>
      <c r="B28" s="33" t="n">
        <f aca="false">$B$10*A28*$B$13/$B$16</f>
        <v>0.163166666666667</v>
      </c>
      <c r="C28" s="34" t="n">
        <f aca="false">B28/$B$7</f>
        <v>0.0135972222222222</v>
      </c>
      <c r="D28" s="16" t="n">
        <f aca="false">$B$14</f>
        <v>0.36</v>
      </c>
    </row>
    <row r="29" customFormat="false" ht="15" hidden="false" customHeight="false" outlineLevel="0" collapsed="false">
      <c r="A29" s="23" t="n">
        <v>2</v>
      </c>
      <c r="B29" s="33" t="n">
        <f aca="false">$B$10*A29*$B$13/$B$16</f>
        <v>0.217555555555556</v>
      </c>
      <c r="C29" s="34" t="n">
        <f aca="false">B29/$B$7</f>
        <v>0.0181296296296296</v>
      </c>
      <c r="D29" s="16" t="n">
        <f aca="false">$B$14</f>
        <v>0.36</v>
      </c>
    </row>
    <row r="30" customFormat="false" ht="15" hidden="false" customHeight="false" outlineLevel="0" collapsed="false">
      <c r="A30" s="23" t="n">
        <v>2.5</v>
      </c>
      <c r="B30" s="33" t="n">
        <f aca="false">$B$10*A30*$B$13/$B$16</f>
        <v>0.271944444444444</v>
      </c>
      <c r="C30" s="34" t="n">
        <f aca="false">B30/$B$7</f>
        <v>0.022662037037037</v>
      </c>
      <c r="D30" s="16" t="n">
        <f aca="false">$B$14</f>
        <v>0.36</v>
      </c>
    </row>
    <row r="31" customFormat="false" ht="15" hidden="false" customHeight="false" outlineLevel="0" collapsed="false">
      <c r="A31" s="23" t="n">
        <v>3</v>
      </c>
      <c r="B31" s="33" t="n">
        <f aca="false">$B$10*A31*$B$13/$B$16</f>
        <v>0.326333333333333</v>
      </c>
      <c r="C31" s="34" t="n">
        <f aca="false">B31/$B$7</f>
        <v>0.0271944444444444</v>
      </c>
      <c r="D31" s="16" t="n">
        <f aca="false">$B$14</f>
        <v>0.36</v>
      </c>
    </row>
    <row r="32" customFormat="false" ht="15" hidden="false" customHeight="false" outlineLevel="0" collapsed="false">
      <c r="A32" s="23" t="n">
        <v>3.5</v>
      </c>
      <c r="B32" s="33" t="n">
        <f aca="false">$B$10*A32*$B$13/$B$16</f>
        <v>0.380722222222222</v>
      </c>
      <c r="C32" s="34" t="n">
        <f aca="false">B32/$B$7</f>
        <v>0.0317268518518518</v>
      </c>
      <c r="D32" s="16" t="n">
        <f aca="false">$B$14</f>
        <v>0.36</v>
      </c>
    </row>
    <row r="33" customFormat="false" ht="15" hidden="false" customHeight="false" outlineLevel="0" collapsed="false">
      <c r="A33" s="23" t="n">
        <v>4</v>
      </c>
      <c r="B33" s="33" t="n">
        <f aca="false">$B$10*A33*$B$13/$B$16</f>
        <v>0.435111111111111</v>
      </c>
      <c r="C33" s="34" t="n">
        <f aca="false">B33/$B$7</f>
        <v>0.0362592592592593</v>
      </c>
      <c r="D33" s="16" t="n">
        <f aca="false">$B$14</f>
        <v>0.36</v>
      </c>
    </row>
    <row r="34" customFormat="false" ht="15" hidden="false" customHeight="false" outlineLevel="0" collapsed="false">
      <c r="A34" s="23" t="n">
        <v>4.5</v>
      </c>
      <c r="B34" s="33" t="n">
        <f aca="false">$B$10*A34*$B$13/$B$16</f>
        <v>0.4895</v>
      </c>
      <c r="C34" s="34" t="n">
        <f aca="false">B34/$B$7</f>
        <v>0.0407916666666667</v>
      </c>
      <c r="D34" s="16" t="n">
        <f aca="false">$B$14</f>
        <v>0.36</v>
      </c>
    </row>
    <row r="35" customFormat="false" ht="15" hidden="false" customHeight="false" outlineLevel="0" collapsed="false">
      <c r="A35" s="23" t="n">
        <v>5</v>
      </c>
      <c r="B35" s="33" t="n">
        <f aca="false">$B$10*A35*$B$13/$B$16</f>
        <v>0.543888888888889</v>
      </c>
      <c r="C35" s="34" t="n">
        <f aca="false">B35/$B$7</f>
        <v>0.0453240740740741</v>
      </c>
      <c r="D35" s="16" t="n">
        <f aca="false">$B$14</f>
        <v>0.36</v>
      </c>
    </row>
    <row r="36" customFormat="false" ht="15" hidden="false" customHeight="false" outlineLevel="0" collapsed="false">
      <c r="A36" s="23" t="n">
        <v>5.5</v>
      </c>
      <c r="B36" s="33" t="n">
        <f aca="false">$B$10*A36*$B$13/$B$16</f>
        <v>0.598277777777778</v>
      </c>
      <c r="C36" s="34" t="n">
        <f aca="false">B36/$B$7</f>
        <v>0.0498564814814815</v>
      </c>
      <c r="D36" s="16" t="n">
        <f aca="false">$B$14</f>
        <v>0.36</v>
      </c>
    </row>
    <row r="37" customFormat="false" ht="15" hidden="false" customHeight="false" outlineLevel="0" collapsed="false">
      <c r="A37" s="23" t="n">
        <v>6</v>
      </c>
      <c r="B37" s="33" t="n">
        <f aca="false">$B$10*A37*$B$13/$B$16</f>
        <v>0.652666666666667</v>
      </c>
      <c r="C37" s="34" t="n">
        <f aca="false">B37/$B$7</f>
        <v>0.0543888888888889</v>
      </c>
      <c r="D37" s="16" t="n">
        <f aca="false">$B$14</f>
        <v>0.36</v>
      </c>
    </row>
    <row r="38" customFormat="false" ht="15" hidden="false" customHeight="false" outlineLevel="0" collapsed="false">
      <c r="A38" s="23" t="n">
        <v>6.5</v>
      </c>
      <c r="B38" s="33" t="n">
        <f aca="false">$B$10*A38*$B$13/$B$16</f>
        <v>0.707055555555555</v>
      </c>
      <c r="C38" s="34" t="n">
        <f aca="false">B38/$B$7</f>
        <v>0.0589212962962963</v>
      </c>
      <c r="D38" s="16" t="n">
        <f aca="false">$B$14</f>
        <v>0.36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2026-10-15T12:01:58Z</dcterms:created>
  <dc:creator>openpyxl</dc:creator>
  <dc:description/>
  <dc:language>en-US</dc:language>
  <cp:lastModifiedBy/>
  <dcterms:modified xsi:type="dcterms:W3CDTF">2026-10-15T07:02:13Z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