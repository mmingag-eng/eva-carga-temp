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Compresion" sheetId="2" state="visible" r:id="rId2"/>
    <sheet xmlns:r="http://schemas.openxmlformats.org/officeDocument/2006/relationships" name="Grafic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1" fontId="9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1" fontId="18" fillId="6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1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Compresión en seco y en húmedo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Compresion!B13</f>
              <strCache>
                <ptCount val="1"/>
                <pt idx="0">
                  <v>En seco (bar)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Compresion!$A$14:$A$17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Compresion!$B$14:$B$17</f>
              <numCache>
                <formatCode>0.0</formatCode>
                <ptCount val="4"/>
                <pt idx="0">
                  <v>9.6</v>
                </pt>
                <pt idx="1">
                  <v>9.4</v>
                </pt>
                <pt idx="2">
                  <v>7.2</v>
                </pt>
                <pt idx="3">
                  <v>9.5</v>
                </pt>
              </numCache>
            </numRef>
          </val>
        </ser>
        <ser>
          <idx val="1"/>
          <order val="1"/>
          <tx>
            <strRef>
              <f>Compresion!C13</f>
              <strCache>
                <ptCount val="1"/>
                <pt idx="0">
                  <v>En húmedo (bar)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Compresion!$A$14:$A$17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Compresion!$C$14:$C$17</f>
              <numCache>
                <formatCode>0.0</formatCode>
                <ptCount val="4"/>
                <pt idx="0">
                  <v>9.800000000000001</v>
                </pt>
                <pt idx="1">
                  <v>9.6</v>
                </pt>
                <pt idx="2">
                  <v>8.9</v>
                </pt>
                <pt idx="3">
                  <v>9.699999999999999</v>
                </pt>
              </numCache>
            </numRef>
          </val>
        </ser>
        <gapWidth val="150"/>
        <overlap val="0"/>
        <axId val="36241587"/>
        <axId val="4696749"/>
      </barChart>
      <catAx>
        <axId val="3624158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96749"/>
        <crosses val="autoZero"/>
        <auto val="1"/>
        <lblAlgn val="ctr"/>
        <lblOffset val="100"/>
        <noMultiLvlLbl val="0"/>
      </catAx>
      <valAx>
        <axId val="469674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2415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Compresión en seco y en húmedo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Compresion!B13</c:f>
              <c:strCache>
                <c:ptCount val="1"/>
                <c:pt idx="0">
                  <c:v>En seco (bar)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Compresion!$A$14:$A$17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Compresion!$B$14:$B$17</c:f>
              <c:numCache>
                <c:formatCode>0.0</c:formatCode>
                <c:ptCount val="4"/>
                <c:pt idx="0">
                  <c:v>9.6</c:v>
                </c:pt>
                <c:pt idx="1">
                  <c:v>9.4</c:v>
                </c:pt>
                <c:pt idx="2">
                  <c:v>7.2</c:v>
                </c:pt>
                <c:pt idx="3">
                  <c:v>9.5</c:v>
                </c:pt>
              </c:numCache>
            </c:numRef>
          </c:val>
        </c:ser>
        <c:ser>
          <c:idx val="1"/>
          <c:order val="1"/>
          <c:tx>
            <c:strRef>
              <c:f>Compresion!C13</c:f>
              <c:strCache>
                <c:ptCount val="1"/>
                <c:pt idx="0">
                  <c:v>En húmedo (bar)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Compresion!$A$14:$A$17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Compresion!$C$14:$C$17</c:f>
              <c:numCache>
                <c:formatCode>0.0</c:formatCode>
                <c:ptCount val="4"/>
                <c:pt idx="0">
                  <c:v>9.8</c:v>
                </c:pt>
                <c:pt idx="1">
                  <c:v>9.6</c:v>
                </c:pt>
                <c:pt idx="2">
                  <c:v>8.9</c:v>
                </c:pt>
                <c:pt idx="3">
                  <c:v>9.7</c:v>
                </c:pt>
              </c:numCache>
            </c:numRef>
          </c:val>
        </c:ser>
        <c:gapWidth val="150"/>
        <c:overlap val="0"/>
        <c:axId val="36241587"/>
        <c:axId val="4696749"/>
      </c:barChart>
      <c:catAx>
        <c:axId val="36241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6749"/>
        <c:crosses val="autoZero"/>
        <c:auto val="1"/>
        <c:lblAlgn val="ctr"/>
        <c:lblOffset val="100"/>
        <c:noMultiLvlLbl val="0"/>
      </c:catAx>
      <c:valAx>
        <c:axId val="4696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41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4" min="1" max="1"/>
    <col width="8" customWidth="1" style="14" min="2" max="2"/>
    <col width="13" customWidth="1" style="14" min="3" max="3"/>
    <col width="13" customWidth="1" style="14" min="4" max="4"/>
    <col width="13" customWidth="1" style="14" min="5" max="5"/>
    <col width="15" customWidth="1" style="14" min="6" max="6"/>
    <col width="13" customWidth="1" style="14" min="7" max="7"/>
    <col width="13" customWidth="1" style="14" min="8" max="8"/>
    <col width="24" customWidth="1" style="14" min="9" max="9"/>
    <col width="60" customWidth="1" style="14" min="10" max="10"/>
  </cols>
  <sheetData>
    <row r="1">
      <c r="A1" s="15" t="inlineStr">
        <is>
          <t>ESPECIFICACIONES DEL FABRICANTE – MOTOR ASIGNADO</t>
        </is>
      </c>
    </row>
    <row r="3">
      <c r="A3" s="16" t="inlineStr">
        <is>
          <t>Motor asignado (elija de la lista):</t>
        </is>
      </c>
      <c r="C3" s="17" t="inlineStr">
        <is>
          <t>Daihatsu CB-20</t>
        </is>
      </c>
      <c r="D3" s="18" t="n"/>
      <c r="E3" s="19" t="n"/>
    </row>
    <row r="4" ht="45" customHeight="1" s="14">
      <c r="A4" s="20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4">
      <c r="A6" s="21" t="inlineStr">
        <is>
          <t>Comprobación</t>
        </is>
      </c>
      <c r="B6" s="21" t="inlineStr">
        <is>
          <t>Unidad</t>
        </is>
      </c>
      <c r="C6" s="21" t="inlineStr">
        <is>
          <t>Daihatsu CB-20</t>
        </is>
      </c>
      <c r="D6" s="21" t="inlineStr">
        <is>
          <t>Nissan A14</t>
        </is>
      </c>
      <c r="E6" s="21" t="inlineStr">
        <is>
          <t>Hyundai G4EC</t>
        </is>
      </c>
      <c r="F6" s="21" t="inlineStr">
        <is>
          <t>Chevrolet Monza 2.0</t>
        </is>
      </c>
      <c r="G6" s="21" t="inlineStr">
        <is>
          <t>Valor orientativo</t>
        </is>
      </c>
      <c r="H6" s="21" t="inlineStr">
        <is>
          <t>Valor aplicado</t>
        </is>
      </c>
      <c r="I6" s="21" t="inlineStr">
        <is>
          <t>Origen</t>
        </is>
      </c>
      <c r="J6" s="21" t="inlineStr">
        <is>
          <t>Fuente en el manual</t>
        </is>
      </c>
    </row>
    <row r="7">
      <c r="A7" s="22" t="inlineStr">
        <is>
          <t>Presión de compresión especificada</t>
        </is>
      </c>
      <c r="B7" s="23" t="inlineStr">
        <is>
          <t>bar</t>
        </is>
      </c>
      <c r="C7" s="24" t="n">
        <v>12.26</v>
      </c>
      <c r="D7" s="24" t="n">
        <v>13.24</v>
      </c>
      <c r="E7" s="24" t="n">
        <v>14.71</v>
      </c>
      <c r="F7" s="24" t="n"/>
      <c r="G7" s="24" t="n">
        <v>12.5</v>
      </c>
      <c r="H7" s="25">
        <f>IF(ISNUMBER(INDEX($C7:$F7,MATCH($C$3,$C$6:$F$6,0))),INDEX($C7:$F7,MATCH($C$3,$C$6:$F$6,0)),IF(INDEX($C7:$F7,MATCH($C$3,$C$6:$F$6,0))&lt;&gt;"","",IF($G7="","",$G7)))</f>
        <v/>
      </c>
      <c r="I7" s="22">
        <f>IF(ISNUMBER(INDEX($C7:$F7,MATCH($C$3,$C$6:$F$6,0))),"Manual",IF(INDEX($C7:$F7,MATCH($C$3,$C$6:$F$6,0))&lt;&gt;"","No aplica a este motor",IF($G7="","Sin dato","Orientativo: el manual no lo especifica")))</f>
        <v/>
      </c>
      <c r="J7" s="22" t="inlineStr">
        <is>
          <t>CB 12,5 kg/cm² a 350 rpm (G10 p. 13); A14 13,5 kg/cm² (Nissan B310 p. ET-4); Hyundai 15 kg/cm²</t>
        </is>
      </c>
    </row>
    <row r="8">
      <c r="A8" s="22" t="inlineStr">
        <is>
          <t>Presión de compresión mínima (límite)</t>
        </is>
      </c>
      <c r="B8" s="23" t="inlineStr">
        <is>
          <t>bar</t>
        </is>
      </c>
      <c r="C8" s="24" t="n">
        <v>10.3</v>
      </c>
      <c r="D8" s="24" t="n">
        <v>12.26</v>
      </c>
      <c r="E8" s="24" t="n">
        <v>13.73</v>
      </c>
      <c r="F8" s="24" t="n">
        <v>6.9</v>
      </c>
      <c r="G8" s="24" t="n">
        <v>10</v>
      </c>
      <c r="H8" s="25">
        <f>IF(ISNUMBER(INDEX($C8:$F8,MATCH($C$3,$C$6:$F$6,0))),INDEX($C8:$F8,MATCH($C$3,$C$6:$F$6,0)),IF(INDEX($C8:$F8,MATCH($C$3,$C$6:$F$6,0))&lt;&gt;"","",IF($G8="","",$G8)))</f>
        <v/>
      </c>
      <c r="I8" s="22">
        <f>IF(ISNUMBER(INDEX($C8:$F8,MATCH($C$3,$C$6:$F$6,0))),"Manual",IF(INDEX($C8:$F8,MATCH($C$3,$C$6:$F$6,0))&lt;&gt;"","No aplica a este motor",IF($G8="","Sin dato","Orientativo: el manual no lo especifica")))</f>
        <v/>
      </c>
      <c r="J8" s="22" t="inlineStr">
        <is>
          <t>CB 10,5 kg/cm²; A14 12,5 kg/cm² (Nissan B310 p. ET-4); Hyundai 14 kg/cm²; Monza 690 kPa (p. 6A-01)</t>
        </is>
      </c>
    </row>
    <row r="9">
      <c r="A9" s="22" t="inlineStr">
        <is>
          <t>Diferencia máxima entre cilindros</t>
        </is>
      </c>
      <c r="B9" s="23" t="inlineStr">
        <is>
          <t>%</t>
        </is>
      </c>
      <c r="C9" s="24" t="n">
        <v>12</v>
      </c>
      <c r="D9" s="24" t="n">
        <v>20</v>
      </c>
      <c r="E9" s="24" t="n">
        <v>6.7</v>
      </c>
      <c r="F9" s="24" t="n"/>
      <c r="G9" s="24" t="n">
        <v>10</v>
      </c>
      <c r="H9" s="25">
        <f>IF(ISNUMBER(INDEX($C9:$F9,MATCH($C$3,$C$6:$F$6,0))),INDEX($C9:$F9,MATCH($C$3,$C$6:$F$6,0)),IF(INDEX($C9:$F9,MATCH($C$3,$C$6:$F$6,0))&lt;&gt;"","",IF($G9="","",$G9)))</f>
        <v/>
      </c>
      <c r="I9" s="22">
        <f>IF(ISNUMBER(INDEX($C9:$F9,MATCH($C$3,$C$6:$F$6,0))),"Manual",IF(INDEX($C9:$F9,MATCH($C$3,$C$6:$F$6,0))&lt;&gt;"","No aplica a este motor",IF($G9="","Sin dato","Orientativo: el manual no lo especifica")))</f>
        <v/>
      </c>
      <c r="J9" s="22" t="inlineStr">
        <is>
          <t>Calculada: CB 1,5 de 12,5 kg/cm²; A14: ningún cilindro &lt; 80 % del mayor (Nissan B310 p. ET-4); Hyundai 1,0 de 15 kg/cm²; Monza: 69 kPa (p. 6A-01)</t>
        </is>
      </c>
    </row>
    <row r="11" ht="48" customHeight="1" s="14">
      <c r="A11" s="20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1:J11"/>
  </mergeCells>
  <conditionalFormatting sqref="C7:F9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6" min="1" max="1"/>
    <col width="14" customWidth="1" style="26" min="2" max="3"/>
    <col width="22" customWidth="1" style="26" min="4" max="4"/>
    <col width="20" customWidth="1" style="26" min="5" max="5"/>
    <col width="10" customWidth="1" style="26" min="6" max="6"/>
    <col width="40" customWidth="1" style="26" min="7" max="7"/>
  </cols>
  <sheetData>
    <row r="1" ht="17.35" customHeight="1" s="14">
      <c r="A1" s="27" t="inlineStr">
        <is>
          <t>SFM GUÍA 11 – PRUEBA DE COMPRESIÓN Y FUGAS</t>
        </is>
      </c>
    </row>
    <row r="2" ht="15" customHeight="1" s="14">
      <c r="A2" s="28" t="inlineStr">
        <is>
          <t>Diferencia (%) = (P_máx − P_i)/P_máx·100</t>
        </is>
      </c>
    </row>
    <row r="3" ht="15" customHeight="1" s="14">
      <c r="A3" s="29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4">
      <c r="A5" s="30" t="inlineStr">
        <is>
          <t>Parámetro</t>
        </is>
      </c>
      <c r="B5" s="30" t="inlineStr">
        <is>
          <t>Símbolo</t>
        </is>
      </c>
      <c r="C5" s="30" t="inlineStr">
        <is>
          <t>Valor</t>
        </is>
      </c>
      <c r="D5" s="30" t="inlineStr">
        <is>
          <t>Unidad</t>
        </is>
      </c>
      <c r="E5" s="30" t="inlineStr">
        <is>
          <t>Fuente / observación</t>
        </is>
      </c>
    </row>
    <row r="6" ht="15" customHeight="1" s="14">
      <c r="A6" s="31" t="inlineStr">
        <is>
          <t>Presión de compresión especificada (nivel del mar)</t>
        </is>
      </c>
      <c r="B6" s="31" t="inlineStr">
        <is>
          <t>P_esp</t>
        </is>
      </c>
      <c r="C6" s="32">
        <f>Motor!$H$7</f>
        <v/>
      </c>
      <c r="D6" s="31" t="inlineStr">
        <is>
          <t>bar</t>
        </is>
      </c>
      <c r="E6" s="31" t="inlineStr">
        <is>
          <t>Manual del motor (hoja «Motor»)</t>
        </is>
      </c>
    </row>
    <row r="7" ht="15" customHeight="1" s="14">
      <c r="A7" s="31" t="inlineStr">
        <is>
          <t>Presión mínima admisible</t>
        </is>
      </c>
      <c r="B7" s="31" t="inlineStr">
        <is>
          <t>P_mín</t>
        </is>
      </c>
      <c r="C7" s="32">
        <f>Motor!$H$8</f>
        <v/>
      </c>
      <c r="D7" s="31" t="inlineStr">
        <is>
          <t>bar</t>
        </is>
      </c>
      <c r="E7" s="31" t="inlineStr">
        <is>
          <t>Manual del motor (hoja «Motor»)</t>
        </is>
      </c>
    </row>
    <row r="8" ht="15" customHeight="1" s="14">
      <c r="A8" s="31" t="inlineStr">
        <is>
          <t>Diferencia máxima admisible entre cilindros</t>
        </is>
      </c>
      <c r="B8" s="31" t="inlineStr">
        <is>
          <t>Δ_máx</t>
        </is>
      </c>
      <c r="C8" s="33">
        <f>Motor!$H$9</f>
        <v/>
      </c>
      <c r="D8" s="31" t="inlineStr">
        <is>
          <t>%</t>
        </is>
      </c>
      <c r="E8" s="31" t="inlineStr">
        <is>
          <t>Manual del motor (hoja «Motor»)</t>
        </is>
      </c>
    </row>
    <row r="9" ht="15" customHeight="1" s="14">
      <c r="A9" s="31" t="inlineStr">
        <is>
          <t>Presión atmosférica local</t>
        </is>
      </c>
      <c r="B9" s="31" t="inlineStr">
        <is>
          <t>P_atm</t>
        </is>
      </c>
      <c r="C9" s="34" t="n">
        <v>79</v>
      </c>
      <c r="D9" s="31" t="inlineStr">
        <is>
          <t>kPa</t>
        </is>
      </c>
      <c r="E9" s="31" t="inlineStr">
        <is>
          <t>Loja</t>
        </is>
      </c>
    </row>
    <row r="10" ht="15" customHeight="1" s="14">
      <c r="A10" s="31" t="inlineStr">
        <is>
          <t>Aumento en húmedo que indica segmentos</t>
        </is>
      </c>
      <c r="B10" s="31" t="inlineStr">
        <is>
          <t>Δ_hum</t>
        </is>
      </c>
      <c r="C10" s="35" t="n">
        <v>15</v>
      </c>
      <c r="D10" s="31" t="inlineStr">
        <is>
          <t>%</t>
        </is>
      </c>
      <c r="E10" s="31" t="inlineStr">
        <is>
          <t>Criterio orientativo</t>
        </is>
      </c>
    </row>
    <row r="11" ht="15" customHeight="1" s="14">
      <c r="A11" s="36" t="inlineStr">
        <is>
          <t>Presión especificada corregida a la altitud (aprox.)</t>
        </is>
      </c>
      <c r="C11" s="37">
        <f>C6*C9/101.325</f>
        <v/>
      </c>
      <c r="D11" s="31" t="inlineStr">
        <is>
          <t>bar</t>
        </is>
      </c>
    </row>
    <row r="12"/>
    <row r="13" ht="31.5" customHeight="1" s="14">
      <c r="A13" s="30" t="inlineStr">
        <is>
          <t>Cilindro</t>
        </is>
      </c>
      <c r="B13" s="30" t="inlineStr">
        <is>
          <t>En seco (bar)</t>
        </is>
      </c>
      <c r="C13" s="30" t="inlineStr">
        <is>
          <t>En húmedo (bar)</t>
        </is>
      </c>
      <c r="D13" s="30" t="inlineStr">
        <is>
          <t>Diferencia con el mayor (%)</t>
        </is>
      </c>
      <c r="E13" s="30" t="inlineStr">
        <is>
          <t>Aumento en húmedo (%)</t>
        </is>
      </c>
      <c r="F13" s="30" t="inlineStr">
        <is>
          <t>Fuga (%)</t>
        </is>
      </c>
      <c r="G13" s="30" t="inlineStr">
        <is>
          <t>Diagnóstico</t>
        </is>
      </c>
    </row>
    <row r="14" ht="15" customHeight="1" s="14">
      <c r="A14" s="31" t="n">
        <v>1</v>
      </c>
      <c r="B14" s="34" t="n"/>
      <c r="C14" s="34" t="n"/>
      <c r="D14" s="38">
        <f>IF(COUNTA(B14,B15,B16,B17)=0,"",(MAX($B$14:$B$17)-B14)/MAX($B$14:$B$17)*100)</f>
        <v/>
      </c>
      <c r="E14" s="38">
        <f>IF(COUNTA(B14,C14)=0,"",IF(C14="","",(C14-B14)/B14*100))</f>
        <v/>
      </c>
      <c r="F14" s="35" t="n"/>
      <c r="G14" s="39">
        <f>IF(COUNTA(B14,C14,F14,B15,B16,B17)=0,"",IF(AND(D14&lt;=$C$8,F14&lt;=10),"Correcto",IF(E14&gt;=$C$10,"Desgaste de segmentos o cilindro",IF(F14&gt;20,"Fuga importante: localizar (válvulas o junta)","Revisar: fuga moderada"))))</f>
        <v/>
      </c>
    </row>
    <row r="15" ht="15" customHeight="1" s="14">
      <c r="A15" s="31" t="n">
        <v>2</v>
      </c>
      <c r="B15" s="34" t="n"/>
      <c r="C15" s="34" t="n"/>
      <c r="D15" s="38">
        <f>IF(COUNTA(B14,B15,B16,B17)=0,"",(MAX($B$14:$B$17)-B15)/MAX($B$14:$B$17)*100)</f>
        <v/>
      </c>
      <c r="E15" s="38">
        <f>IF(COUNTA(B15,C15)=0,"",IF(C15="","",(C15-B15)/B15*100))</f>
        <v/>
      </c>
      <c r="F15" s="35" t="n"/>
      <c r="G15" s="39">
        <f>IF(COUNTA(B14,B15,C15,F15,B16,B17)=0,"",IF(AND(D15&lt;=$C$8,F15&lt;=10),"Correcto",IF(E15&gt;=$C$10,"Desgaste de segmentos o cilindro",IF(F15&gt;20,"Fuga importante: localizar (válvulas o junta)","Revisar: fuga moderada"))))</f>
        <v/>
      </c>
    </row>
    <row r="16" ht="15" customHeight="1" s="14">
      <c r="A16" s="31" t="n">
        <v>3</v>
      </c>
      <c r="B16" s="34" t="n"/>
      <c r="C16" s="34" t="n"/>
      <c r="D16" s="38">
        <f>IF(COUNTA(B14,B15,B16,B17)=0,"",(MAX($B$14:$B$17)-B16)/MAX($B$14:$B$17)*100)</f>
        <v/>
      </c>
      <c r="E16" s="38">
        <f>IF(COUNTA(B16,C16)=0,"",IF(C16="","",(C16-B16)/B16*100))</f>
        <v/>
      </c>
      <c r="F16" s="35" t="n"/>
      <c r="G16" s="39">
        <f>IF(COUNTA(B14,B15,B16,C16,F16,B17)=0,"",IF(AND(D16&lt;=$C$8,F16&lt;=10),"Correcto",IF(E16&gt;=$C$10,"Desgaste de segmentos o cilindro",IF(F16&gt;20,"Fuga importante: localizar (válvulas o junta)","Revisar: fuga moderada"))))</f>
        <v/>
      </c>
    </row>
    <row r="17" ht="15" customHeight="1" s="14">
      <c r="A17" s="31" t="n">
        <v>4</v>
      </c>
      <c r="B17" s="34" t="n"/>
      <c r="C17" s="34" t="n"/>
      <c r="D17" s="38">
        <f>IF(COUNTA(B14,B15,B16,B17)=0,"",(MAX($B$14:$B$17)-B17)/MAX($B$14:$B$17)*100)</f>
        <v/>
      </c>
      <c r="E17" s="38">
        <f>IF(COUNTA(B17,C17)=0,"",IF(C17="","",(C17-B17)/B17*100))</f>
        <v/>
      </c>
      <c r="F17" s="35" t="n"/>
      <c r="G17" s="39">
        <f>IF(COUNTA(B14,B15,B16,B17,C17,F17)=0,"",IF(AND(D17&lt;=$C$8,F17&lt;=10),"Correcto",IF(E17&gt;=$C$10,"Desgaste de segmentos o cilindro",IF(F17&gt;20,"Fuga importante: localizar (válvulas o junta)","Revisar: fuga moderada"))))</f>
        <v/>
      </c>
    </row>
    <row r="18"/>
    <row r="19" ht="15" customHeight="1" s="14">
      <c r="A19" s="36" t="inlineStr">
        <is>
          <t>Diferencia máxima entre cilindros (%)</t>
        </is>
      </c>
      <c r="D19" s="38">
        <f>IF(COUNTA(B14,B15,B16,B17)=0,"",(MAX(B14:B17)-MIN(B14:B17))/MAX(B14:B17)*100)</f>
        <v/>
      </c>
    </row>
    <row r="20" ht="15" customHeight="1" s="14">
      <c r="A20" s="40" t="inlineStr">
        <is>
          <t>Criterios de fuga orientativos: &lt; 10 % bueno; 10–20 % desgaste moderado; &gt; 20 % requiere reparación. Verifique con el fabricante del equipo.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2026-09-15T21:30:21Z</dcterms:created>
  <dcterms:modified xmlns:dcterms="http://purl.org/dc/terms/" xmlns:xsi="http://www.w3.org/2001/XMLSchema-instance" xsi:type="dcterms:W3CDTF">2026-10-16T11:46:45Z</dcterms:modified>
  <cp:revision>1</cp:revision>
</cp:coreProperties>
</file>