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Balance" sheetId="2" state="visible" r:id="rId4"/>
    <sheet name="Parametrico" sheetId="3" state="visible" r:id="rId5"/>
    <sheet name="CO2" sheetId="4" state="visible" r:id="rId6"/>
    <sheet name="Graf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<sst xmlns="http://schemas.openxmlformats.org/spreadsheetml/2006/main" count="72" uniqueCount="60">
  <si>
    <t xml:space="preserve">GUÍA 4 – PRIMERA LEY DE LA TERMODINÁMICA Y EFICIENCIA TÉRMICA</t>
  </si>
  <si>
    <t xml:space="preserve">Balance de energía del motor: ṁ_f·PCI = P_e + Q_ref + Q_esc + Q_otros</t>
  </si>
  <si>
    <t xml:space="preserve">Leyenda: celdas amarillas con texto azul = datos de entrada (editar). Texto negro = fórmulas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</si>
  <si>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</si>
  <si>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</si>
  <si>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</si>
  <si>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</si>
  <si>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Fuente / observación</t>
  </si>
  <si>
    <t xml:space="preserve">Poder calorífico inferior de la gasolina</t>
  </si>
  <si>
    <t xml:space="preserve">PCI</t>
  </si>
  <si>
    <t xml:space="preserve">kJ/kg</t>
  </si>
  <si>
    <t xml:space="preserve">Valor típico (Payri &amp; Desantes, 2011)</t>
  </si>
  <si>
    <t xml:space="preserve">Densidad de la gasolina</t>
  </si>
  <si>
    <t xml:space="preserve">ρ_f</t>
  </si>
  <si>
    <t xml:space="preserve">kg/L</t>
  </si>
  <si>
    <t xml:space="preserve">Valor típico</t>
  </si>
  <si>
    <t xml:space="preserve">Fracción de energía al refrigerante</t>
  </si>
  <si>
    <t xml:space="preserve">f_ref</t>
  </si>
  <si>
    <t xml:space="preserve">—</t>
  </si>
  <si>
    <t xml:space="preserve">Valor orientativo (Figura 1 de la guía)</t>
  </si>
  <si>
    <t xml:space="preserve">Fracción de energía al escape</t>
  </si>
  <si>
    <t xml:space="preserve">f_esc</t>
  </si>
  <si>
    <t xml:space="preserve">Factor de emisión de CO₂</t>
  </si>
  <si>
    <t xml:space="preserve">FE</t>
  </si>
  <si>
    <t xml:space="preserve">kg CO₂/L</t>
  </si>
  <si>
    <t xml:space="preserve">Aproximado para gasolina</t>
  </si>
  <si>
    <t xml:space="preserve">Mejora de eficiencia a evaluar</t>
  </si>
  <si>
    <t xml:space="preserve">Δη</t>
  </si>
  <si>
    <t xml:space="preserve">5 puntos porcentuales</t>
  </si>
  <si>
    <t xml:space="preserve">Balance de energía por caso (Tabla 1 de la guía)</t>
  </si>
  <si>
    <t xml:space="preserve">Ingrese potencia y consumo de cada caso</t>
  </si>
  <si>
    <t xml:space="preserve">Caso</t>
  </si>
  <si>
    <t xml:space="preserve">P_e (kW)</t>
  </si>
  <si>
    <t xml:space="preserve">Consumo (L/h)</t>
  </si>
  <si>
    <t xml:space="preserve">ṁ_f (kg/s)</t>
  </si>
  <si>
    <t xml:space="preserve">Energía aportada (kW)</t>
  </si>
  <si>
    <t xml:space="preserve">η_e (%)</t>
  </si>
  <si>
    <t xml:space="preserve">Q_ref (kW)</t>
  </si>
  <si>
    <t xml:space="preserve">Q_esc (kW)</t>
  </si>
  <si>
    <t xml:space="preserve">Q_otros (kW)</t>
  </si>
  <si>
    <t xml:space="preserve">Comprobación (kW)</t>
  </si>
  <si>
    <t xml:space="preserve">g_e (g/kWh)</t>
  </si>
  <si>
    <t xml:space="preserve">A</t>
  </si>
  <si>
    <t xml:space="preserve">B</t>
  </si>
  <si>
    <t xml:space="preserve">C</t>
  </si>
  <si>
    <t xml:space="preserve">Motor lab.</t>
  </si>
  <si>
    <t xml:space="preserve">Ejemplo resuelto (caso B): ṁ_f = 18·0,74/3600 = 0,0037 kg/s; energía = 0,0037·43 000 = 159,1 kW; η_e = 60/159,1 = 37,7 %.</t>
  </si>
  <si>
    <t xml:space="preserve">Si Q_otros resulta negativo, los porcentajes supuestos no son compatibles con la eficiencia calculada: revise f_ref y f_esc.</t>
  </si>
  <si>
    <t xml:space="preserve">Análisis paramétrico: η_e en función del consumo (P_e constante)</t>
  </si>
  <si>
    <t xml:space="preserve">Equivale a la Parametric Table de EES</t>
  </si>
  <si>
    <t xml:space="preserve">Potencia constante P_e (kW)</t>
  </si>
  <si>
    <t xml:space="preserve">Nota. Con 12 L/h y 60 kW la eficiencia supera la de un motor real; se incluye para mostrar la tendencia.</t>
  </si>
  <si>
    <t xml:space="preserve">Emisiones de CO₂ asociadas al consumo (Tabla 3 de la guía)</t>
  </si>
  <si>
    <t xml:space="preserve">CO₂ = consumo · factor de emisión</t>
  </si>
  <si>
    <t xml:space="preserve">CO₂ (kg/h)</t>
  </si>
  <si>
    <t xml:space="preserve">η_e actual (%)</t>
  </si>
  <si>
    <t xml:space="preserve">η_e mejorada (%)</t>
  </si>
  <si>
    <t xml:space="preserve">Consumo mejorado (L/h)</t>
  </si>
  <si>
    <t xml:space="preserve">CO₂ mejorado (kg/h)</t>
  </si>
  <si>
    <t xml:space="preserve">CO₂ evitado (kg/h)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</si>
</sst>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00"/>
    <numFmt numFmtId="168" formatCode="0.0"/>
    <numFmt numFmtId="169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A5A5"/>
      <rgbColor rgb="FF878787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Eficiencia efectiva en función del consumo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"η_e (%)"</c:f>
              <c:strCache>
                <c:ptCount val="1"/>
                <c:pt idx="0">
                  <c:v>η_e (%)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Parametrico!$A$7:$A$16</c:f>
              <c:numCache>
                <c:formatCode>0.0</c:formatCode>
                <c:ptCount val="10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26</c:v>
                </c:pt>
                <c:pt idx="8">
                  <c:v>28</c:v>
                </c:pt>
                <c:pt idx="9">
                  <c:v>30</c:v>
                </c:pt>
              </c:numCache>
            </c:numRef>
          </c:xVal>
          <c:yVal>
            <c:numRef>
              <c:f>Parametrico!$D$7:$D$16</c:f>
              <c:numCache>
                <c:formatCode>0.00</c:formatCode>
                <c:ptCount val="10"/>
                <c:pt idx="0">
                  <c:v>56.5681961030798</c:v>
                </c:pt>
                <c:pt idx="1">
                  <c:v>48.4870252312113</c:v>
                </c:pt>
                <c:pt idx="2">
                  <c:v>42.4261470773099</c:v>
                </c:pt>
                <c:pt idx="3">
                  <c:v>37.7121307353866</c:v>
                </c:pt>
                <c:pt idx="4">
                  <c:v>33.9409176618479</c:v>
                </c:pt>
                <c:pt idx="5">
                  <c:v>30.855379692589</c:v>
                </c:pt>
                <c:pt idx="6">
                  <c:v>28.2840980515399</c:v>
                </c:pt>
                <c:pt idx="7">
                  <c:v>26.1083982014215</c:v>
                </c:pt>
                <c:pt idx="8">
                  <c:v>24.2435126156056</c:v>
                </c:pt>
                <c:pt idx="9">
                  <c:v>22.6272784412319</c:v>
                </c:pt>
              </c:numCache>
            </c:numRef>
          </c:yVal>
          <c:smooth val="1"/>
        </c:ser>
        <c:axId val="84086956"/>
        <c:axId val="56111594"/>
      </c:scatterChart>
      <c:valAx>
        <c:axId val="840869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Consumo de combustible (L/h)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11594"/>
        <c:crosses val="autoZero"/>
        <c:crossBetween val="midCat"/>
      </c:valAx>
      <c:valAx>
        <c:axId val="56111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η_e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869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de energía por caso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Balance!B5</c:f>
              <c:strCache>
                <c:ptCount val="1"/>
                <c:pt idx="0">
                  <c:v>P_e (kW)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Balance!$A$6:$A$8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Balance!$B$6:$B$8</c:f>
              <c:numCache>
                <c:formatCode>0.00</c:formatCode>
                <c:ptCount val="3"/>
                <c:pt idx="0">
                  <c:v>30</c:v>
                </c:pt>
                <c:pt idx="1">
                  <c:v>60</c:v>
                </c:pt>
                <c:pt idx="2">
                  <c:v>75</c:v>
                </c:pt>
              </c:numCache>
            </c:numRef>
          </c:val>
        </c:ser>
        <c:ser>
          <c:idx val="1"/>
          <c:order val="1"/>
          <c:tx>
            <c:strRef>
              <c:f>Balance!G5</c:f>
              <c:strCache>
                <c:ptCount val="1"/>
                <c:pt idx="0">
                  <c:v>Q_ref (kW)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Balance!$A$6:$A$8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Balance!$G$6:$G$8</c:f>
              <c:numCache>
                <c:formatCode>0.00</c:formatCode>
                <c:ptCount val="3"/>
                <c:pt idx="0">
                  <c:v>28.4612222222222</c:v>
                </c:pt>
                <c:pt idx="1">
                  <c:v>44.548</c:v>
                </c:pt>
                <c:pt idx="2">
                  <c:v>64.3471111111111</c:v>
                </c:pt>
              </c:numCache>
            </c:numRef>
          </c:val>
        </c:ser>
        <c:ser>
          <c:idx val="2"/>
          <c:order val="2"/>
          <c:tx>
            <c:strRef>
              <c:f>Balance!H5</c:f>
              <c:strCache>
                <c:ptCount val="1"/>
                <c:pt idx="0">
                  <c:v>Q_esc (kW)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Balance!$A$6:$A$8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Balance!$H$6:$H$8</c:f>
              <c:numCache>
                <c:formatCode>0.00</c:formatCode>
                <c:ptCount val="3"/>
                <c:pt idx="0">
                  <c:v>33.5435833333333</c:v>
                </c:pt>
                <c:pt idx="1">
                  <c:v>52.503</c:v>
                </c:pt>
                <c:pt idx="2">
                  <c:v>75.8376666666667</c:v>
                </c:pt>
              </c:numCache>
            </c:numRef>
          </c:val>
        </c:ser>
        <c:ser>
          <c:idx val="3"/>
          <c:order val="3"/>
          <c:tx>
            <c:strRef>
              <c:f>Balance!I5</c:f>
              <c:strCache>
                <c:ptCount val="1"/>
                <c:pt idx="0">
                  <c:v>Q_otros (kW)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Balance!$A$6:$A$8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Balance!$I$6:$I$8</c:f>
              <c:numCache>
                <c:formatCode>0.00</c:formatCode>
                <c:ptCount val="3"/>
                <c:pt idx="0">
                  <c:v>9.64241666666666</c:v>
                </c:pt>
                <c:pt idx="1">
                  <c:v>2.04899999999999</c:v>
                </c:pt>
                <c:pt idx="2">
                  <c:v>14.6263333333333</c:v>
                </c:pt>
              </c:numCache>
            </c:numRef>
          </c:val>
        </c:ser>
        <c:gapWidth val="150"/>
        <c:overlap val="100"/>
        <c:axId val="93964534"/>
        <c:axId val="10869907"/>
      </c:barChart>
      <c:catAx>
        <c:axId val="93964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69907"/>
        <c:crosses val="autoZero"/>
        <c:auto val="1"/>
        <c:lblAlgn val="ctr"/>
        <c:lblOffset val="100"/>
        <c:noMultiLvlLbl val="0"/>
      </c:catAx>
      <c:valAx>
        <c:axId val="10869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645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43000</v>
      </c>
      <c r="D6" s="5" t="s">
        <v>10</v>
      </c>
      <c r="E6" s="5" t="s">
        <v>11</v>
      </c>
    </row>
    <row r="7" customFormat="false" ht="15" hidden="false" customHeight="false" outlineLevel="0" collapsed="false">
      <c r="A7" s="5" t="s">
        <v>12</v>
      </c>
      <c r="B7" s="5" t="s">
        <v>13</v>
      </c>
      <c r="C7" s="7" t="n">
        <v>0.74</v>
      </c>
      <c r="D7" s="5" t="s">
        <v>14</v>
      </c>
      <c r="E7" s="5" t="s">
        <v>15</v>
      </c>
    </row>
    <row r="8" customFormat="false" ht="15" hidden="false" customHeight="false" outlineLevel="0" collapsed="false">
      <c r="A8" s="5" t="s">
        <v>16</v>
      </c>
      <c r="B8" s="5" t="s">
        <v>17</v>
      </c>
      <c r="C8" s="7" t="n">
        <v>0.28</v>
      </c>
      <c r="D8" s="5" t="s">
        <v>18</v>
      </c>
      <c r="E8" s="5" t="s">
        <v>19</v>
      </c>
    </row>
    <row r="9" customFormat="false" ht="15" hidden="false" customHeight="false" outlineLevel="0" collapsed="false">
      <c r="A9" s="5" t="s">
        <v>20</v>
      </c>
      <c r="B9" s="5" t="s">
        <v>21</v>
      </c>
      <c r="C9" s="7" t="n">
        <v>0.33</v>
      </c>
      <c r="D9" s="5" t="s">
        <v>18</v>
      </c>
      <c r="E9" s="5" t="s">
        <v>19</v>
      </c>
    </row>
    <row r="10" customFormat="false" ht="15" hidden="false" customHeight="false" outlineLevel="0" collapsed="false">
      <c r="A10" s="5" t="s">
        <v>22</v>
      </c>
      <c r="B10" s="5" t="s">
        <v>23</v>
      </c>
      <c r="C10" s="7" t="n">
        <v>2.3</v>
      </c>
      <c r="D10" s="5" t="s">
        <v>24</v>
      </c>
      <c r="E10" s="5" t="s">
        <v>25</v>
      </c>
    </row>
    <row r="11" customFormat="false" ht="15" hidden="false" customHeight="false" outlineLevel="0" collapsed="false">
      <c r="A11" s="5" t="s">
        <v>26</v>
      </c>
      <c r="B11" s="5" t="s">
        <v>27</v>
      </c>
      <c r="C11" s="7" t="n">
        <v>0.05</v>
      </c>
      <c r="D11" s="5" t="s">
        <v>18</v>
      </c>
      <c r="E11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</row>
    <row r="6" customFormat="false" ht="15" hidden="false" customHeight="false" outlineLevel="0" collapsed="false">
      <c r="A6" s="8" t="s">
        <v>42</v>
      </c>
      <c r="B6" s="7" t="n">
        <v>30</v>
      </c>
      <c r="C6" s="7" t="n">
        <v>11.5</v>
      </c>
      <c r="D6" s="9" t="n">
        <f aca="false">IF(C6="","",C6*Datos!$C$7/3600)</f>
        <v>0.00236388888888889</v>
      </c>
      <c r="E6" s="10" t="n">
        <f aca="false">IF(D6="","",D6*Datos!$C$6)</f>
        <v>101.647222222222</v>
      </c>
      <c r="F6" s="10" t="n">
        <f aca="false">IF(OR(E6="",B6=""),"",B6/E6*100)</f>
        <v>29.5138414450851</v>
      </c>
      <c r="G6" s="10" t="n">
        <f aca="false">IF(E6="","",Datos!$C$8*E6)</f>
        <v>28.4612222222222</v>
      </c>
      <c r="H6" s="10" t="n">
        <f aca="false">IF(E6="","",Datos!$C$9*E6)</f>
        <v>33.5435833333333</v>
      </c>
      <c r="I6" s="10" t="n">
        <f aca="false">IF(OR(E6="",B6=""),"",E6-B6-G6-H6)</f>
        <v>9.64241666666666</v>
      </c>
      <c r="J6" s="10" t="n">
        <f aca="false">IF(I6="","",B6+G6+H6+I6)</f>
        <v>101.647222222222</v>
      </c>
      <c r="K6" s="11" t="n">
        <f aca="false">IF(F6="","",D6*3600*1000/B6)</f>
        <v>283.666666666667</v>
      </c>
    </row>
    <row r="7" customFormat="false" ht="15" hidden="false" customHeight="false" outlineLevel="0" collapsed="false">
      <c r="A7" s="8" t="s">
        <v>43</v>
      </c>
      <c r="B7" s="7" t="n">
        <v>60</v>
      </c>
      <c r="C7" s="7" t="n">
        <v>18</v>
      </c>
      <c r="D7" s="9" t="n">
        <f aca="false">IF(C7="","",C7*Datos!$C$7/3600)</f>
        <v>0.0037</v>
      </c>
      <c r="E7" s="10" t="n">
        <f aca="false">IF(D7="","",D7*Datos!$C$6)</f>
        <v>159.1</v>
      </c>
      <c r="F7" s="10" t="n">
        <f aca="false">IF(OR(E7="",B7=""),"",B7/E7*100)</f>
        <v>37.7121307353866</v>
      </c>
      <c r="G7" s="10" t="n">
        <f aca="false">IF(E7="","",Datos!$C$8*E7)</f>
        <v>44.548</v>
      </c>
      <c r="H7" s="10" t="n">
        <f aca="false">IF(E7="","",Datos!$C$9*E7)</f>
        <v>52.503</v>
      </c>
      <c r="I7" s="10" t="n">
        <f aca="false">IF(OR(E7="",B7=""),"",E7-B7-G7-H7)</f>
        <v>2.04899999999999</v>
      </c>
      <c r="J7" s="10" t="n">
        <f aca="false">IF(I7="","",B7+G7+H7+I7)</f>
        <v>159.1</v>
      </c>
      <c r="K7" s="11" t="n">
        <f aca="false">IF(F7="","",D7*3600*1000/B7)</f>
        <v>222</v>
      </c>
    </row>
    <row r="8" customFormat="false" ht="15" hidden="false" customHeight="false" outlineLevel="0" collapsed="false">
      <c r="A8" s="8" t="s">
        <v>44</v>
      </c>
      <c r="B8" s="7" t="n">
        <v>75</v>
      </c>
      <c r="C8" s="7" t="n">
        <v>26</v>
      </c>
      <c r="D8" s="9" t="n">
        <f aca="false">IF(C8="","",C8*Datos!$C$7/3600)</f>
        <v>0.00534444444444444</v>
      </c>
      <c r="E8" s="10" t="n">
        <f aca="false">IF(D8="","",D8*Datos!$C$6)</f>
        <v>229.811111111111</v>
      </c>
      <c r="F8" s="10" t="n">
        <f aca="false">IF(OR(E8="",B8=""),"",B8/E8*100)</f>
        <v>32.6354977517768</v>
      </c>
      <c r="G8" s="10" t="n">
        <f aca="false">IF(E8="","",Datos!$C$8*E8)</f>
        <v>64.3471111111111</v>
      </c>
      <c r="H8" s="10" t="n">
        <f aca="false">IF(E8="","",Datos!$C$9*E8)</f>
        <v>75.8376666666667</v>
      </c>
      <c r="I8" s="10" t="n">
        <f aca="false">IF(OR(E8="",B8=""),"",E8-B8-G8-H8)</f>
        <v>14.6263333333333</v>
      </c>
      <c r="J8" s="10" t="n">
        <f aca="false">IF(I8="","",B8+G8+H8+I8)</f>
        <v>229.811111111111</v>
      </c>
      <c r="K8" s="11" t="n">
        <f aca="false">IF(F8="","",D8*3600*1000/B8)</f>
        <v>256.533333333333</v>
      </c>
    </row>
    <row r="9" customFormat="false" ht="15" hidden="false" customHeight="false" outlineLevel="0" collapsed="false">
      <c r="A9" s="8" t="s">
        <v>45</v>
      </c>
      <c r="B9" s="7"/>
      <c r="C9" s="7"/>
      <c r="D9" s="9" t="str">
        <f aca="false">IF(C9="","",C9*Datos!$C$7/3600)</f>
        <v/>
      </c>
      <c r="E9" s="10" t="str">
        <f aca="false">IF(D9="","",D9*Datos!$C$6)</f>
        <v/>
      </c>
      <c r="F9" s="10" t="str">
        <f aca="false">IF(OR(E9="",B9=""),"",B9/E9*100)</f>
        <v/>
      </c>
      <c r="G9" s="10" t="str">
        <f aca="false">IF(E9="","",Datos!$C$8*E9)</f>
        <v/>
      </c>
      <c r="H9" s="10" t="str">
        <f aca="false">IF(E9="","",Datos!$C$9*E9)</f>
        <v/>
      </c>
      <c r="I9" s="10" t="str">
        <f aca="false">IF(OR(E9="",B9=""),"",E9-B9-G9-H9)</f>
        <v/>
      </c>
      <c r="J9" s="10" t="str">
        <f aca="false">IF(I9="","",B9+G9+H9+I9)</f>
        <v/>
      </c>
      <c r="K9" s="11" t="str">
        <f aca="false">IF(F9="","",D9*3600*1000/B9)</f>
        <v/>
      </c>
    </row>
    <row r="11" customFormat="false" ht="15" hidden="false" customHeight="false" outlineLevel="0" collapsed="false">
      <c r="A11" s="12" t="s">
        <v>46</v>
      </c>
    </row>
    <row r="12" customFormat="false" ht="15" hidden="false" customHeight="false" outlineLevel="0" collapsed="false">
      <c r="A12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13" t="s">
        <v>50</v>
      </c>
      <c r="C4" s="14" t="n">
        <v>60</v>
      </c>
    </row>
    <row r="6" customFormat="false" ht="31.5" hidden="false" customHeight="true" outlineLevel="0" collapsed="false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</row>
    <row r="7" customFormat="false" ht="15" hidden="false" customHeight="false" outlineLevel="0" collapsed="false">
      <c r="A7" s="14" t="n">
        <v>12</v>
      </c>
      <c r="B7" s="9" t="n">
        <f aca="false">A7*Datos!$C$7/3600</f>
        <v>0.00246666666666667</v>
      </c>
      <c r="C7" s="10" t="n">
        <f aca="false">B7*Datos!$C$6</f>
        <v>106.066666666667</v>
      </c>
      <c r="D7" s="10" t="n">
        <f aca="false">$C$4/C7*100</f>
        <v>56.5681961030798</v>
      </c>
      <c r="E7" s="10" t="n">
        <f aca="false">Datos!$C$8*C7</f>
        <v>29.6986666666667</v>
      </c>
      <c r="F7" s="10" t="n">
        <f aca="false">Datos!$C$9*C7</f>
        <v>35.002</v>
      </c>
    </row>
    <row r="8" customFormat="false" ht="15" hidden="false" customHeight="false" outlineLevel="0" collapsed="false">
      <c r="A8" s="14" t="n">
        <v>14</v>
      </c>
      <c r="B8" s="9" t="n">
        <f aca="false">A8*Datos!$C$7/3600</f>
        <v>0.00287777777777778</v>
      </c>
      <c r="C8" s="10" t="n">
        <f aca="false">B8*Datos!$C$6</f>
        <v>123.744444444444</v>
      </c>
      <c r="D8" s="10" t="n">
        <f aca="false">$C$4/C8*100</f>
        <v>48.4870252312113</v>
      </c>
      <c r="E8" s="10" t="n">
        <f aca="false">Datos!$C$8*C8</f>
        <v>34.6484444444444</v>
      </c>
      <c r="F8" s="10" t="n">
        <f aca="false">Datos!$C$9*C8</f>
        <v>40.8356666666667</v>
      </c>
    </row>
    <row r="9" customFormat="false" ht="15" hidden="false" customHeight="false" outlineLevel="0" collapsed="false">
      <c r="A9" s="14" t="n">
        <v>16</v>
      </c>
      <c r="B9" s="9" t="n">
        <f aca="false">A9*Datos!$C$7/3600</f>
        <v>0.00328888888888889</v>
      </c>
      <c r="C9" s="10" t="n">
        <f aca="false">B9*Datos!$C$6</f>
        <v>141.422222222222</v>
      </c>
      <c r="D9" s="10" t="n">
        <f aca="false">$C$4/C9*100</f>
        <v>42.4261470773099</v>
      </c>
      <c r="E9" s="10" t="n">
        <f aca="false">Datos!$C$8*C9</f>
        <v>39.5982222222222</v>
      </c>
      <c r="F9" s="10" t="n">
        <f aca="false">Datos!$C$9*C9</f>
        <v>46.6693333333333</v>
      </c>
    </row>
    <row r="10" customFormat="false" ht="15" hidden="false" customHeight="false" outlineLevel="0" collapsed="false">
      <c r="A10" s="14" t="n">
        <v>18</v>
      </c>
      <c r="B10" s="9" t="n">
        <f aca="false">A10*Datos!$C$7/3600</f>
        <v>0.0037</v>
      </c>
      <c r="C10" s="10" t="n">
        <f aca="false">B10*Datos!$C$6</f>
        <v>159.1</v>
      </c>
      <c r="D10" s="10" t="n">
        <f aca="false">$C$4/C10*100</f>
        <v>37.7121307353866</v>
      </c>
      <c r="E10" s="10" t="n">
        <f aca="false">Datos!$C$8*C10</f>
        <v>44.548</v>
      </c>
      <c r="F10" s="10" t="n">
        <f aca="false">Datos!$C$9*C10</f>
        <v>52.503</v>
      </c>
    </row>
    <row r="11" customFormat="false" ht="15" hidden="false" customHeight="false" outlineLevel="0" collapsed="false">
      <c r="A11" s="14" t="n">
        <v>20</v>
      </c>
      <c r="B11" s="9" t="n">
        <f aca="false">A11*Datos!$C$7/3600</f>
        <v>0.00411111111111111</v>
      </c>
      <c r="C11" s="10" t="n">
        <f aca="false">B11*Datos!$C$6</f>
        <v>176.777777777778</v>
      </c>
      <c r="D11" s="10" t="n">
        <f aca="false">$C$4/C11*100</f>
        <v>33.9409176618479</v>
      </c>
      <c r="E11" s="10" t="n">
        <f aca="false">Datos!$C$8*C11</f>
        <v>49.4977777777778</v>
      </c>
      <c r="F11" s="10" t="n">
        <f aca="false">Datos!$C$9*C11</f>
        <v>58.3366666666667</v>
      </c>
    </row>
    <row r="12" customFormat="false" ht="15" hidden="false" customHeight="false" outlineLevel="0" collapsed="false">
      <c r="A12" s="14" t="n">
        <v>22</v>
      </c>
      <c r="B12" s="9" t="n">
        <f aca="false">A12*Datos!$C$7/3600</f>
        <v>0.00452222222222222</v>
      </c>
      <c r="C12" s="10" t="n">
        <f aca="false">B12*Datos!$C$6</f>
        <v>194.455555555556</v>
      </c>
      <c r="D12" s="10" t="n">
        <f aca="false">$C$4/C12*100</f>
        <v>30.855379692589</v>
      </c>
      <c r="E12" s="10" t="n">
        <f aca="false">Datos!$C$8*C12</f>
        <v>54.4475555555556</v>
      </c>
      <c r="F12" s="10" t="n">
        <f aca="false">Datos!$C$9*C12</f>
        <v>64.1703333333334</v>
      </c>
    </row>
    <row r="13" customFormat="false" ht="15" hidden="false" customHeight="false" outlineLevel="0" collapsed="false">
      <c r="A13" s="14" t="n">
        <v>24</v>
      </c>
      <c r="B13" s="9" t="n">
        <f aca="false">A13*Datos!$C$7/3600</f>
        <v>0.00493333333333333</v>
      </c>
      <c r="C13" s="10" t="n">
        <f aca="false">B13*Datos!$C$6</f>
        <v>212.133333333333</v>
      </c>
      <c r="D13" s="10" t="n">
        <f aca="false">$C$4/C13*100</f>
        <v>28.2840980515399</v>
      </c>
      <c r="E13" s="10" t="n">
        <f aca="false">Datos!$C$8*C13</f>
        <v>59.3973333333333</v>
      </c>
      <c r="F13" s="10" t="n">
        <f aca="false">Datos!$C$9*C13</f>
        <v>70.004</v>
      </c>
    </row>
    <row r="14" customFormat="false" ht="15" hidden="false" customHeight="false" outlineLevel="0" collapsed="false">
      <c r="A14" s="14" t="n">
        <v>26</v>
      </c>
      <c r="B14" s="9" t="n">
        <f aca="false">A14*Datos!$C$7/3600</f>
        <v>0.00534444444444444</v>
      </c>
      <c r="C14" s="10" t="n">
        <f aca="false">B14*Datos!$C$6</f>
        <v>229.811111111111</v>
      </c>
      <c r="D14" s="10" t="n">
        <f aca="false">$C$4/C14*100</f>
        <v>26.1083982014215</v>
      </c>
      <c r="E14" s="10" t="n">
        <f aca="false">Datos!$C$8*C14</f>
        <v>64.3471111111111</v>
      </c>
      <c r="F14" s="10" t="n">
        <f aca="false">Datos!$C$9*C14</f>
        <v>75.8376666666667</v>
      </c>
    </row>
    <row r="15" customFormat="false" ht="15" hidden="false" customHeight="false" outlineLevel="0" collapsed="false">
      <c r="A15" s="14" t="n">
        <v>28</v>
      </c>
      <c r="B15" s="9" t="n">
        <f aca="false">A15*Datos!$C$7/3600</f>
        <v>0.00575555555555556</v>
      </c>
      <c r="C15" s="10" t="n">
        <f aca="false">B15*Datos!$C$6</f>
        <v>247.488888888889</v>
      </c>
      <c r="D15" s="10" t="n">
        <f aca="false">$C$4/C15*100</f>
        <v>24.2435126156056</v>
      </c>
      <c r="E15" s="10" t="n">
        <f aca="false">Datos!$C$8*C15</f>
        <v>69.2968888888889</v>
      </c>
      <c r="F15" s="10" t="n">
        <f aca="false">Datos!$C$9*C15</f>
        <v>81.6713333333333</v>
      </c>
    </row>
    <row r="16" customFormat="false" ht="15" hidden="false" customHeight="false" outlineLevel="0" collapsed="false">
      <c r="A16" s="14" t="n">
        <v>30</v>
      </c>
      <c r="B16" s="9" t="n">
        <f aca="false">A16*Datos!$C$7/3600</f>
        <v>0.00616666666666667</v>
      </c>
      <c r="C16" s="10" t="n">
        <f aca="false">B16*Datos!$C$6</f>
        <v>265.166666666667</v>
      </c>
      <c r="D16" s="10" t="n">
        <f aca="false">$C$4/C16*100</f>
        <v>22.6272784412319</v>
      </c>
      <c r="E16" s="10" t="n">
        <f aca="false">Datos!$C$8*C16</f>
        <v>74.2466666666667</v>
      </c>
      <c r="F16" s="10" t="n">
        <f aca="false">Datos!$C$9*C16</f>
        <v>87.505</v>
      </c>
    </row>
    <row r="18" customFormat="false" ht="15" hidden="false" customHeight="false" outlineLevel="0" collapsed="false">
      <c r="A18" s="1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1.5" hidden="false" customHeight="true" outlineLevel="0" collapsed="false">
      <c r="A4" s="4" t="s">
        <v>31</v>
      </c>
      <c r="B4" s="4" t="s">
        <v>33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</row>
    <row r="5" customFormat="false" ht="15" hidden="false" customHeight="false" outlineLevel="0" collapsed="false">
      <c r="A5" s="15" t="str">
        <f aca="false">Balance!A6</f>
        <v>A</v>
      </c>
      <c r="B5" s="10" t="n">
        <f aca="false">IF(Balance!C6="","",Balance!C6)</f>
        <v>11.5</v>
      </c>
      <c r="C5" s="10" t="n">
        <f aca="false">IF(B5="","",B5*Datos!$C$10)</f>
        <v>26.45</v>
      </c>
      <c r="D5" s="10" t="n">
        <f aca="false">IF(Balance!F6="","",Balance!F6)</f>
        <v>29.5138414450851</v>
      </c>
      <c r="E5" s="10" t="n">
        <f aca="false">IF(D5="","",D5+Datos!$C$11*100)</f>
        <v>34.5138414450851</v>
      </c>
      <c r="F5" s="10" t="n">
        <f aca="false">IF(E5="","",Balance!B6/(E5/100)/Datos!$C$6/Datos!$C$7*3600)</f>
        <v>9.8340017340148</v>
      </c>
      <c r="G5" s="10" t="n">
        <f aca="false">IF(F5="","",F5*Datos!$C$10)</f>
        <v>22.618203988234</v>
      </c>
      <c r="H5" s="10" t="n">
        <f aca="false">IF(G5="","",C5-G5)</f>
        <v>3.83179601176596</v>
      </c>
    </row>
    <row r="6" customFormat="false" ht="15" hidden="false" customHeight="false" outlineLevel="0" collapsed="false">
      <c r="A6" s="15" t="str">
        <f aca="false">Balance!A7</f>
        <v>B</v>
      </c>
      <c r="B6" s="10" t="n">
        <f aca="false">IF(Balance!C7="","",Balance!C7)</f>
        <v>18</v>
      </c>
      <c r="C6" s="10" t="n">
        <f aca="false">IF(B6="","",B6*Datos!$C$10)</f>
        <v>41.4</v>
      </c>
      <c r="D6" s="10" t="n">
        <f aca="false">IF(Balance!F7="","",Balance!F7)</f>
        <v>37.7121307353866</v>
      </c>
      <c r="E6" s="10" t="n">
        <f aca="false">IF(D6="","",D6+Datos!$C$11*100)</f>
        <v>42.7121307353866</v>
      </c>
      <c r="F6" s="10" t="n">
        <f aca="false">IF(E6="","",Balance!B7/(E6/100)/Datos!$C$6/Datos!$C$7*3600)</f>
        <v>15.8928702818041</v>
      </c>
      <c r="G6" s="10" t="n">
        <f aca="false">IF(F6="","",F6*Datos!$C$10)</f>
        <v>36.5536016481495</v>
      </c>
      <c r="H6" s="10" t="n">
        <f aca="false">IF(G6="","",C6-G6)</f>
        <v>4.84639835185049</v>
      </c>
    </row>
    <row r="7" customFormat="false" ht="15" hidden="false" customHeight="false" outlineLevel="0" collapsed="false">
      <c r="A7" s="15" t="str">
        <f aca="false">Balance!A8</f>
        <v>C</v>
      </c>
      <c r="B7" s="10" t="n">
        <f aca="false">IF(Balance!C8="","",Balance!C8)</f>
        <v>26</v>
      </c>
      <c r="C7" s="10" t="n">
        <f aca="false">IF(B7="","",B7*Datos!$C$10)</f>
        <v>59.8</v>
      </c>
      <c r="D7" s="10" t="n">
        <f aca="false">IF(Balance!F8="","",Balance!F8)</f>
        <v>32.6354977517768</v>
      </c>
      <c r="E7" s="10" t="n">
        <f aca="false">IF(D7="","",D7+Datos!$C$11*100)</f>
        <v>37.6354977517768</v>
      </c>
      <c r="F7" s="10" t="n">
        <f aca="false">IF(E7="","",Balance!B8/(E7/100)/Datos!$C$6/Datos!$C$7*3600)</f>
        <v>22.5458142507531</v>
      </c>
      <c r="G7" s="10" t="n">
        <f aca="false">IF(F7="","",F7*Datos!$C$10)</f>
        <v>51.8553727767322</v>
      </c>
      <c r="H7" s="10" t="n">
        <f aca="false">IF(G7="","",C7-G7)</f>
        <v>7.94462722326779</v>
      </c>
    </row>
    <row r="8" customFormat="false" ht="15" hidden="false" customHeight="false" outlineLevel="0" collapsed="false">
      <c r="A8" s="15" t="str">
        <f aca="false">Balance!A9</f>
        <v>Motor lab.</v>
      </c>
      <c r="B8" s="10" t="str">
        <f aca="false">IF(Balance!C9="","",Balance!C9)</f>
        <v/>
      </c>
      <c r="C8" s="10" t="str">
        <f aca="false">IF(B8="","",B8*Datos!$C$10)</f>
        <v/>
      </c>
      <c r="D8" s="10" t="str">
        <f aca="false">IF(Balance!F9="","",Balance!F9)</f>
        <v/>
      </c>
      <c r="E8" s="10" t="str">
        <f aca="false">IF(D8="","",D8+Datos!$C$11*100)</f>
        <v/>
      </c>
      <c r="F8" s="10" t="str">
        <f aca="false">IF(E8="","",Balance!B9/(E8/100)/Datos!$C$6/Datos!$C$7*3600)</f>
        <v/>
      </c>
      <c r="G8" s="10" t="str">
        <f aca="false">IF(F8="","",F8*Datos!$C$10)</f>
        <v/>
      </c>
      <c r="H8" s="10" t="str">
        <f aca="false">IF(G8="","",C8-G8)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2026-09-15T20:58:57Z</dcterms:created>
  <dc:creator>openpyxl</dc:creator>
  <dc:description/>
  <dc:language>en-US</dc:language>
  <cp:lastModifiedBy/>
  <dcterms:modified xsi:type="dcterms:W3CDTF">2026-09-15T20:58:58Z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