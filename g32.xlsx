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oke" sheetId="1" state="visible" r:id="rId3"/>
    <sheet name="Par" sheetId="2" state="visible" r:id="rId4"/>
    <sheet name="Calor" sheetId="3" state="visible" r:id="rId5"/>
    <sheet name="Grafic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<sst xmlns="http://schemas.openxmlformats.org/spreadsheetml/2006/main" count="78" uniqueCount="63">
  <si>
    <t xml:space="preserve">GUÍA 3 – LEY DE HOOKE, PAR Y CALOR</t>
  </si>
  <si>
    <t xml:space="preserve">F = m·g;  k = pendiente de F vs. Δx;  W = ½·k·Δx²</t>
  </si>
  <si>
    <t xml:space="preserve">Leyenda: celdas amarillas con texto azul = datos de entrada (editar). Texto negro = fórmulas (no editar).</t>
  </si>
  <si>
    <t xml:space="preserve">Gravedad g (m/s²)</t>
  </si>
  <si>
    <t xml:space="preserve">Masa (kg)</t>
  </si>
  <si>
    <t xml:space="preserve">F (N)</t>
  </si>
  <si>
    <t xml:space="preserve">Δx resorte 1 (m)</t>
  </si>
  <si>
    <t xml:space="preserve">Δx resorte 2 (m)</t>
  </si>
  <si>
    <t xml:space="preserve">F/Δx resorte 1 (N/m)</t>
  </si>
  <si>
    <t xml:space="preserve">F/Δx resorte 2 (N/m)</t>
  </si>
  <si>
    <t xml:space="preserve">Ajuste lineal por mínimos cuadrados</t>
  </si>
  <si>
    <t xml:space="preserve">Parámetro</t>
  </si>
  <si>
    <t xml:space="preserve">Resorte 1</t>
  </si>
  <si>
    <t xml:space="preserve">Resorte 2</t>
  </si>
  <si>
    <t xml:space="preserve">Unidad</t>
  </si>
  <si>
    <t xml:space="preserve">Constante k (pendiente)</t>
  </si>
  <si>
    <t xml:space="preserve">N/m</t>
  </si>
  <si>
    <t xml:space="preserve">Intersección</t>
  </si>
  <si>
    <t xml:space="preserve">N</t>
  </si>
  <si>
    <t xml:space="preserve">Coeficiente R²</t>
  </si>
  <si>
    <t xml:space="preserve">—</t>
  </si>
  <si>
    <t xml:space="preserve">Trabajo con carga máxima W = ½·k·Δx²</t>
  </si>
  <si>
    <t xml:space="preserve">J</t>
  </si>
  <si>
    <t xml:space="preserve">Muelle de válvula: k = (F_apertura − F_instalada)/(h_instalada − h_apertura)</t>
  </si>
  <si>
    <t xml:space="preserve">Símbolo</t>
  </si>
  <si>
    <t xml:space="preserve">Valor</t>
  </si>
  <si>
    <t xml:space="preserve">Fuente / observación</t>
  </si>
  <si>
    <t xml:space="preserve">Fuerza a altura instalada</t>
  </si>
  <si>
    <t xml:space="preserve">F_1</t>
  </si>
  <si>
    <t xml:space="preserve">Manual (ejemplo)</t>
  </si>
  <si>
    <t xml:space="preserve">Fuerza a altura de apertura</t>
  </si>
  <si>
    <t xml:space="preserve">F_2</t>
  </si>
  <si>
    <t xml:space="preserve">Altura instalada</t>
  </si>
  <si>
    <t xml:space="preserve">h_1</t>
  </si>
  <si>
    <t xml:space="preserve">mm</t>
  </si>
  <si>
    <t xml:space="preserve">Altura de apertura</t>
  </si>
  <si>
    <t xml:space="preserve">h_2</t>
  </si>
  <si>
    <t xml:space="preserve">k del muelle de válvula</t>
  </si>
  <si>
    <t xml:space="preserve">N/mm</t>
  </si>
  <si>
    <t xml:space="preserve">Par y trabajo en un brazo de palanca</t>
  </si>
  <si>
    <t xml:space="preserve">M = F·r;  W = M·θ</t>
  </si>
  <si>
    <t xml:space="preserve">Brazo efectivo r (m)</t>
  </si>
  <si>
    <t xml:space="preserve">Par en la llave (N·m)</t>
  </si>
  <si>
    <t xml:space="preserve">F medida (N)</t>
  </si>
  <si>
    <t xml:space="preserve">M = F·r (N·m)</t>
  </si>
  <si>
    <t xml:space="preserve">Error (%)</t>
  </si>
  <si>
    <t xml:space="preserve">Trabajo 1/4 de vuelta (J)</t>
  </si>
  <si>
    <t xml:space="preserve">Calor evacuado por el refrigerante</t>
  </si>
  <si>
    <t xml:space="preserve">Q = ṁ·c_p·(T_sal − T_ent)</t>
  </si>
  <si>
    <t xml:space="preserve">Caudal másico del refrigerante</t>
  </si>
  <si>
    <t xml:space="preserve">ṁ</t>
  </si>
  <si>
    <t xml:space="preserve">kg/s</t>
  </si>
  <si>
    <t xml:space="preserve">Valor orientativo de la guía</t>
  </si>
  <si>
    <t xml:space="preserve">Calor específico (50 % glicol)</t>
  </si>
  <si>
    <t xml:space="preserve">c_p</t>
  </si>
  <si>
    <t xml:space="preserve">J/(kg·K)</t>
  </si>
  <si>
    <t xml:space="preserve">Valor típico</t>
  </si>
  <si>
    <t xml:space="preserve">Tiempo (min)</t>
  </si>
  <si>
    <t xml:space="preserve">T manguera superior (°C)</t>
  </si>
  <si>
    <t xml:space="preserve">T manguera inferior (°C)</t>
  </si>
  <si>
    <t xml:space="preserve">ΔT (K)</t>
  </si>
  <si>
    <t xml:space="preserve">Q (kW)</t>
  </si>
  <si>
    <t xml:space="preserve">Mientras el termostato está cerrado el refrigerante no circula por el radiador: el cálculo es válido solo con el termostato abierto.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</si>
</sst>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00"/>
    <numFmt numFmtId="167" formatCode="0.0000"/>
    <numFmt numFmtId="168" formatCode="0.0"/>
    <numFmt numFmtId="169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Ley de Hooke – resorte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"Resorte 1"</c:f>
              <c:strCache>
                <c:ptCount val="1"/>
                <c:pt idx="0">
                  <c:v>Resorte 1</c:v>
                </c:pt>
              </c:strCache>
            </c:strRef>
          </c:tx>
          <c:spPr>
            <a:solidFill>
              <a:srgbClr val="2f5597"/>
            </a:solidFill>
            <a:ln w="24840">
              <a:solidFill>
                <a:srgbClr val="2f5597"/>
              </a:solidFill>
              <a:round/>
            </a:ln>
          </c:spPr>
          <c:marker>
            <c:symbol val="circle"/>
            <c:size val="5"/>
            <c:spPr>
              <a:solidFill>
                <a:srgbClr val="2f559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Hooke!$C$7:$C$11</c:f>
              <c:numCache>
                <c:formatCode>0.0000</c:formatCode>
                <c:ptCount val="5"/>
                <c:pt idx="0">
                  <c:v>0.0098</c:v>
                </c:pt>
                <c:pt idx="1">
                  <c:v>0.0197</c:v>
                </c:pt>
                <c:pt idx="2">
                  <c:v>0.0294</c:v>
                </c:pt>
                <c:pt idx="3">
                  <c:v>0.0393</c:v>
                </c:pt>
                <c:pt idx="4">
                  <c:v>0.0491</c:v>
                </c:pt>
              </c:numCache>
            </c:numRef>
          </c:xVal>
          <c:yVal>
            <c:numRef>
              <c:f>Hooke!$B$7:$B$11</c:f>
              <c:numCache>
                <c:formatCode>0.000</c:formatCode>
                <c:ptCount val="5"/>
                <c:pt idx="0">
                  <c:v>0.4905</c:v>
                </c:pt>
                <c:pt idx="1">
                  <c:v>0.981</c:v>
                </c:pt>
                <c:pt idx="2">
                  <c:v>1.4715</c:v>
                </c:pt>
                <c:pt idx="3">
                  <c:v>1.962</c:v>
                </c:pt>
                <c:pt idx="4">
                  <c:v>2.4525</c:v>
                </c:pt>
              </c:numCache>
            </c:numRef>
          </c:yVal>
          <c:smooth val="1"/>
        </c:ser>
        <c:axId val="42504059"/>
        <c:axId val="91172123"/>
      </c:scatterChart>
      <c:valAx>
        <c:axId val="4250405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Δx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172123"/>
        <c:crosses val="autoZero"/>
        <c:crossBetween val="midCat"/>
      </c:valAx>
      <c:valAx>
        <c:axId val="911721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50405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Ley de Hooke – resorte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"Resorte 2"</c:f>
              <c:strCache>
                <c:ptCount val="1"/>
                <c:pt idx="0">
                  <c:v>Resorte 2</c:v>
                </c:pt>
              </c:strCache>
            </c:strRef>
          </c:tx>
          <c:spPr>
            <a:solidFill>
              <a:srgbClr val="c00000"/>
            </a:solidFill>
            <a:ln w="2484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Hooke!$D$7:$D$11</c:f>
              <c:numCache>
                <c:formatCode>0.0000</c:formatCode>
                <c:ptCount val="5"/>
                <c:pt idx="0">
                  <c:v>0.0049</c:v>
                </c:pt>
                <c:pt idx="1">
                  <c:v>0.0099</c:v>
                </c:pt>
                <c:pt idx="2">
                  <c:v>0.0147</c:v>
                </c:pt>
                <c:pt idx="3">
                  <c:v>0.0196</c:v>
                </c:pt>
                <c:pt idx="4">
                  <c:v>0.0246</c:v>
                </c:pt>
              </c:numCache>
            </c:numRef>
          </c:xVal>
          <c:yVal>
            <c:numRef>
              <c:f>Hooke!$B$7:$B$11</c:f>
              <c:numCache>
                <c:formatCode>0.000</c:formatCode>
                <c:ptCount val="5"/>
                <c:pt idx="0">
                  <c:v>0.4905</c:v>
                </c:pt>
                <c:pt idx="1">
                  <c:v>0.981</c:v>
                </c:pt>
                <c:pt idx="2">
                  <c:v>1.4715</c:v>
                </c:pt>
                <c:pt idx="3">
                  <c:v>1.962</c:v>
                </c:pt>
                <c:pt idx="4">
                  <c:v>2.4525</c:v>
                </c:pt>
              </c:numCache>
            </c:numRef>
          </c:yVal>
          <c:smooth val="1"/>
        </c:ser>
        <c:axId val="44296117"/>
        <c:axId val="58719185"/>
      </c:scatterChart>
      <c:valAx>
        <c:axId val="4429611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Δx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719185"/>
        <c:crosses val="autoZero"/>
        <c:crossBetween val="midCat"/>
      </c:valAx>
      <c:valAx>
        <c:axId val="587191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29611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4680</xdr:colOff>
      <xdr:row>16</xdr:row>
      <xdr:rowOff>11520</xdr:rowOff>
    </xdr:to>
    <xdr:graphicFrame>
      <xdr:nvGraphicFramePr>
        <xdr:cNvPr id="0" name="Chart 1"/>
        <xdr:cNvGraphicFramePr/>
      </xdr:nvGraphicFramePr>
      <xdr:xfrm>
        <a:off x="0" y="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18</xdr:row>
      <xdr:rowOff>0</xdr:rowOff>
    </xdr:from>
    <xdr:to>
      <xdr:col>10</xdr:col>
      <xdr:colOff>4680</xdr:colOff>
      <xdr:row>34</xdr:row>
      <xdr:rowOff>11520</xdr:rowOff>
    </xdr:to>
    <xdr:graphicFrame>
      <xdr:nvGraphicFramePr>
        <xdr:cNvPr id="1" name="Chart 2"/>
        <xdr:cNvGraphicFramePr/>
      </xdr:nvGraphicFramePr>
      <xdr:xfrm>
        <a:off x="0" y="342900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6" min="5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  <c r="C4" s="5" t="n">
        <v>9.81</v>
      </c>
    </row>
    <row r="6" customFormat="false" ht="31.5" hidden="false" customHeight="tru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</row>
    <row r="7" customFormat="false" ht="15" hidden="false" customHeight="false" outlineLevel="0" collapsed="false">
      <c r="A7" s="7" t="n">
        <v>0.05</v>
      </c>
      <c r="B7" s="8" t="n">
        <f aca="false">A7*$C$4</f>
        <v>0.4905</v>
      </c>
      <c r="C7" s="9" t="n">
        <v>0.0098</v>
      </c>
      <c r="D7" s="9" t="n">
        <v>0.0049</v>
      </c>
      <c r="E7" s="10" t="n">
        <f aca="false">IF(C7=0,"",B7/C7)</f>
        <v>50.0510204081633</v>
      </c>
      <c r="F7" s="10" t="n">
        <f aca="false">IF(D7=0,"",B7/D7)</f>
        <v>100.102040816327</v>
      </c>
    </row>
    <row r="8" customFormat="false" ht="15" hidden="false" customHeight="false" outlineLevel="0" collapsed="false">
      <c r="A8" s="7" t="n">
        <v>0.1</v>
      </c>
      <c r="B8" s="8" t="n">
        <f aca="false">A8*$C$4</f>
        <v>0.981</v>
      </c>
      <c r="C8" s="9" t="n">
        <v>0.0197</v>
      </c>
      <c r="D8" s="9" t="n">
        <v>0.0099</v>
      </c>
      <c r="E8" s="10" t="n">
        <f aca="false">IF(C8=0,"",B8/C8)</f>
        <v>49.7969543147208</v>
      </c>
      <c r="F8" s="10" t="n">
        <f aca="false">IF(D8=0,"",B8/D8)</f>
        <v>99.0909090909091</v>
      </c>
    </row>
    <row r="9" customFormat="false" ht="15" hidden="false" customHeight="false" outlineLevel="0" collapsed="false">
      <c r="A9" s="7" t="n">
        <v>0.15</v>
      </c>
      <c r="B9" s="8" t="n">
        <f aca="false">A9*$C$4</f>
        <v>1.4715</v>
      </c>
      <c r="C9" s="9" t="n">
        <v>0.0294</v>
      </c>
      <c r="D9" s="9" t="n">
        <v>0.0147</v>
      </c>
      <c r="E9" s="10" t="n">
        <f aca="false">IF(C9=0,"",B9/C9)</f>
        <v>50.0510204081633</v>
      </c>
      <c r="F9" s="10" t="n">
        <f aca="false">IF(D9=0,"",B9/D9)</f>
        <v>100.102040816327</v>
      </c>
    </row>
    <row r="10" customFormat="false" ht="15" hidden="false" customHeight="false" outlineLevel="0" collapsed="false">
      <c r="A10" s="7" t="n">
        <v>0.2</v>
      </c>
      <c r="B10" s="8" t="n">
        <f aca="false">A10*$C$4</f>
        <v>1.962</v>
      </c>
      <c r="C10" s="9" t="n">
        <v>0.0393</v>
      </c>
      <c r="D10" s="9" t="n">
        <v>0.0196</v>
      </c>
      <c r="E10" s="10" t="n">
        <f aca="false">IF(C10=0,"",B10/C10)</f>
        <v>49.9236641221374</v>
      </c>
      <c r="F10" s="10" t="n">
        <f aca="false">IF(D10=0,"",B10/D10)</f>
        <v>100.102040816327</v>
      </c>
    </row>
    <row r="11" customFormat="false" ht="15" hidden="false" customHeight="false" outlineLevel="0" collapsed="false">
      <c r="A11" s="7" t="n">
        <v>0.25</v>
      </c>
      <c r="B11" s="8" t="n">
        <f aca="false">A11*$C$4</f>
        <v>2.4525</v>
      </c>
      <c r="C11" s="9" t="n">
        <v>0.0491</v>
      </c>
      <c r="D11" s="9" t="n">
        <v>0.0246</v>
      </c>
      <c r="E11" s="10" t="n">
        <f aca="false">IF(C11=0,"",B11/C11)</f>
        <v>49.949083503055</v>
      </c>
      <c r="F11" s="10" t="n">
        <f aca="false">IF(D11=0,"",B11/D11)</f>
        <v>99.6951219512195</v>
      </c>
    </row>
    <row r="13" customFormat="false" ht="15" hidden="false" customHeight="false" outlineLevel="0" collapsed="false">
      <c r="A13" s="11" t="s">
        <v>10</v>
      </c>
    </row>
    <row r="14" customFormat="false" ht="31.5" hidden="false" customHeight="true" outlineLevel="0" collapsed="false">
      <c r="A14" s="6" t="s">
        <v>11</v>
      </c>
      <c r="B14" s="6" t="s">
        <v>12</v>
      </c>
      <c r="C14" s="6" t="s">
        <v>13</v>
      </c>
      <c r="D14" s="6" t="s">
        <v>14</v>
      </c>
    </row>
    <row r="15" customFormat="false" ht="15" hidden="false" customHeight="false" outlineLevel="0" collapsed="false">
      <c r="A15" s="12" t="s">
        <v>15</v>
      </c>
      <c r="B15" s="13" t="n">
        <f aca="false">SLOPE(B7:B11,C7:C11)</f>
        <v>49.9486691305484</v>
      </c>
      <c r="C15" s="13" t="n">
        <f aca="false">SLOPE(B7:B11,D7:D11)</f>
        <v>99.893609078692</v>
      </c>
      <c r="D15" s="14" t="s">
        <v>16</v>
      </c>
    </row>
    <row r="16" customFormat="false" ht="15" hidden="false" customHeight="false" outlineLevel="0" collapsed="false">
      <c r="A16" s="12" t="s">
        <v>17</v>
      </c>
      <c r="B16" s="13" t="n">
        <f aca="false">INTERCEPT(B7:B11,C7:C11)</f>
        <v>1.22074140442852E-005</v>
      </c>
      <c r="C16" s="13" t="n">
        <f aca="false">INTERCEPT(B7:B11,D7:D11)</f>
        <v>-0.000931797819919256</v>
      </c>
      <c r="D16" s="14" t="s">
        <v>18</v>
      </c>
    </row>
    <row r="17" customFormat="false" ht="15" hidden="false" customHeight="false" outlineLevel="0" collapsed="false">
      <c r="A17" s="12" t="s">
        <v>19</v>
      </c>
      <c r="B17" s="13" t="n">
        <f aca="false">RSQ(B7:B11,C7:C11)</f>
        <v>0.999991704101907</v>
      </c>
      <c r="C17" s="13" t="n">
        <f aca="false">RSQ(B7:B11,D7:D11)</f>
        <v>0.999954374263767</v>
      </c>
      <c r="D17" s="14" t="s">
        <v>20</v>
      </c>
    </row>
    <row r="18" customFormat="false" ht="15" hidden="false" customHeight="false" outlineLevel="0" collapsed="false">
      <c r="A18" s="12" t="s">
        <v>21</v>
      </c>
      <c r="B18" s="13" t="n">
        <f aca="false">0.5*B15*C11^2</f>
        <v>0.0602083755133087</v>
      </c>
      <c r="C18" s="13" t="n">
        <f aca="false">0.5*C15*D11^2</f>
        <v>0.0302258082350306</v>
      </c>
      <c r="D18" s="14" t="s">
        <v>22</v>
      </c>
    </row>
    <row r="20" customFormat="false" ht="15" hidden="false" customHeight="false" outlineLevel="0" collapsed="false">
      <c r="A20" s="4" t="s">
        <v>23</v>
      </c>
    </row>
    <row r="21" customFormat="false" ht="31.5" hidden="false" customHeight="true" outlineLevel="0" collapsed="false">
      <c r="A21" s="6" t="s">
        <v>11</v>
      </c>
      <c r="B21" s="6" t="s">
        <v>24</v>
      </c>
      <c r="C21" s="6" t="s">
        <v>25</v>
      </c>
      <c r="D21" s="6" t="s">
        <v>14</v>
      </c>
      <c r="E21" s="6" t="s">
        <v>26</v>
      </c>
    </row>
    <row r="22" customFormat="false" ht="15" hidden="false" customHeight="false" outlineLevel="0" collapsed="false">
      <c r="A22" s="14" t="s">
        <v>27</v>
      </c>
      <c r="B22" s="14" t="s">
        <v>28</v>
      </c>
      <c r="C22" s="15" t="n">
        <v>250</v>
      </c>
      <c r="D22" s="14" t="s">
        <v>18</v>
      </c>
      <c r="E22" s="14" t="s">
        <v>29</v>
      </c>
    </row>
    <row r="23" customFormat="false" ht="15" hidden="false" customHeight="false" outlineLevel="0" collapsed="false">
      <c r="A23" s="14" t="s">
        <v>30</v>
      </c>
      <c r="B23" s="14" t="s">
        <v>31</v>
      </c>
      <c r="C23" s="15" t="n">
        <v>560</v>
      </c>
      <c r="D23" s="14" t="s">
        <v>18</v>
      </c>
      <c r="E23" s="14" t="s">
        <v>29</v>
      </c>
    </row>
    <row r="24" customFormat="false" ht="15" hidden="false" customHeight="false" outlineLevel="0" collapsed="false">
      <c r="A24" s="14" t="s">
        <v>32</v>
      </c>
      <c r="B24" s="14" t="s">
        <v>33</v>
      </c>
      <c r="C24" s="5" t="n">
        <v>38</v>
      </c>
      <c r="D24" s="14" t="s">
        <v>34</v>
      </c>
      <c r="E24" s="14" t="s">
        <v>29</v>
      </c>
    </row>
    <row r="25" customFormat="false" ht="15" hidden="false" customHeight="false" outlineLevel="0" collapsed="false">
      <c r="A25" s="14" t="s">
        <v>35</v>
      </c>
      <c r="B25" s="14" t="s">
        <v>36</v>
      </c>
      <c r="C25" s="5" t="n">
        <v>29.5</v>
      </c>
      <c r="D25" s="14" t="s">
        <v>34</v>
      </c>
      <c r="E25" s="14" t="s">
        <v>29</v>
      </c>
    </row>
    <row r="26" customFormat="false" ht="15" hidden="false" customHeight="false" outlineLevel="0" collapsed="false">
      <c r="A26" s="12" t="s">
        <v>37</v>
      </c>
      <c r="C26" s="16" t="n">
        <f aca="false">(C23-C22)/(C24-C25)</f>
        <v>36.4705882352941</v>
      </c>
      <c r="D26" s="14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41</v>
      </c>
      <c r="C4" s="7" t="n">
        <v>0.4</v>
      </c>
    </row>
    <row r="6" customFormat="false" ht="31.5" hidden="false" customHeight="true" outlineLevel="0" collapsed="false">
      <c r="A6" s="6" t="s">
        <v>42</v>
      </c>
      <c r="B6" s="6" t="s">
        <v>43</v>
      </c>
      <c r="C6" s="6" t="s">
        <v>44</v>
      </c>
      <c r="D6" s="6" t="s">
        <v>45</v>
      </c>
      <c r="E6" s="6" t="s">
        <v>46</v>
      </c>
    </row>
    <row r="7" customFormat="false" ht="15" hidden="false" customHeight="false" outlineLevel="0" collapsed="false">
      <c r="A7" s="17" t="n">
        <v>20</v>
      </c>
      <c r="B7" s="15" t="n">
        <v>51</v>
      </c>
      <c r="C7" s="16" t="n">
        <f aca="false">B7*$C$4</f>
        <v>20.4</v>
      </c>
      <c r="D7" s="16" t="n">
        <f aca="false">(C7-A7)/A7*100</f>
        <v>2.00000000000001</v>
      </c>
      <c r="E7" s="16" t="n">
        <f aca="false">C7*PI()/2</f>
        <v>32.0442450666159</v>
      </c>
    </row>
    <row r="8" customFormat="false" ht="15" hidden="false" customHeight="false" outlineLevel="0" collapsed="false">
      <c r="A8" s="17" t="n">
        <v>40</v>
      </c>
      <c r="B8" s="15" t="n">
        <v>99</v>
      </c>
      <c r="C8" s="16" t="n">
        <f aca="false">B8*$C$4</f>
        <v>39.6</v>
      </c>
      <c r="D8" s="16" t="n">
        <f aca="false">(C8-A8)/A8*100</f>
        <v>-0.999999999999996</v>
      </c>
      <c r="E8" s="16" t="n">
        <f aca="false">C8*PI()/2</f>
        <v>62.2035345410779</v>
      </c>
    </row>
    <row r="9" customFormat="false" ht="15" hidden="false" customHeight="false" outlineLevel="0" collapsed="false">
      <c r="A9" s="17" t="n">
        <v>60</v>
      </c>
      <c r="B9" s="15" t="n">
        <v>152</v>
      </c>
      <c r="C9" s="16" t="n">
        <f aca="false">B9*$C$4</f>
        <v>60.8</v>
      </c>
      <c r="D9" s="16" t="n">
        <f aca="false">(C9-A9)/A9*100</f>
        <v>1.33333333333334</v>
      </c>
      <c r="E9" s="16" t="n">
        <f aca="false">C9*PI()/2</f>
        <v>95.5044166691297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2"/>
    <col collapsed="false" customWidth="true" hidden="false" outlineLevel="0" max="5" min="4" style="0" width="10"/>
  </cols>
  <sheetData>
    <row r="1" customFormat="false" ht="17.3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6" t="s">
        <v>11</v>
      </c>
      <c r="B5" s="6" t="s">
        <v>24</v>
      </c>
      <c r="C5" s="6" t="s">
        <v>25</v>
      </c>
      <c r="D5" s="6" t="s">
        <v>14</v>
      </c>
      <c r="E5" s="6" t="s">
        <v>26</v>
      </c>
    </row>
    <row r="6" customFormat="false" ht="15" hidden="false" customHeight="false" outlineLevel="0" collapsed="false">
      <c r="A6" s="14" t="s">
        <v>49</v>
      </c>
      <c r="B6" s="14" t="s">
        <v>50</v>
      </c>
      <c r="C6" s="7" t="n">
        <v>0.15</v>
      </c>
      <c r="D6" s="14" t="s">
        <v>51</v>
      </c>
      <c r="E6" s="14" t="s">
        <v>52</v>
      </c>
    </row>
    <row r="7" customFormat="false" ht="15" hidden="false" customHeight="false" outlineLevel="0" collapsed="false">
      <c r="A7" s="14" t="s">
        <v>53</v>
      </c>
      <c r="B7" s="14" t="s">
        <v>54</v>
      </c>
      <c r="C7" s="17" t="n">
        <v>3600</v>
      </c>
      <c r="D7" s="14" t="s">
        <v>55</v>
      </c>
      <c r="E7" s="14" t="s">
        <v>56</v>
      </c>
    </row>
    <row r="9" customFormat="false" ht="31.5" hidden="false" customHeight="true" outlineLevel="0" collapsed="false">
      <c r="A9" s="6" t="s">
        <v>57</v>
      </c>
      <c r="B9" s="6" t="s">
        <v>58</v>
      </c>
      <c r="C9" s="6" t="s">
        <v>59</v>
      </c>
      <c r="D9" s="6" t="s">
        <v>60</v>
      </c>
      <c r="E9" s="6" t="s">
        <v>61</v>
      </c>
    </row>
    <row r="10" customFormat="false" ht="15" hidden="false" customHeight="false" outlineLevel="0" collapsed="false">
      <c r="A10" s="17" t="n">
        <v>0</v>
      </c>
      <c r="B10" s="15" t="n">
        <v>22</v>
      </c>
      <c r="C10" s="15" t="n">
        <v>22</v>
      </c>
      <c r="D10" s="10" t="n">
        <f aca="false">B10-C10</f>
        <v>0</v>
      </c>
      <c r="E10" s="16" t="n">
        <f aca="false">$C$6*$C$7*D10/1000</f>
        <v>0</v>
      </c>
    </row>
    <row r="11" customFormat="false" ht="15" hidden="false" customHeight="false" outlineLevel="0" collapsed="false">
      <c r="A11" s="17" t="n">
        <v>5</v>
      </c>
      <c r="B11" s="15" t="n">
        <v>62</v>
      </c>
      <c r="C11" s="15" t="n">
        <v>30</v>
      </c>
      <c r="D11" s="10" t="n">
        <f aca="false">B11-C11</f>
        <v>32</v>
      </c>
      <c r="E11" s="16" t="n">
        <f aca="false">$C$6*$C$7*D11/1000</f>
        <v>17.28</v>
      </c>
    </row>
    <row r="12" customFormat="false" ht="15" hidden="false" customHeight="false" outlineLevel="0" collapsed="false">
      <c r="A12" s="17" t="n">
        <v>10</v>
      </c>
      <c r="B12" s="15" t="n">
        <v>88</v>
      </c>
      <c r="C12" s="15" t="n">
        <v>72</v>
      </c>
      <c r="D12" s="10" t="n">
        <f aca="false">B12-C12</f>
        <v>16</v>
      </c>
      <c r="E12" s="16" t="n">
        <f aca="false">$C$6*$C$7*D12/1000</f>
        <v>8.64</v>
      </c>
    </row>
    <row r="13" customFormat="false" ht="15" hidden="false" customHeight="false" outlineLevel="0" collapsed="false">
      <c r="A13" s="17" t="n">
        <v>15</v>
      </c>
      <c r="B13" s="15" t="n">
        <v>91</v>
      </c>
      <c r="C13" s="15" t="n">
        <v>80</v>
      </c>
      <c r="D13" s="10" t="n">
        <f aca="false">B13-C13</f>
        <v>11</v>
      </c>
      <c r="E13" s="16" t="n">
        <f aca="false">$C$6*$C$7*D13/1000</f>
        <v>5.94</v>
      </c>
    </row>
    <row r="15" customFormat="false" ht="15" hidden="false" customHeight="false" outlineLevel="0" collapsed="false">
      <c r="A15" s="18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2026-09-15T21:29:02Z</dcterms:created>
  <dc:creator>openpyxl</dc:creator>
  <dc:description/>
  <dc:language>en-US</dc:language>
  <cp:lastModifiedBy/>
  <dcterms:modified xsi:type="dcterms:W3CDTF">2026-09-15T21:29:07Z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