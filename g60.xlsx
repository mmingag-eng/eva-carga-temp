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Willis" sheetId="3" state="visible" r:id="rId5"/>
    <sheet name="3_Simpson" sheetId="4" state="visible" r:id="rId6"/>
    <sheet name="4_Convertidor" sheetId="5" state="visible" r:id="rId7"/>
    <sheet name="5_Bomba_ATF" sheetId="6" state="visible" r:id="rId8"/>
  </sheets>
  <definedNames>
    <definedName function="false" hidden="false" name="etav" vbProcedure="false">5_Bomba_ATF!$C$6</definedName>
    <definedName function="false" hidden="false" name="frn" vbProcedure="false">5_Bomba_ATF!$C$13</definedName>
    <definedName function="false" hidden="false" name="idf" vbProcedure="false">1_Datos!$C$8</definedName>
    <definedName function="false" hidden="false" name="kdr" vbProcedure="false">5_Bomba_ATF!$C$14</definedName>
    <definedName function="false" hidden="false" name="Kf" vbProcedure="false">1_Datos!$C$7</definedName>
    <definedName function="false" hidden="false" name="kk" vbProcedure="false">1_Datos!$C$12</definedName>
    <definedName function="false" hidden="false" name="nb" vbProcedure="false">5_Bomba_ATF!$C$5</definedName>
    <definedName function="false" hidden="false" name="nin" vbProcedure="false">1_Datos!$C$6</definedName>
    <definedName function="false" hidden="false" name="nst" vbProcedure="false">4_Convertidor!$I$19</definedName>
    <definedName function="false" hidden="false" name="Qb" vbProcedure="false">5_Bomba_ATF!$C$12</definedName>
    <definedName function="false" hidden="false" name="rc" vbProcedure="false">1_Datos!$C$9</definedName>
    <definedName function="false" hidden="false" name="Robj" vbProcedure="false">5_Bomba_ATF!$C$9</definedName>
    <definedName function="false" hidden="false" name="Vd" vbProcedure="false">5_Bomba_ATF!$C$8</definedName>
    <definedName function="false" hidden="false" name="Vg" vbProcedure="false">5_Bomba_ATF!$C$4</definedName>
    <definedName function="false" hidden="false" name="Vt" vbProcedure="false">5_Bomba_ATF!$C$7</definedName>
    <definedName function="false" hidden="false" name="Zr" vbProcedure="false">1_Datos!$C$5</definedName>
    <definedName function="false" hidden="false" name="Zs" vbProcedure="false">1_Datos!$C$4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<sst xmlns="http://schemas.openxmlformats.org/spreadsheetml/2006/main" count="144" uniqueCount="114">
  <si>
    <t xml:space="preserve">PRÁCTICA 8 – ANÁLISIS FUNCIONAL DE LA TRANSMISIÓN AUTOMÁTICA: ECUACIÓN DE WILLIS, TREN SIMPSON Y CONVERTIDOR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</si>
  <si>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</si>
  <si>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</si>
  <si>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</si>
  <si>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</si>
  <si>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</si>
  <si>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</si>
  <si>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dientes del planetario y de la corona, régimen de entrada, factor K del convertidor, relación del grupo y radio del neumático.</t>
  </si>
  <si>
    <t xml:space="preserve">2_Willis: las seis combinaciones de un tren simple (elemento bloqueado, conductor y conducido). Ecuaciones (1) y (2).</t>
  </si>
  <si>
    <t xml:space="preserve">3_Simpson: relaciones de 1.ª, 2.ª, 3.ª y marcha atrás del tren Simpson, velocidades de todos los elementos y velocidad del vehículo. Ecuaciones (3) a (7).</t>
  </si>
  <si>
    <t xml:space="preserve">4_Convertidor: característica del convertidor (t y η frente a e) y punto de calado con la curva del motor de la Práctica 1. Ecuaciones (8) a (10).</t>
  </si>
  <si>
    <t xml:space="preserve">Interpretación:</t>
  </si>
  <si>
    <t xml:space="preserve">• Un régimen negativo indica giro en sentido contrario al motor. • En 1.ª el planetario común gira hacia atrás; en 3.ª todos los elementos giran juntos (toma directa). • El calado es el cruce entre el par del motor y el par que absorbe el convertidor.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</si>
  <si>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</si>
  <si>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</si>
  <si>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</si>
  <si>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</si>
  <si>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</si>
  <si>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</si>
  <si>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Dientes del planetario (ambos trenes)</t>
  </si>
  <si>
    <t xml:space="preserve">Zs</t>
  </si>
  <si>
    <t xml:space="preserve">—</t>
  </si>
  <si>
    <t xml:space="preserve">Contar</t>
  </si>
  <si>
    <t xml:space="preserve">Dientes de la corona (ambos trenes)</t>
  </si>
  <si>
    <t xml:space="preserve">Zr</t>
  </si>
  <si>
    <t xml:space="preserve">Régimen de entrada (turbina)</t>
  </si>
  <si>
    <t xml:space="preserve">nin</t>
  </si>
  <si>
    <t xml:space="preserve">min⁻¹</t>
  </si>
  <si>
    <t xml:space="preserve">Factor K del convertidor</t>
  </si>
  <si>
    <t xml:space="preserve">K</t>
  </si>
  <si>
    <t xml:space="preserve">min⁻¹/√(N·m)</t>
  </si>
  <si>
    <t xml:space="preserve">Relación del grupo final</t>
  </si>
  <si>
    <t xml:space="preserve">id</t>
  </si>
  <si>
    <t xml:space="preserve">Práctica 7</t>
  </si>
  <si>
    <t xml:space="preserve">Radio bajo carga</t>
  </si>
  <si>
    <t xml:space="preserve">rc</t>
  </si>
  <si>
    <t xml:space="preserve">m</t>
  </si>
  <si>
    <t xml:space="preserve">RESULTADO</t>
  </si>
  <si>
    <t xml:space="preserve">Relación del tren</t>
  </si>
  <si>
    <t xml:space="preserve">k</t>
  </si>
  <si>
    <t xml:space="preserve">Ec. (1)</t>
  </si>
  <si>
    <t xml:space="preserve">Tren epicicloidal simple: ecuación de Willis</t>
  </si>
  <si>
    <t xml:space="preserve">Bloqueado</t>
  </si>
  <si>
    <t xml:space="preserve">Conductor</t>
  </si>
  <si>
    <t xml:space="preserve">Conducido</t>
  </si>
  <si>
    <t xml:space="preserve">i = n entrada/n salida</t>
  </si>
  <si>
    <t xml:space="preserve">Efecto</t>
  </si>
  <si>
    <t xml:space="preserve">Corona</t>
  </si>
  <si>
    <t xml:space="preserve">Planetario</t>
  </si>
  <si>
    <t xml:space="preserve">Portasatélites</t>
  </si>
  <si>
    <t xml:space="preserve">Gran reducción</t>
  </si>
  <si>
    <t xml:space="preserve">Reducción pequeña</t>
  </si>
  <si>
    <t xml:space="preserve">Sobremarcha</t>
  </si>
  <si>
    <t xml:space="preserve">Gran sobremarcha</t>
  </si>
  <si>
    <t xml:space="preserve">Marcha atrás</t>
  </si>
  <si>
    <t xml:space="preserve">Marcha atrás multiplicada</t>
  </si>
  <si>
    <t xml:space="preserve">Tren Simpson de tres marchas</t>
  </si>
  <si>
    <t xml:space="preserve">Marcha</t>
  </si>
  <si>
    <t xml:space="preserve">Relación i</t>
  </si>
  <si>
    <t xml:space="preserve">n salida</t>
  </si>
  <si>
    <t xml:space="preserve">n corona del.</t>
  </si>
  <si>
    <t xml:space="preserve">n portasat. del.</t>
  </si>
  <si>
    <t xml:space="preserve">n planetario</t>
  </si>
  <si>
    <t xml:space="preserve">n portasat. tras.</t>
  </si>
  <si>
    <t xml:space="preserve">n corona tras.</t>
  </si>
  <si>
    <t xml:space="preserve">V vehículo (km/h)</t>
  </si>
  <si>
    <t xml:space="preserve">1.ª</t>
  </si>
  <si>
    <t xml:space="preserve">2.ª</t>
  </si>
  <si>
    <t xml:space="preserve">3.ª</t>
  </si>
  <si>
    <t xml:space="preserve">R</t>
  </si>
  <si>
    <t xml:space="preserve">Elementos aplicados: 1.ª embrague de avance + rueda libre (portasatélites trasero); 2.ª embrague de avance + freno del planetario; 3.ª embragues de avance y directo; R embrague directo + freno de baja/reversa.</t>
  </si>
  <si>
    <t xml:space="preserve">Característica del convertidor y punto de calado</t>
  </si>
  <si>
    <t xml:space="preserve">e = nT/nB</t>
  </si>
  <si>
    <t xml:space="preserve">t = MT/MB</t>
  </si>
  <si>
    <t xml:space="preserve">η = e·t</t>
  </si>
  <si>
    <t xml:space="preserve">n (min⁻¹)</t>
  </si>
  <si>
    <t xml:space="preserve">M motor (N·m)</t>
  </si>
  <si>
    <t xml:space="preserve">M absorbido (n/K)²</t>
  </si>
  <si>
    <t xml:space="preserve">Diferencia</t>
  </si>
  <si>
    <t xml:space="preserve">Régimen de calado aproximado (interpolación lineal):</t>
  </si>
  <si>
    <t xml:space="preserve">Par del motor en calado ≈ (nst/K)²:</t>
  </si>
  <si>
    <t xml:space="preserve">Par en la turbina en calado = t(0)·M:</t>
  </si>
  <si>
    <t xml:space="preserve">Caudal de la bomba y renovación del ATF</t>
  </si>
  <si>
    <t xml:space="preserve">Cilindrada de la bomba</t>
  </si>
  <si>
    <t xml:space="preserve">Vg</t>
  </si>
  <si>
    <t xml:space="preserve">cm³/rev</t>
  </si>
  <si>
    <t xml:space="preserve">Hoja técnica o cálculo geométrico</t>
  </si>
  <si>
    <t xml:space="preserve">Régimen de la bomba (motor)</t>
  </si>
  <si>
    <t xml:space="preserve">nb</t>
  </si>
  <si>
    <t xml:space="preserve">Rendimiento volumétrico</t>
  </si>
  <si>
    <t xml:space="preserve">ηv</t>
  </si>
  <si>
    <t xml:space="preserve">Disminuye con el desgaste</t>
  </si>
  <si>
    <t xml:space="preserve">Capacidad total de ATF</t>
  </si>
  <si>
    <t xml:space="preserve">Vt</t>
  </si>
  <si>
    <t xml:space="preserve">L</t>
  </si>
  <si>
    <t xml:space="preserve">Manual</t>
  </si>
  <si>
    <t xml:space="preserve">Volumen drenado por cambio</t>
  </si>
  <si>
    <t xml:space="preserve">Vd</t>
  </si>
  <si>
    <t xml:space="preserve">Medido en el drenaje</t>
  </si>
  <si>
    <t xml:space="preserve">Renovación objetivo</t>
  </si>
  <si>
    <t xml:space="preserve">Robj</t>
  </si>
  <si>
    <t xml:space="preserve">RESULTADOS</t>
  </si>
  <si>
    <t xml:space="preserve">Caudal de la bomba</t>
  </si>
  <si>
    <t xml:space="preserve">Q</t>
  </si>
  <si>
    <t xml:space="preserve">L/min</t>
  </si>
  <si>
    <t xml:space="preserve">Ec. (11)</t>
  </si>
  <si>
    <t xml:space="preserve">Fracción renovada por drenaje</t>
  </si>
  <si>
    <t xml:space="preserve">fr</t>
  </si>
  <si>
    <t xml:space="preserve">Drenajes necesarios para la renovación objetivo</t>
  </si>
  <si>
    <t xml:space="preserve">Ec. (12)</t>
  </si>
  <si>
    <t xml:space="preserve">N.º de drenajes k</t>
  </si>
  <si>
    <t xml:space="preserve">ATF renovado (%)</t>
  </si>
  <si>
    <t xml:space="preserve">n bomba (min⁻¹)</t>
  </si>
  <si>
    <t xml:space="preserve">Q (L/min)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</si>
</sst>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0.00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Característica del convertidor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"t"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4_Convertidor!$A$4:$A$14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4_Convertidor!$B$4:$B$14</c:f>
              <c:numCache>
                <c:formatCode>General</c:formatCode>
                <c:ptCount val="11"/>
                <c:pt idx="0">
                  <c:v>2.2</c:v>
                </c:pt>
                <c:pt idx="1">
                  <c:v>2.08</c:v>
                </c:pt>
                <c:pt idx="2">
                  <c:v>1.95</c:v>
                </c:pt>
                <c:pt idx="3">
                  <c:v>1.81</c:v>
                </c:pt>
                <c:pt idx="4">
                  <c:v>1.67</c:v>
                </c:pt>
                <c:pt idx="5">
                  <c:v>1.52</c:v>
                </c:pt>
                <c:pt idx="6">
                  <c:v>1.38</c:v>
                </c:pt>
                <c:pt idx="7">
                  <c:v>1.24</c:v>
                </c:pt>
                <c:pt idx="8">
                  <c:v>1.1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"η"</c:f>
              <c:strCache>
                <c:ptCount val="1"/>
                <c:pt idx="0">
                  <c:v>η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4_Convertidor!$A$4:$A$14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4_Convertidor!$C$4:$C$14</c:f>
              <c:numCache>
                <c:formatCode>General</c:formatCode>
                <c:ptCount val="11"/>
                <c:pt idx="0">
                  <c:v>0</c:v>
                </c:pt>
                <c:pt idx="1">
                  <c:v>0.208</c:v>
                </c:pt>
                <c:pt idx="2">
                  <c:v>0.39</c:v>
                </c:pt>
                <c:pt idx="3">
                  <c:v>0.543</c:v>
                </c:pt>
                <c:pt idx="4">
                  <c:v>0.668</c:v>
                </c:pt>
                <c:pt idx="5">
                  <c:v>0.76</c:v>
                </c:pt>
                <c:pt idx="6">
                  <c:v>0.828</c:v>
                </c:pt>
                <c:pt idx="7">
                  <c:v>0.868</c:v>
                </c:pt>
                <c:pt idx="8">
                  <c:v>0.88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</c:ser>
        <c:axId val="25494387"/>
        <c:axId val="47860459"/>
      </c:scatterChart>
      <c:valAx>
        <c:axId val="2549438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60459"/>
        <c:crosses val="autoZero"/>
        <c:crossBetween val="midCat"/>
      </c:valAx>
      <c:valAx>
        <c:axId val="4786045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; 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943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Punto de calado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 motor"</c:f>
              <c:strCache>
                <c:ptCount val="1"/>
                <c:pt idx="0">
                  <c:v>M motor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4_Convertidor!$F$4:$F$17</c:f>
              <c:numCache>
                <c:formatCode>General</c:formatCode>
                <c:ptCount val="1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</c:numCache>
            </c:numRef>
          </c:xVal>
          <c:yVal>
            <c:numRef>
              <c:f>4_Convertidor!$G$4:$G$17</c:f>
              <c:numCache>
                <c:formatCode>General</c:formatCode>
                <c:ptCount val="14"/>
                <c:pt idx="0">
                  <c:v>100</c:v>
                </c:pt>
                <c:pt idx="1">
                  <c:v>105</c:v>
                </c:pt>
                <c:pt idx="2">
                  <c:v>108</c:v>
                </c:pt>
                <c:pt idx="3">
                  <c:v>112</c:v>
                </c:pt>
                <c:pt idx="4">
                  <c:v>116</c:v>
                </c:pt>
                <c:pt idx="5">
                  <c:v>117</c:v>
                </c:pt>
                <c:pt idx="6">
                  <c:v>118</c:v>
                </c:pt>
                <c:pt idx="7">
                  <c:v>120</c:v>
                </c:pt>
                <c:pt idx="8">
                  <c:v>118</c:v>
                </c:pt>
                <c:pt idx="9">
                  <c:v>116</c:v>
                </c:pt>
                <c:pt idx="10">
                  <c:v>112</c:v>
                </c:pt>
                <c:pt idx="11">
                  <c:v>108</c:v>
                </c:pt>
                <c:pt idx="12">
                  <c:v>100</c:v>
                </c:pt>
                <c:pt idx="13">
                  <c:v>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 absorbido"</c:f>
              <c:strCache>
                <c:ptCount val="1"/>
                <c:pt idx="0">
                  <c:v>M absorbido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4_Convertidor!$F$4:$F$17</c:f>
              <c:numCache>
                <c:formatCode>General</c:formatCode>
                <c:ptCount val="1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</c:numCache>
            </c:numRef>
          </c:xVal>
          <c:yVal>
            <c:numRef>
              <c:f>4_Convertidor!$H$4:$H$17</c:f>
              <c:numCache>
                <c:formatCode>General</c:formatCode>
                <c:ptCount val="14"/>
                <c:pt idx="0">
                  <c:v>6.25</c:v>
                </c:pt>
                <c:pt idx="1">
                  <c:v>25</c:v>
                </c:pt>
                <c:pt idx="2">
                  <c:v>56.25</c:v>
                </c:pt>
                <c:pt idx="3">
                  <c:v>100</c:v>
                </c:pt>
                <c:pt idx="4">
                  <c:v>156.25</c:v>
                </c:pt>
                <c:pt idx="5">
                  <c:v>225</c:v>
                </c:pt>
                <c:pt idx="6">
                  <c:v>306.25</c:v>
                </c:pt>
                <c:pt idx="7">
                  <c:v>400</c:v>
                </c:pt>
                <c:pt idx="8">
                  <c:v>506.25</c:v>
                </c:pt>
                <c:pt idx="9">
                  <c:v>625</c:v>
                </c:pt>
                <c:pt idx="10">
                  <c:v>756.25</c:v>
                </c:pt>
                <c:pt idx="11">
                  <c:v>900</c:v>
                </c:pt>
                <c:pt idx="12">
                  <c:v>1056.25</c:v>
                </c:pt>
                <c:pt idx="13">
                  <c:v>1225</c:v>
                </c:pt>
              </c:numCache>
            </c:numRef>
          </c:yVal>
          <c:smooth val="0"/>
        </c:ser>
        <c:axId val="23797441"/>
        <c:axId val="74912267"/>
      </c:scatterChart>
      <c:valAx>
        <c:axId val="237974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 (min⁻¹)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12267"/>
        <c:crosses val="autoZero"/>
        <c:crossBetween val="midCat"/>
      </c:valAx>
      <c:valAx>
        <c:axId val="749122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N·m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974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Renovación del ATF por drenajes sucesivos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"ATF renovado"</c:f>
              <c:strCache>
                <c:ptCount val="1"/>
                <c:pt idx="0">
                  <c:v>ATF renovado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5_Bomba_ATF!$A$17:$A$22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5_Bomba_ATF!$B$17:$B$22</c:f>
              <c:numCache>
                <c:formatCode>General</c:formatCode>
                <c:ptCount val="6"/>
                <c:pt idx="0">
                  <c:v>45.7142857142857</c:v>
                </c:pt>
                <c:pt idx="1">
                  <c:v>70.530612244898</c:v>
                </c:pt>
                <c:pt idx="2">
                  <c:v>84.002332361516</c:v>
                </c:pt>
                <c:pt idx="3">
                  <c:v>91.3155518533944</c:v>
                </c:pt>
                <c:pt idx="4">
                  <c:v>95.2855852918427</c:v>
                </c:pt>
                <c:pt idx="5">
                  <c:v>97.440746301286</c:v>
                </c:pt>
              </c:numCache>
            </c:numRef>
          </c:yVal>
          <c:smooth val="0"/>
        </c:ser>
        <c:axId val="83738621"/>
        <c:axId val="46385174"/>
      </c:scatterChart>
      <c:valAx>
        <c:axId val="83738621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85174"/>
        <c:crosses val="autoZero"/>
        <c:crossBetween val="midCat"/>
      </c:valAx>
      <c:valAx>
        <c:axId val="463851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386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24</xdr:col>
      <xdr:colOff>581760</xdr:colOff>
      <xdr:row>21</xdr:row>
      <xdr:rowOff>189360</xdr:rowOff>
    </xdr:to>
    <xdr:graphicFrame>
      <xdr:nvGraphicFramePr>
        <xdr:cNvPr id="0" name="Chart 1"/>
        <xdr:cNvGraphicFramePr/>
      </xdr:nvGraphicFramePr>
      <xdr:xfrm>
        <a:off x="733824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24</xdr:row>
      <xdr:rowOff>61200</xdr:rowOff>
    </xdr:from>
    <xdr:to>
      <xdr:col>24</xdr:col>
      <xdr:colOff>581760</xdr:colOff>
      <xdr:row>46</xdr:row>
      <xdr:rowOff>189720</xdr:rowOff>
    </xdr:to>
    <xdr:graphicFrame>
      <xdr:nvGraphicFramePr>
        <xdr:cNvPr id="1" name="Chart 2"/>
        <xdr:cNvGraphicFramePr/>
      </xdr:nvGraphicFramePr>
      <xdr:xfrm>
        <a:off x="7338240" y="5143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22</xdr:row>
      <xdr:rowOff>169920</xdr:rowOff>
    </xdr:to>
    <xdr:graphicFrame>
      <xdr:nvGraphicFramePr>
        <xdr:cNvPr id="2" name="Chart 1"/>
        <xdr:cNvGraphicFramePr/>
      </xdr:nvGraphicFramePr>
      <xdr:xfrm>
        <a:off x="1040904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8.3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13</v>
      </c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6" t="n">
        <v>33</v>
      </c>
      <c r="D4" s="7" t="s">
        <v>21</v>
      </c>
      <c r="E4" s="7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6" t="n">
        <v>75</v>
      </c>
      <c r="D5" s="7" t="s">
        <v>21</v>
      </c>
    </row>
    <row r="6" customFormat="false" ht="15" hidden="false" customHeight="false" outlineLevel="0" collapsed="false">
      <c r="A6" s="0" t="s">
        <v>25</v>
      </c>
      <c r="B6" s="0" t="s">
        <v>26</v>
      </c>
      <c r="C6" s="6" t="n">
        <v>2000</v>
      </c>
      <c r="D6" s="7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  <c r="C7" s="6" t="n">
        <v>200</v>
      </c>
      <c r="D7" s="7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6" t="n">
        <v>3.635</v>
      </c>
      <c r="D8" s="7" t="s">
        <v>21</v>
      </c>
      <c r="E8" s="7" t="s">
        <v>33</v>
      </c>
    </row>
    <row r="9" customFormat="false" ht="15" hidden="false" customHeight="false" outlineLevel="0" collapsed="false">
      <c r="A9" s="0" t="s">
        <v>34</v>
      </c>
      <c r="B9" s="0" t="s">
        <v>35</v>
      </c>
      <c r="C9" s="6" t="n">
        <v>0.28</v>
      </c>
      <c r="D9" s="7" t="s">
        <v>36</v>
      </c>
    </row>
    <row r="11" customFormat="false" ht="15" hidden="false" customHeight="false" outlineLevel="0" collapsed="false">
      <c r="A11" s="8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9" t="n">
        <f aca="false">Zr/Zs</f>
        <v>2.27272727272727</v>
      </c>
      <c r="D12" s="7" t="s">
        <v>21</v>
      </c>
      <c r="E12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41</v>
      </c>
    </row>
    <row r="3" customFormat="false" ht="28.35" hidden="false" customHeight="false" outlineLevel="0" collapsed="false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</row>
    <row r="4" customFormat="false" ht="15" hidden="false" customHeight="false" outlineLevel="0" collapsed="false">
      <c r="A4" s="6" t="s">
        <v>47</v>
      </c>
      <c r="B4" s="6" t="s">
        <v>48</v>
      </c>
      <c r="C4" s="6" t="s">
        <v>49</v>
      </c>
      <c r="D4" s="10" t="n">
        <f aca="false">1+kk</f>
        <v>3.27272727272727</v>
      </c>
      <c r="E4" s="6" t="s">
        <v>50</v>
      </c>
    </row>
    <row r="5" customFormat="false" ht="15" hidden="false" customHeight="false" outlineLevel="0" collapsed="false">
      <c r="A5" s="6" t="s">
        <v>48</v>
      </c>
      <c r="B5" s="6" t="s">
        <v>47</v>
      </c>
      <c r="C5" s="6" t="s">
        <v>49</v>
      </c>
      <c r="D5" s="10" t="n">
        <f aca="false">(1+kk)/kk</f>
        <v>1.44</v>
      </c>
      <c r="E5" s="6" t="s">
        <v>51</v>
      </c>
    </row>
    <row r="6" customFormat="false" ht="15" hidden="false" customHeight="false" outlineLevel="0" collapsed="false">
      <c r="A6" s="6" t="s">
        <v>48</v>
      </c>
      <c r="B6" s="6" t="s">
        <v>49</v>
      </c>
      <c r="C6" s="6" t="s">
        <v>47</v>
      </c>
      <c r="D6" s="10" t="n">
        <f aca="false">kk/(1+kk)</f>
        <v>0.694444444444444</v>
      </c>
      <c r="E6" s="6" t="s">
        <v>52</v>
      </c>
    </row>
    <row r="7" customFormat="false" ht="15" hidden="false" customHeight="false" outlineLevel="0" collapsed="false">
      <c r="A7" s="6" t="s">
        <v>47</v>
      </c>
      <c r="B7" s="6" t="s">
        <v>49</v>
      </c>
      <c r="C7" s="6" t="s">
        <v>48</v>
      </c>
      <c r="D7" s="10" t="n">
        <f aca="false">1/(1+kk)</f>
        <v>0.305555555555556</v>
      </c>
      <c r="E7" s="6" t="s">
        <v>53</v>
      </c>
    </row>
    <row r="8" customFormat="false" ht="15" hidden="false" customHeight="false" outlineLevel="0" collapsed="false">
      <c r="A8" s="6" t="s">
        <v>49</v>
      </c>
      <c r="B8" s="6" t="s">
        <v>48</v>
      </c>
      <c r="C8" s="6" t="s">
        <v>47</v>
      </c>
      <c r="D8" s="10" t="n">
        <f aca="false">-kk</f>
        <v>-2.27272727272727</v>
      </c>
      <c r="E8" s="6" t="s">
        <v>54</v>
      </c>
    </row>
    <row r="9" customFormat="false" ht="15" hidden="false" customHeight="false" outlineLevel="0" collapsed="false">
      <c r="A9" s="6" t="s">
        <v>49</v>
      </c>
      <c r="B9" s="6" t="s">
        <v>47</v>
      </c>
      <c r="C9" s="6" t="s">
        <v>48</v>
      </c>
      <c r="D9" s="10" t="n">
        <f aca="false">-1/kk</f>
        <v>-0.44</v>
      </c>
      <c r="E9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56</v>
      </c>
    </row>
    <row r="3" customFormat="false" ht="41.75" hidden="false" customHeight="false" outlineLevel="0" collapsed="false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0" t="s">
        <v>66</v>
      </c>
      <c r="B4" s="11" t="n">
        <f aca="false">(1+2*kk)/kk</f>
        <v>2.44</v>
      </c>
      <c r="C4" s="11" t="n">
        <f aca="false">nin/B4</f>
        <v>819.672131147541</v>
      </c>
      <c r="D4" s="11" t="n">
        <f aca="false">nin</f>
        <v>2000</v>
      </c>
      <c r="E4" s="11" t="n">
        <f aca="false">C4</f>
        <v>819.672131147541</v>
      </c>
      <c r="F4" s="11" t="n">
        <f aca="false">-kk*C4</f>
        <v>-1862.8912071535</v>
      </c>
      <c r="G4" s="11" t="n">
        <v>0</v>
      </c>
      <c r="H4" s="11" t="n">
        <f aca="false">C4</f>
        <v>819.672131147541</v>
      </c>
      <c r="I4" s="12" t="n">
        <f aca="false">0.377*rc*C4/idf</f>
        <v>23.803188490766</v>
      </c>
    </row>
    <row r="5" customFormat="false" ht="15" hidden="false" customHeight="false" outlineLevel="0" collapsed="false">
      <c r="A5" s="0" t="s">
        <v>67</v>
      </c>
      <c r="B5" s="11" t="n">
        <f aca="false">(1+kk)/kk</f>
        <v>1.44</v>
      </c>
      <c r="C5" s="11" t="n">
        <f aca="false">nin/B5</f>
        <v>1388.88888888889</v>
      </c>
      <c r="D5" s="11" t="n">
        <f aca="false">nin</f>
        <v>2000</v>
      </c>
      <c r="E5" s="11" t="n">
        <f aca="false">C5</f>
        <v>1388.88888888889</v>
      </c>
      <c r="F5" s="11" t="n">
        <v>0</v>
      </c>
      <c r="G5" s="11" t="n">
        <f aca="false">kk*C5/(1+kk)</f>
        <v>964.506172839506</v>
      </c>
      <c r="H5" s="11" t="n">
        <f aca="false">C5</f>
        <v>1388.88888888889</v>
      </c>
      <c r="I5" s="12" t="n">
        <f aca="false">0.377*rc*C5/idf</f>
        <v>40.3331804982424</v>
      </c>
    </row>
    <row r="6" customFormat="false" ht="15" hidden="false" customHeight="false" outlineLevel="0" collapsed="false">
      <c r="A6" s="0" t="s">
        <v>68</v>
      </c>
      <c r="B6" s="11" t="n">
        <v>1</v>
      </c>
      <c r="C6" s="11" t="n">
        <f aca="false">nin</f>
        <v>2000</v>
      </c>
      <c r="D6" s="11" t="n">
        <f aca="false">nin</f>
        <v>2000</v>
      </c>
      <c r="E6" s="11" t="n">
        <f aca="false">nin</f>
        <v>2000</v>
      </c>
      <c r="F6" s="11" t="n">
        <f aca="false">nin</f>
        <v>2000</v>
      </c>
      <c r="G6" s="11" t="n">
        <f aca="false">nin</f>
        <v>2000</v>
      </c>
      <c r="H6" s="11" t="n">
        <f aca="false">nin</f>
        <v>2000</v>
      </c>
      <c r="I6" s="12" t="n">
        <f aca="false">0.377*rc*C6/idf</f>
        <v>58.0797799174691</v>
      </c>
    </row>
    <row r="7" customFormat="false" ht="15" hidden="false" customHeight="false" outlineLevel="0" collapsed="false">
      <c r="A7" s="0" t="s">
        <v>69</v>
      </c>
      <c r="B7" s="11" t="n">
        <f aca="false">-kk</f>
        <v>-2.27272727272727</v>
      </c>
      <c r="C7" s="11" t="n">
        <f aca="false">nin/B7</f>
        <v>-880</v>
      </c>
      <c r="D7" s="11" t="n">
        <f aca="false">((1+kk)*C7-nin)/kk</f>
        <v>-2147.2</v>
      </c>
      <c r="E7" s="11" t="n">
        <f aca="false">C7</f>
        <v>-880</v>
      </c>
      <c r="F7" s="11" t="n">
        <f aca="false">nin</f>
        <v>2000</v>
      </c>
      <c r="G7" s="11" t="n">
        <v>0</v>
      </c>
      <c r="H7" s="11" t="n">
        <f aca="false">C7</f>
        <v>-880</v>
      </c>
      <c r="I7" s="12" t="n">
        <f aca="false">0.377*rc*C7/idf</f>
        <v>-25.5551031636864</v>
      </c>
    </row>
    <row r="10" customFormat="false" ht="15" hidden="false" customHeight="false" outlineLevel="0" collapsed="false">
      <c r="A10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71</v>
      </c>
    </row>
    <row r="3" customFormat="false" ht="55.2" hidden="false" customHeight="false" outlineLevel="0" collapsed="false">
      <c r="A3" s="5" t="s">
        <v>72</v>
      </c>
      <c r="B3" s="5" t="s">
        <v>73</v>
      </c>
      <c r="C3" s="5" t="s">
        <v>74</v>
      </c>
      <c r="F3" s="5" t="s">
        <v>75</v>
      </c>
      <c r="G3" s="5" t="s">
        <v>76</v>
      </c>
      <c r="H3" s="5" t="s">
        <v>77</v>
      </c>
      <c r="I3" s="5" t="s">
        <v>78</v>
      </c>
    </row>
    <row r="4" customFormat="false" ht="15" hidden="false" customHeight="false" outlineLevel="0" collapsed="false">
      <c r="A4" s="0" t="n">
        <v>0</v>
      </c>
      <c r="B4" s="6" t="n">
        <v>2.2</v>
      </c>
      <c r="C4" s="12" t="n">
        <f aca="false">A4*B4</f>
        <v>0</v>
      </c>
      <c r="F4" s="0" t="n">
        <v>500</v>
      </c>
      <c r="G4" s="6" t="n">
        <v>100</v>
      </c>
      <c r="H4" s="12" t="n">
        <f aca="false">(F4/Kf)^2</f>
        <v>6.25</v>
      </c>
      <c r="I4" s="12" t="n">
        <f aca="false">G4-H4</f>
        <v>93.75</v>
      </c>
    </row>
    <row r="5" customFormat="false" ht="15" hidden="false" customHeight="false" outlineLevel="0" collapsed="false">
      <c r="A5" s="0" t="n">
        <v>0.1</v>
      </c>
      <c r="B5" s="6" t="n">
        <v>2.08</v>
      </c>
      <c r="C5" s="12" t="n">
        <f aca="false">A5*B5</f>
        <v>0.208</v>
      </c>
      <c r="F5" s="0" t="n">
        <v>1000</v>
      </c>
      <c r="G5" s="6" t="n">
        <v>105</v>
      </c>
      <c r="H5" s="12" t="n">
        <f aca="false">(F5/Kf)^2</f>
        <v>25</v>
      </c>
      <c r="I5" s="12" t="n">
        <f aca="false">G5-H5</f>
        <v>80</v>
      </c>
    </row>
    <row r="6" customFormat="false" ht="15" hidden="false" customHeight="false" outlineLevel="0" collapsed="false">
      <c r="A6" s="0" t="n">
        <v>0.2</v>
      </c>
      <c r="B6" s="6" t="n">
        <v>1.95</v>
      </c>
      <c r="C6" s="12" t="n">
        <f aca="false">A6*B6</f>
        <v>0.39</v>
      </c>
      <c r="F6" s="0" t="n">
        <v>1500</v>
      </c>
      <c r="G6" s="6" t="n">
        <v>108</v>
      </c>
      <c r="H6" s="12" t="n">
        <f aca="false">(F6/Kf)^2</f>
        <v>56.25</v>
      </c>
      <c r="I6" s="12" t="n">
        <f aca="false">G6-H6</f>
        <v>51.75</v>
      </c>
    </row>
    <row r="7" customFormat="false" ht="15" hidden="false" customHeight="false" outlineLevel="0" collapsed="false">
      <c r="A7" s="0" t="n">
        <v>0.3</v>
      </c>
      <c r="B7" s="6" t="n">
        <v>1.81</v>
      </c>
      <c r="C7" s="12" t="n">
        <f aca="false">A7*B7</f>
        <v>0.543</v>
      </c>
      <c r="F7" s="0" t="n">
        <v>2000</v>
      </c>
      <c r="G7" s="6" t="n">
        <v>112</v>
      </c>
      <c r="H7" s="12" t="n">
        <f aca="false">(F7/Kf)^2</f>
        <v>100</v>
      </c>
      <c r="I7" s="12" t="n">
        <f aca="false">G7-H7</f>
        <v>12</v>
      </c>
    </row>
    <row r="8" customFormat="false" ht="15" hidden="false" customHeight="false" outlineLevel="0" collapsed="false">
      <c r="A8" s="0" t="n">
        <v>0.4</v>
      </c>
      <c r="B8" s="6" t="n">
        <v>1.67</v>
      </c>
      <c r="C8" s="12" t="n">
        <f aca="false">A8*B8</f>
        <v>0.668</v>
      </c>
      <c r="F8" s="0" t="n">
        <v>2500</v>
      </c>
      <c r="G8" s="6" t="n">
        <v>116</v>
      </c>
      <c r="H8" s="12" t="n">
        <f aca="false">(F8/Kf)^2</f>
        <v>156.25</v>
      </c>
      <c r="I8" s="12" t="n">
        <f aca="false">G8-H8</f>
        <v>-40.25</v>
      </c>
    </row>
    <row r="9" customFormat="false" ht="15" hidden="false" customHeight="false" outlineLevel="0" collapsed="false">
      <c r="A9" s="0" t="n">
        <v>0.5</v>
      </c>
      <c r="B9" s="6" t="n">
        <v>1.52</v>
      </c>
      <c r="C9" s="12" t="n">
        <f aca="false">A9*B9</f>
        <v>0.76</v>
      </c>
      <c r="F9" s="0" t="n">
        <v>3000</v>
      </c>
      <c r="G9" s="6" t="n">
        <v>117</v>
      </c>
      <c r="H9" s="12" t="n">
        <f aca="false">(F9/Kf)^2</f>
        <v>225</v>
      </c>
      <c r="I9" s="12" t="n">
        <f aca="false">G9-H9</f>
        <v>-108</v>
      </c>
    </row>
    <row r="10" customFormat="false" ht="15" hidden="false" customHeight="false" outlineLevel="0" collapsed="false">
      <c r="A10" s="0" t="n">
        <v>0.6</v>
      </c>
      <c r="B10" s="6" t="n">
        <v>1.38</v>
      </c>
      <c r="C10" s="12" t="n">
        <f aca="false">A10*B10</f>
        <v>0.828</v>
      </c>
      <c r="F10" s="0" t="n">
        <v>3500</v>
      </c>
      <c r="G10" s="6" t="n">
        <v>118</v>
      </c>
      <c r="H10" s="12" t="n">
        <f aca="false">(F10/Kf)^2</f>
        <v>306.25</v>
      </c>
      <c r="I10" s="12" t="n">
        <f aca="false">G10-H10</f>
        <v>-188.25</v>
      </c>
    </row>
    <row r="11" customFormat="false" ht="15" hidden="false" customHeight="false" outlineLevel="0" collapsed="false">
      <c r="A11" s="0" t="n">
        <v>0.7</v>
      </c>
      <c r="B11" s="6" t="n">
        <v>1.24</v>
      </c>
      <c r="C11" s="12" t="n">
        <f aca="false">A11*B11</f>
        <v>0.868</v>
      </c>
      <c r="F11" s="0" t="n">
        <v>4000</v>
      </c>
      <c r="G11" s="6" t="n">
        <v>120</v>
      </c>
      <c r="H11" s="12" t="n">
        <f aca="false">(F11/Kf)^2</f>
        <v>400</v>
      </c>
      <c r="I11" s="12" t="n">
        <f aca="false">G11-H11</f>
        <v>-280</v>
      </c>
    </row>
    <row r="12" customFormat="false" ht="15" hidden="false" customHeight="false" outlineLevel="0" collapsed="false">
      <c r="A12" s="0" t="n">
        <v>0.8</v>
      </c>
      <c r="B12" s="6" t="n">
        <v>1.1</v>
      </c>
      <c r="C12" s="12" t="n">
        <f aca="false">A12*B12</f>
        <v>0.88</v>
      </c>
      <c r="F12" s="0" t="n">
        <v>4500</v>
      </c>
      <c r="G12" s="6" t="n">
        <v>118</v>
      </c>
      <c r="H12" s="12" t="n">
        <f aca="false">(F12/Kf)^2</f>
        <v>506.25</v>
      </c>
      <c r="I12" s="12" t="n">
        <f aca="false">G12-H12</f>
        <v>-388.25</v>
      </c>
    </row>
    <row r="13" customFormat="false" ht="15" hidden="false" customHeight="false" outlineLevel="0" collapsed="false">
      <c r="A13" s="0" t="n">
        <v>0.9</v>
      </c>
      <c r="B13" s="6" t="n">
        <v>1</v>
      </c>
      <c r="C13" s="12" t="n">
        <f aca="false">A13*B13</f>
        <v>0.9</v>
      </c>
      <c r="F13" s="0" t="n">
        <v>5000</v>
      </c>
      <c r="G13" s="6" t="n">
        <v>116</v>
      </c>
      <c r="H13" s="12" t="n">
        <f aca="false">(F13/Kf)^2</f>
        <v>625</v>
      </c>
      <c r="I13" s="12" t="n">
        <f aca="false">G13-H13</f>
        <v>-509</v>
      </c>
    </row>
    <row r="14" customFormat="false" ht="15" hidden="false" customHeight="false" outlineLevel="0" collapsed="false">
      <c r="A14" s="0" t="n">
        <v>1</v>
      </c>
      <c r="B14" s="6" t="n">
        <v>1</v>
      </c>
      <c r="C14" s="12" t="n">
        <f aca="false">A14*B14</f>
        <v>1</v>
      </c>
      <c r="F14" s="0" t="n">
        <v>5500</v>
      </c>
      <c r="G14" s="6" t="n">
        <v>112</v>
      </c>
      <c r="H14" s="12" t="n">
        <f aca="false">(F14/Kf)^2</f>
        <v>756.25</v>
      </c>
      <c r="I14" s="12" t="n">
        <f aca="false">G14-H14</f>
        <v>-644.25</v>
      </c>
    </row>
    <row r="15" customFormat="false" ht="15" hidden="false" customHeight="false" outlineLevel="0" collapsed="false">
      <c r="F15" s="0" t="n">
        <v>6000</v>
      </c>
      <c r="G15" s="6" t="n">
        <v>108</v>
      </c>
      <c r="H15" s="12" t="n">
        <f aca="false">(F15/Kf)^2</f>
        <v>900</v>
      </c>
      <c r="I15" s="12" t="n">
        <f aca="false">G15-H15</f>
        <v>-792</v>
      </c>
    </row>
    <row r="16" customFormat="false" ht="15" hidden="false" customHeight="false" outlineLevel="0" collapsed="false">
      <c r="F16" s="0" t="n">
        <v>6500</v>
      </c>
      <c r="G16" s="6" t="n">
        <v>100</v>
      </c>
      <c r="H16" s="12" t="n">
        <f aca="false">(F16/Kf)^2</f>
        <v>1056.25</v>
      </c>
      <c r="I16" s="12" t="n">
        <f aca="false">G16-H16</f>
        <v>-956.25</v>
      </c>
    </row>
    <row r="17" customFormat="false" ht="15" hidden="false" customHeight="false" outlineLevel="0" collapsed="false">
      <c r="F17" s="0" t="n">
        <v>7000</v>
      </c>
      <c r="G17" s="6" t="n">
        <v>90</v>
      </c>
      <c r="H17" s="12" t="n">
        <f aca="false">(F17/Kf)^2</f>
        <v>1225</v>
      </c>
      <c r="I17" s="12" t="n">
        <f aca="false">G17-H17</f>
        <v>-1135</v>
      </c>
    </row>
    <row r="19" customFormat="false" ht="15" hidden="false" customHeight="false" outlineLevel="0" collapsed="false">
      <c r="F19" s="0" t="s">
        <v>79</v>
      </c>
      <c r="I19" s="12" t="n">
        <f aca="false">INDEX(F4:F17,MATCH(TRUE(),INDEX(I4:I17&lt;=0,0),0)-1)+(INDEX(F4:F17,MATCH(TRUE(),INDEX(I4:I17&lt;=0,0),0))-INDEX(F4:F17,MATCH(TRUE(),INDEX(I4:I17&lt;=0,0),0)-1))*INDEX(I4:I17,MATCH(TRUE(),INDEX(I4:I17&lt;=0,0),0)-1)/(INDEX(I4:I17,MATCH(TRUE(),INDEX(I4:I17&lt;=0,0),0)-1)-INDEX(I4:I17,MATCH(TRUE(),INDEX(I4:I17&lt;=0,0),0)))</f>
        <v>2114.83253588517</v>
      </c>
    </row>
    <row r="20" customFormat="false" ht="15" hidden="false" customHeight="false" outlineLevel="0" collapsed="false">
      <c r="F20" s="0" t="s">
        <v>80</v>
      </c>
      <c r="I20" s="12" t="n">
        <f aca="false">(nst/Kf)^2</f>
        <v>111.812916370962</v>
      </c>
    </row>
    <row r="21" customFormat="false" ht="15" hidden="false" customHeight="false" outlineLevel="0" collapsed="false">
      <c r="F21" s="0" t="s">
        <v>81</v>
      </c>
      <c r="I21" s="12" t="n">
        <f aca="false">B4*I20</f>
        <v>245.988416016117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82</v>
      </c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</row>
    <row r="4" customFormat="false" ht="15" hidden="false" customHeight="false" outlineLevel="0" collapsed="false">
      <c r="A4" s="0" t="s">
        <v>83</v>
      </c>
      <c r="B4" s="0" t="s">
        <v>84</v>
      </c>
      <c r="C4" s="6" t="n">
        <v>15</v>
      </c>
      <c r="D4" s="7" t="s">
        <v>85</v>
      </c>
      <c r="E4" s="7" t="s">
        <v>86</v>
      </c>
    </row>
    <row r="5" customFormat="false" ht="15" hidden="false" customHeight="false" outlineLevel="0" collapsed="false">
      <c r="A5" s="0" t="s">
        <v>87</v>
      </c>
      <c r="B5" s="0" t="s">
        <v>88</v>
      </c>
      <c r="C5" s="6" t="n">
        <v>2000</v>
      </c>
      <c r="D5" s="7" t="s">
        <v>27</v>
      </c>
    </row>
    <row r="6" customFormat="false" ht="15" hidden="false" customHeight="false" outlineLevel="0" collapsed="false">
      <c r="A6" s="0" t="s">
        <v>89</v>
      </c>
      <c r="B6" s="0" t="s">
        <v>90</v>
      </c>
      <c r="C6" s="6" t="n">
        <v>0.9</v>
      </c>
      <c r="D6" s="7" t="s">
        <v>21</v>
      </c>
      <c r="E6" s="7" t="s">
        <v>91</v>
      </c>
    </row>
    <row r="7" customFormat="false" ht="15" hidden="false" customHeight="false" outlineLevel="0" collapsed="false">
      <c r="A7" s="0" t="s">
        <v>92</v>
      </c>
      <c r="B7" s="0" t="s">
        <v>93</v>
      </c>
      <c r="C7" s="6" t="n">
        <v>7</v>
      </c>
      <c r="D7" s="7" t="s">
        <v>94</v>
      </c>
      <c r="E7" s="7" t="s">
        <v>95</v>
      </c>
    </row>
    <row r="8" customFormat="false" ht="15" hidden="false" customHeight="false" outlineLevel="0" collapsed="false">
      <c r="A8" s="0" t="s">
        <v>96</v>
      </c>
      <c r="B8" s="0" t="s">
        <v>97</v>
      </c>
      <c r="C8" s="6" t="n">
        <v>3.2</v>
      </c>
      <c r="D8" s="7" t="s">
        <v>94</v>
      </c>
      <c r="E8" s="7" t="s">
        <v>98</v>
      </c>
    </row>
    <row r="9" customFormat="false" ht="15" hidden="false" customHeight="false" outlineLevel="0" collapsed="false">
      <c r="A9" s="0" t="s">
        <v>99</v>
      </c>
      <c r="B9" s="0" t="s">
        <v>100</v>
      </c>
      <c r="C9" s="6" t="n">
        <v>0.9</v>
      </c>
      <c r="D9" s="7" t="s">
        <v>21</v>
      </c>
    </row>
    <row r="11" customFormat="false" ht="15" hidden="false" customHeight="false" outlineLevel="0" collapsed="false">
      <c r="A11" s="8" t="s">
        <v>101</v>
      </c>
    </row>
    <row r="12" customFormat="false" ht="15" hidden="false" customHeight="false" outlineLevel="0" collapsed="false">
      <c r="A12" s="0" t="s">
        <v>102</v>
      </c>
      <c r="B12" s="0" t="s">
        <v>103</v>
      </c>
      <c r="C12" s="9" t="n">
        <f aca="false">Vg*nb*etav/1000</f>
        <v>27</v>
      </c>
      <c r="D12" s="7" t="s">
        <v>104</v>
      </c>
      <c r="E12" s="7" t="s">
        <v>105</v>
      </c>
    </row>
    <row r="13" customFormat="false" ht="15" hidden="false" customHeight="false" outlineLevel="0" collapsed="false">
      <c r="A13" s="0" t="s">
        <v>106</v>
      </c>
      <c r="B13" s="0" t="s">
        <v>107</v>
      </c>
      <c r="C13" s="9" t="n">
        <f aca="false">Vd/Vt</f>
        <v>0.457142857142857</v>
      </c>
      <c r="D13" s="7" t="s">
        <v>21</v>
      </c>
    </row>
    <row r="14" customFormat="false" ht="15" hidden="false" customHeight="false" outlineLevel="0" collapsed="false">
      <c r="A14" s="0" t="s">
        <v>108</v>
      </c>
      <c r="B14" s="0" t="s">
        <v>39</v>
      </c>
      <c r="C14" s="9" t="n">
        <f aca="false">ROUNDUP(LN(1-Robj)/LN(1-frn),0)</f>
        <v>4</v>
      </c>
      <c r="D14" s="7" t="s">
        <v>21</v>
      </c>
      <c r="E14" s="7" t="s">
        <v>109</v>
      </c>
    </row>
    <row r="16" customFormat="false" ht="41.75" hidden="false" customHeight="false" outlineLevel="0" collapsed="false">
      <c r="A16" s="5" t="s">
        <v>110</v>
      </c>
      <c r="B16" s="5" t="s">
        <v>111</v>
      </c>
      <c r="C16" s="5" t="s">
        <v>112</v>
      </c>
      <c r="D16" s="5" t="s">
        <v>113</v>
      </c>
    </row>
    <row r="17" customFormat="false" ht="15" hidden="false" customHeight="false" outlineLevel="0" collapsed="false">
      <c r="A17" s="0" t="n">
        <v>1</v>
      </c>
      <c r="B17" s="12" t="n">
        <f aca="false">(1-(1-frn)^A17)*100</f>
        <v>45.7142857142857</v>
      </c>
      <c r="C17" s="0" t="n">
        <v>750</v>
      </c>
      <c r="D17" s="12" t="n">
        <f aca="false">Vg*C17*etav/1000</f>
        <v>10.125</v>
      </c>
    </row>
    <row r="18" customFormat="false" ht="15" hidden="false" customHeight="false" outlineLevel="0" collapsed="false">
      <c r="A18" s="0" t="n">
        <v>2</v>
      </c>
      <c r="B18" s="12" t="n">
        <f aca="false">(1-(1-frn)^A18)*100</f>
        <v>70.530612244898</v>
      </c>
      <c r="C18" s="0" t="n">
        <v>1250</v>
      </c>
      <c r="D18" s="12" t="n">
        <f aca="false">Vg*C18*etav/1000</f>
        <v>16.875</v>
      </c>
    </row>
    <row r="19" customFormat="false" ht="15" hidden="false" customHeight="false" outlineLevel="0" collapsed="false">
      <c r="A19" s="0" t="n">
        <v>3</v>
      </c>
      <c r="B19" s="12" t="n">
        <f aca="false">(1-(1-frn)^A19)*100</f>
        <v>84.002332361516</v>
      </c>
      <c r="C19" s="0" t="n">
        <v>1750</v>
      </c>
      <c r="D19" s="12" t="n">
        <f aca="false">Vg*C19*etav/1000</f>
        <v>23.625</v>
      </c>
    </row>
    <row r="20" customFormat="false" ht="15" hidden="false" customHeight="false" outlineLevel="0" collapsed="false">
      <c r="A20" s="0" t="n">
        <v>4</v>
      </c>
      <c r="B20" s="12" t="n">
        <f aca="false">(1-(1-frn)^A20)*100</f>
        <v>91.3155518533944</v>
      </c>
      <c r="C20" s="0" t="n">
        <v>2250</v>
      </c>
      <c r="D20" s="12" t="n">
        <f aca="false">Vg*C20*etav/1000</f>
        <v>30.375</v>
      </c>
    </row>
    <row r="21" customFormat="false" ht="15" hidden="false" customHeight="false" outlineLevel="0" collapsed="false">
      <c r="A21" s="0" t="n">
        <v>5</v>
      </c>
      <c r="B21" s="12" t="n">
        <f aca="false">(1-(1-frn)^A21)*100</f>
        <v>95.2855852918427</v>
      </c>
      <c r="C21" s="0" t="n">
        <v>2750</v>
      </c>
      <c r="D21" s="12" t="n">
        <f aca="false">Vg*C21*etav/1000</f>
        <v>37.125</v>
      </c>
    </row>
    <row r="22" customFormat="false" ht="15" hidden="false" customHeight="false" outlineLevel="0" collapsed="false">
      <c r="A22" s="0" t="n">
        <v>6</v>
      </c>
      <c r="B22" s="12" t="n">
        <f aca="false">(1-(1-frn)^A22)*100</f>
        <v>97.440746301286</v>
      </c>
      <c r="C22" s="0" t="n">
        <v>3250</v>
      </c>
      <c r="D22" s="12" t="n">
        <f aca="false">Vg*C22*etav/1000</f>
        <v>43.875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2026-09-16T11:46:12Z</dcterms:created>
  <dc:creator>openpyxl</dc:creator>
  <dc:description/>
  <dc:language>en-US</dc:language>
  <cp:lastModifiedBy/>
  <dcterms:modified xsi:type="dcterms:W3CDTF">2026-09-16T11:46:14Z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