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os" sheetId="1" state="visible" r:id="rId3"/>
    <sheet name="Bureta" sheetId="2" state="visible" r:id="rId4"/>
    <sheet name="Empaque" sheetId="3" state="visible" r:id="rId5"/>
    <sheet name="Grafic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<sst xmlns="http://schemas.openxmlformats.org/spreadsheetml/2006/main" count="121" uniqueCount="94">
  <si>
    <t xml:space="preserve">GUÍA 14 – CILINDRADA Y RELACIÓN DE COMPRESIÓN</t>
  </si>
  <si>
    <t xml:space="preserve">Ecuaciones de la guía original: A_P, V_C, V_CC, R_c, V_u, V_T, V_j, R_cj</t>
  </si>
  <si>
    <t xml:space="preserve">Leyenda: celdas amarillas con texto azul = datos de entrada (editar). Texto negro = fórmulas (no editar).</t>
  </si>
  <si>
    <t xml:space="preserve">1. 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</si>
  <si>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</si>
  <si>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</si>
  <si>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</si>
  <si>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</si>
  <si>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Fuente / observación</t>
  </si>
  <si>
    <t xml:space="preserve">Diámetro del cilindro</t>
  </si>
  <si>
    <t xml:space="preserve">D</t>
  </si>
  <si>
    <t xml:space="preserve">cm</t>
  </si>
  <si>
    <t xml:space="preserve">Guía 13 (dato de ejemplo)</t>
  </si>
  <si>
    <t xml:space="preserve">Carrera del pistón</t>
  </si>
  <si>
    <t xml:space="preserve">S</t>
  </si>
  <si>
    <t xml:space="preserve">Número de cilindros</t>
  </si>
  <si>
    <t xml:space="preserve">Z</t>
  </si>
  <si>
    <t xml:space="preserve">—</t>
  </si>
  <si>
    <t xml:space="preserve">Ficha técnica</t>
  </si>
  <si>
    <t xml:space="preserve">Relación de compresión del fabricante</t>
  </si>
  <si>
    <t xml:space="preserve">R_c</t>
  </si>
  <si>
    <t xml:space="preserve">Manual de taller</t>
  </si>
  <si>
    <t xml:space="preserve">Espesor del empaque</t>
  </si>
  <si>
    <t xml:space="preserve">E_j</t>
  </si>
  <si>
    <t xml:space="preserve">mm</t>
  </si>
  <si>
    <t xml:space="preserve">Medición con calibrador</t>
  </si>
  <si>
    <t xml:space="preserve">Relación de calores específicos</t>
  </si>
  <si>
    <t xml:space="preserve">γ</t>
  </si>
  <si>
    <t xml:space="preserve">Aire (para η Otto ideal)</t>
  </si>
  <si>
    <t xml:space="preserve">2. Cálculo sin considerar el empaque</t>
  </si>
  <si>
    <t xml:space="preserve">Ecuación</t>
  </si>
  <si>
    <t xml:space="preserve">Descripción</t>
  </si>
  <si>
    <t xml:space="preserve">Área del pistón</t>
  </si>
  <si>
    <t xml:space="preserve">A_P = π·D²/4</t>
  </si>
  <si>
    <t xml:space="preserve">cm²</t>
  </si>
  <si>
    <t xml:space="preserve">Área de la cabeza del pistón</t>
  </si>
  <si>
    <t xml:space="preserve">Volumen del cilindro</t>
  </si>
  <si>
    <t xml:space="preserve">V_C = A_P·S</t>
  </si>
  <si>
    <t xml:space="preserve">cm³</t>
  </si>
  <si>
    <t xml:space="preserve">Cilindrada unitaria</t>
  </si>
  <si>
    <t xml:space="preserve">Volumen de la cámara de combustión</t>
  </si>
  <si>
    <t xml:space="preserve">V_CC = V_C/(R_c − 1)</t>
  </si>
  <si>
    <t xml:space="preserve">Con R_c del fabricante</t>
  </si>
  <si>
    <t xml:space="preserve">Relación de compresión (comprobación)</t>
  </si>
  <si>
    <t xml:space="preserve">R_c = (V_C + V_CC)/V_CC</t>
  </si>
  <si>
    <t xml:space="preserve">Debe coincidir con R_c</t>
  </si>
  <si>
    <t xml:space="preserve">Volumen unitario</t>
  </si>
  <si>
    <t xml:space="preserve">V_u = V_C + V_CC</t>
  </si>
  <si>
    <t xml:space="preserve">Cilindro + cámara</t>
  </si>
  <si>
    <t xml:space="preserve">Volumen total</t>
  </si>
  <si>
    <t xml:space="preserve">V_T = V_u·Z</t>
  </si>
  <si>
    <t xml:space="preserve">Incluye las cámaras</t>
  </si>
  <si>
    <t xml:space="preserve">Cilindrada comercial</t>
  </si>
  <si>
    <t xml:space="preserve">V_C·Z</t>
  </si>
  <si>
    <t xml:space="preserve">Volumen desplazado por los pistones</t>
  </si>
  <si>
    <t xml:space="preserve">Eficiencia Otto ideal</t>
  </si>
  <si>
    <t xml:space="preserve">η = 1 − 1/R_c^(γ−1)</t>
  </si>
  <si>
    <t xml:space="preserve">%</t>
  </si>
  <si>
    <t xml:space="preserve">Referencia (Guía 6)</t>
  </si>
  <si>
    <t xml:space="preserve">3. Cálculo considerando el empaque de culata</t>
  </si>
  <si>
    <t xml:space="preserve">E_j (cm)</t>
  </si>
  <si>
    <t xml:space="preserve">Conversión mm → cm</t>
  </si>
  <si>
    <t xml:space="preserve">Volumen del empaque</t>
  </si>
  <si>
    <t xml:space="preserve">V_j = (V_u/S)·E_j</t>
  </si>
  <si>
    <t xml:space="preserve">Volumen añadido por el empaque</t>
  </si>
  <si>
    <t xml:space="preserve">Relación de compresión con empaque</t>
  </si>
  <si>
    <t xml:space="preserve">R_cj = (V_C + V_CC + V_j)/(V_CC + V_j)</t>
  </si>
  <si>
    <t xml:space="preserve">Relación efectiva</t>
  </si>
  <si>
    <t xml:space="preserve">Volumen unitario con empaque</t>
  </si>
  <si>
    <t xml:space="preserve">V_u = V_C + V_CC + V_j</t>
  </si>
  <si>
    <t xml:space="preserve">Volumen total con empaque</t>
  </si>
  <si>
    <t xml:space="preserve">Eficiencia Otto ideal con empaque</t>
  </si>
  <si>
    <t xml:space="preserve">η = 1 − 1/R_cj^(γ−1)</t>
  </si>
  <si>
    <t xml:space="preserve">Variación de R_c por el empaque</t>
  </si>
  <si>
    <t xml:space="preserve">(R_cj − R_c)/R_c</t>
  </si>
  <si>
    <t xml:space="preserve">Volumen de la cámara medido con bureta</t>
  </si>
  <si>
    <t xml:space="preserve">Compare con V_CC calculado</t>
  </si>
  <si>
    <t xml:space="preserve">Cámara</t>
  </si>
  <si>
    <t xml:space="preserve">Nivel inicial (mL)</t>
  </si>
  <si>
    <t xml:space="preserve">Nivel final (mL)</t>
  </si>
  <si>
    <t xml:space="preserve">Volumen medido (cm³)</t>
  </si>
  <si>
    <t xml:space="preserve">V_CC calculado (cm³)</t>
  </si>
  <si>
    <t xml:space="preserve">Diferencia (%)</t>
  </si>
  <si>
    <t xml:space="preserve">R_c con V_CC medido</t>
  </si>
  <si>
    <t xml:space="preserve">Promedio</t>
  </si>
  <si>
    <t xml:space="preserve">Las lecturas de ejemplo son ilustrativas. Si la bureta se vacía al llenar la cámara, volumen = nivel inicial − nivel final.</t>
  </si>
  <si>
    <t xml:space="preserve">Influencia del espesor del empaque</t>
  </si>
  <si>
    <t xml:space="preserve">Tabla paramétrica: modifique los espesores en la columna A si lo desea</t>
  </si>
  <si>
    <t xml:space="preserve">E_j (mm)</t>
  </si>
  <si>
    <t xml:space="preserve">V_j (cm³)</t>
  </si>
  <si>
    <t xml:space="preserve">R_cj</t>
  </si>
  <si>
    <t xml:space="preserve">V_u (cm³)</t>
  </si>
  <si>
    <t xml:space="preserve">V_T (cm³)</t>
  </si>
  <si>
    <t xml:space="preserve">η Otto ideal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</si>
</sst>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Relación de compresión en función del espesor del empaque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"R_cj"</c:f>
              <c:strCache>
                <c:ptCount val="1"/>
                <c:pt idx="0">
                  <c:v>R_cj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Empaque!$A$5:$A$13</c:f>
              <c:numCache>
                <c:formatCode>0.0</c:formatCode>
                <c:ptCount val="9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</c:numCache>
            </c:numRef>
          </c:xVal>
          <c:yVal>
            <c:numRef>
              <c:f>Empaque!$C$5:$C$13</c:f>
              <c:numCache>
                <c:formatCode>0.00</c:formatCode>
                <c:ptCount val="9"/>
                <c:pt idx="0">
                  <c:v>9.04698457223002</c:v>
                </c:pt>
                <c:pt idx="1">
                  <c:v>8.83811475409836</c:v>
                </c:pt>
                <c:pt idx="2">
                  <c:v>8.63981358189081</c:v>
                </c:pt>
                <c:pt idx="3">
                  <c:v>8.4512987012987</c:v>
                </c:pt>
                <c:pt idx="4">
                  <c:v>8.27186311787072</c:v>
                </c:pt>
                <c:pt idx="5">
                  <c:v>8.10086633663366</c:v>
                </c:pt>
                <c:pt idx="6">
                  <c:v>7.93772672309552</c:v>
                </c:pt>
                <c:pt idx="7">
                  <c:v>7.78191489361702</c:v>
                </c:pt>
                <c:pt idx="8">
                  <c:v>7.63294797687861</c:v>
                </c:pt>
              </c:numCache>
            </c:numRef>
          </c:yVal>
          <c:smooth val="1"/>
        </c:ser>
        <c:axId val="44090945"/>
        <c:axId val="61134969"/>
      </c:scatterChart>
      <c:scatterChart>
        <c:scatterStyle val="lineMarker"/>
        <c:varyColors val="0"/>
        <c:ser>
          <c:idx val="1"/>
          <c:order val="1"/>
          <c:tx>
            <c:strRef>
              <c:f>"η Otto ideal (%)"</c:f>
              <c:strCache>
                <c:ptCount val="1"/>
                <c:pt idx="0">
                  <c:v>η Otto ideal (%)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squar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Empaque!$A$5:$A$13</c:f>
              <c:numCache>
                <c:formatCode>0.0</c:formatCode>
                <c:ptCount val="9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</c:numCache>
            </c:numRef>
          </c:xVal>
          <c:yVal>
            <c:numRef>
              <c:f>Empaque!$F$5:$F$13</c:f>
              <c:numCache>
                <c:formatCode>0.00</c:formatCode>
                <c:ptCount val="9"/>
                <c:pt idx="0">
                  <c:v>58.5620311013023</c:v>
                </c:pt>
                <c:pt idx="1">
                  <c:v>58.1730549752777</c:v>
                </c:pt>
                <c:pt idx="2">
                  <c:v>57.7916620439214</c:v>
                </c:pt>
                <c:pt idx="3">
                  <c:v>57.4175525285856</c:v>
                </c:pt>
                <c:pt idx="4">
                  <c:v>57.0504454078892</c:v>
                </c:pt>
                <c:pt idx="5">
                  <c:v>56.690076817929</c:v>
                </c:pt>
                <c:pt idx="6">
                  <c:v>56.3361986235073</c:v>
                </c:pt>
                <c:pt idx="7">
                  <c:v>55.9885771385838</c:v>
                </c:pt>
                <c:pt idx="8">
                  <c:v>55.6469919773612</c:v>
                </c:pt>
              </c:numCache>
            </c:numRef>
          </c:yVal>
          <c:smooth val="1"/>
        </c:ser>
        <c:axId val="12510996"/>
        <c:axId val="42756822"/>
      </c:scatterChart>
      <c:valAx>
        <c:axId val="440909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Espesor del empaque E_j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34969"/>
        <c:crosses val="autoZero"/>
        <c:crossBetween val="midCat"/>
      </c:valAx>
      <c:valAx>
        <c:axId val="61134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R_cj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90945"/>
        <c:crosses val="autoZero"/>
        <c:crossBetween val="midCat"/>
      </c:valAx>
      <c:valAx>
        <c:axId val="12510996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Espesor del empaque E_j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56822"/>
        <c:crosses val="autoZero"/>
        <c:crossBetween val="midCat"/>
      </c:valAx>
      <c:valAx>
        <c:axId val="4275682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η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10996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3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customFormat="false" ht="15" hidden="false" customHeight="false" outlineLevel="0" collapsed="false">
      <c r="A7" s="6" t="s">
        <v>9</v>
      </c>
      <c r="B7" s="6" t="s">
        <v>10</v>
      </c>
      <c r="C7" s="7" t="n">
        <v>7.8</v>
      </c>
      <c r="D7" s="6" t="s">
        <v>11</v>
      </c>
      <c r="E7" s="6" t="s">
        <v>12</v>
      </c>
    </row>
    <row r="8" customFormat="false" ht="15" hidden="false" customHeight="false" outlineLevel="0" collapsed="false">
      <c r="A8" s="6" t="s">
        <v>13</v>
      </c>
      <c r="B8" s="6" t="s">
        <v>14</v>
      </c>
      <c r="C8" s="7" t="n">
        <v>6.75</v>
      </c>
      <c r="D8" s="6" t="s">
        <v>11</v>
      </c>
      <c r="E8" s="6" t="s">
        <v>12</v>
      </c>
    </row>
    <row r="9" customFormat="false" ht="15" hidden="false" customHeight="false" outlineLevel="0" collapsed="false">
      <c r="A9" s="6" t="s">
        <v>15</v>
      </c>
      <c r="B9" s="6" t="s">
        <v>16</v>
      </c>
      <c r="C9" s="7" t="n">
        <v>4</v>
      </c>
      <c r="D9" s="6" t="s">
        <v>17</v>
      </c>
      <c r="E9" s="6" t="s">
        <v>18</v>
      </c>
    </row>
    <row r="10" customFormat="false" ht="15" hidden="false" customHeight="false" outlineLevel="0" collapsed="false">
      <c r="A10" s="6" t="s">
        <v>19</v>
      </c>
      <c r="B10" s="6" t="s">
        <v>20</v>
      </c>
      <c r="C10" s="7" t="n">
        <v>9.5</v>
      </c>
      <c r="D10" s="6" t="s">
        <v>17</v>
      </c>
      <c r="E10" s="6" t="s">
        <v>21</v>
      </c>
    </row>
    <row r="11" customFormat="false" ht="15" hidden="false" customHeight="false" outlineLevel="0" collapsed="false">
      <c r="A11" s="6" t="s">
        <v>22</v>
      </c>
      <c r="B11" s="6" t="s">
        <v>23</v>
      </c>
      <c r="C11" s="7" t="n">
        <v>1.2</v>
      </c>
      <c r="D11" s="6" t="s">
        <v>24</v>
      </c>
      <c r="E11" s="6" t="s">
        <v>25</v>
      </c>
    </row>
    <row r="12" customFormat="false" ht="15" hidden="false" customHeight="false" outlineLevel="0" collapsed="false">
      <c r="A12" s="6" t="s">
        <v>26</v>
      </c>
      <c r="B12" s="6" t="s">
        <v>27</v>
      </c>
      <c r="C12" s="7" t="n">
        <v>1.4</v>
      </c>
      <c r="D12" s="6" t="s">
        <v>17</v>
      </c>
      <c r="E12" s="6" t="s">
        <v>28</v>
      </c>
    </row>
    <row r="14" customFormat="false" ht="15" hidden="false" customHeight="false" outlineLevel="0" collapsed="false">
      <c r="A14" s="4" t="s">
        <v>29</v>
      </c>
    </row>
    <row r="15" customFormat="false" ht="31.5" hidden="false" customHeight="true" outlineLevel="0" collapsed="false">
      <c r="A15" s="5" t="s">
        <v>4</v>
      </c>
      <c r="B15" s="5" t="s">
        <v>30</v>
      </c>
      <c r="C15" s="5" t="s">
        <v>6</v>
      </c>
      <c r="D15" s="5" t="s">
        <v>7</v>
      </c>
      <c r="E15" s="5" t="s">
        <v>31</v>
      </c>
    </row>
    <row r="16" customFormat="false" ht="15" hidden="false" customHeight="false" outlineLevel="0" collapsed="false">
      <c r="A16" s="8" t="s">
        <v>32</v>
      </c>
      <c r="B16" s="6" t="s">
        <v>33</v>
      </c>
      <c r="C16" s="9" t="n">
        <f aca="false">PI()*C7^2/4</f>
        <v>47.7836242611008</v>
      </c>
      <c r="D16" s="6" t="s">
        <v>34</v>
      </c>
      <c r="E16" s="6" t="s">
        <v>35</v>
      </c>
    </row>
    <row r="17" customFormat="false" ht="15" hidden="false" customHeight="false" outlineLevel="0" collapsed="false">
      <c r="A17" s="8" t="s">
        <v>36</v>
      </c>
      <c r="B17" s="6" t="s">
        <v>37</v>
      </c>
      <c r="C17" s="9" t="n">
        <f aca="false">C16*C8</f>
        <v>322.53946376243</v>
      </c>
      <c r="D17" s="6" t="s">
        <v>38</v>
      </c>
      <c r="E17" s="6" t="s">
        <v>39</v>
      </c>
    </row>
    <row r="18" customFormat="false" ht="15" hidden="false" customHeight="false" outlineLevel="0" collapsed="false">
      <c r="A18" s="8" t="s">
        <v>40</v>
      </c>
      <c r="B18" s="6" t="s">
        <v>41</v>
      </c>
      <c r="C18" s="9" t="n">
        <f aca="false">C17/(C10-1)</f>
        <v>37.9458192661682</v>
      </c>
      <c r="D18" s="6" t="s">
        <v>38</v>
      </c>
      <c r="E18" s="6" t="s">
        <v>42</v>
      </c>
    </row>
    <row r="19" customFormat="false" ht="15" hidden="false" customHeight="false" outlineLevel="0" collapsed="false">
      <c r="A19" s="8" t="s">
        <v>43</v>
      </c>
      <c r="B19" s="6" t="s">
        <v>44</v>
      </c>
      <c r="C19" s="9" t="n">
        <f aca="false">(C17+C18)/C18</f>
        <v>9.5</v>
      </c>
      <c r="D19" s="6" t="s">
        <v>17</v>
      </c>
      <c r="E19" s="6" t="s">
        <v>45</v>
      </c>
    </row>
    <row r="20" customFormat="false" ht="15" hidden="false" customHeight="false" outlineLevel="0" collapsed="false">
      <c r="A20" s="8" t="s">
        <v>46</v>
      </c>
      <c r="B20" s="6" t="s">
        <v>47</v>
      </c>
      <c r="C20" s="9" t="n">
        <f aca="false">C17+C18</f>
        <v>360.485283028598</v>
      </c>
      <c r="D20" s="6" t="s">
        <v>38</v>
      </c>
      <c r="E20" s="6" t="s">
        <v>48</v>
      </c>
    </row>
    <row r="21" customFormat="false" ht="15" hidden="false" customHeight="false" outlineLevel="0" collapsed="false">
      <c r="A21" s="8" t="s">
        <v>49</v>
      </c>
      <c r="B21" s="6" t="s">
        <v>50</v>
      </c>
      <c r="C21" s="9" t="n">
        <f aca="false">C20*C9</f>
        <v>1441.94113211439</v>
      </c>
      <c r="D21" s="6" t="s">
        <v>38</v>
      </c>
      <c r="E21" s="6" t="s">
        <v>51</v>
      </c>
    </row>
    <row r="22" customFormat="false" ht="15" hidden="false" customHeight="false" outlineLevel="0" collapsed="false">
      <c r="A22" s="8" t="s">
        <v>52</v>
      </c>
      <c r="B22" s="6" t="s">
        <v>53</v>
      </c>
      <c r="C22" s="9" t="n">
        <f aca="false">C17*C9</f>
        <v>1290.15785504972</v>
      </c>
      <c r="D22" s="6" t="s">
        <v>38</v>
      </c>
      <c r="E22" s="6" t="s">
        <v>54</v>
      </c>
    </row>
    <row r="23" customFormat="false" ht="15" hidden="false" customHeight="false" outlineLevel="0" collapsed="false">
      <c r="A23" s="8" t="s">
        <v>55</v>
      </c>
      <c r="B23" s="6" t="s">
        <v>56</v>
      </c>
      <c r="C23" s="9" t="n">
        <f aca="false">(1-1/C19^(C12-1))*100</f>
        <v>59.3640368439864</v>
      </c>
      <c r="D23" s="6" t="s">
        <v>57</v>
      </c>
      <c r="E23" s="6" t="s">
        <v>58</v>
      </c>
    </row>
    <row r="25" customFormat="false" ht="15" hidden="false" customHeight="false" outlineLevel="0" collapsed="false">
      <c r="A25" s="4" t="s">
        <v>59</v>
      </c>
    </row>
    <row r="26" customFormat="false" ht="31.5" hidden="false" customHeight="true" outlineLevel="0" collapsed="false">
      <c r="A26" s="5" t="s">
        <v>4</v>
      </c>
      <c r="B26" s="5" t="s">
        <v>30</v>
      </c>
      <c r="C26" s="5" t="s">
        <v>6</v>
      </c>
      <c r="D26" s="5" t="s">
        <v>7</v>
      </c>
      <c r="E26" s="5" t="s">
        <v>31</v>
      </c>
    </row>
    <row r="27" customFormat="false" ht="15" hidden="false" customHeight="false" outlineLevel="0" collapsed="false">
      <c r="A27" s="8" t="s">
        <v>22</v>
      </c>
      <c r="B27" s="6" t="s">
        <v>60</v>
      </c>
      <c r="C27" s="9" t="n">
        <f aca="false">C11/10</f>
        <v>0.12</v>
      </c>
      <c r="D27" s="6" t="s">
        <v>11</v>
      </c>
      <c r="E27" s="6" t="s">
        <v>61</v>
      </c>
    </row>
    <row r="28" customFormat="false" ht="15" hidden="false" customHeight="false" outlineLevel="0" collapsed="false">
      <c r="A28" s="8" t="s">
        <v>62</v>
      </c>
      <c r="B28" s="6" t="s">
        <v>63</v>
      </c>
      <c r="C28" s="9" t="n">
        <f aca="false">C20/C8*C27</f>
        <v>6.40862725384175</v>
      </c>
      <c r="D28" s="6" t="s">
        <v>38</v>
      </c>
      <c r="E28" s="6" t="s">
        <v>64</v>
      </c>
    </row>
    <row r="29" customFormat="false" ht="15" hidden="false" customHeight="false" outlineLevel="0" collapsed="false">
      <c r="A29" s="8" t="s">
        <v>65</v>
      </c>
      <c r="B29" s="6" t="s">
        <v>66</v>
      </c>
      <c r="C29" s="9" t="n">
        <f aca="false">(C17+C18+C28)/(C18+C28)</f>
        <v>8.27186311787072</v>
      </c>
      <c r="D29" s="6" t="s">
        <v>17</v>
      </c>
      <c r="E29" s="6" t="s">
        <v>67</v>
      </c>
    </row>
    <row r="30" customFormat="false" ht="15" hidden="false" customHeight="false" outlineLevel="0" collapsed="false">
      <c r="A30" s="8" t="s">
        <v>68</v>
      </c>
      <c r="B30" s="6" t="s">
        <v>69</v>
      </c>
      <c r="C30" s="9" t="n">
        <f aca="false">C17+C18+C28</f>
        <v>366.89391028244</v>
      </c>
      <c r="D30" s="6" t="s">
        <v>38</v>
      </c>
      <c r="E30" s="6"/>
    </row>
    <row r="31" customFormat="false" ht="15" hidden="false" customHeight="false" outlineLevel="0" collapsed="false">
      <c r="A31" s="8" t="s">
        <v>70</v>
      </c>
      <c r="B31" s="6" t="s">
        <v>50</v>
      </c>
      <c r="C31" s="9" t="n">
        <f aca="false">C30*C9</f>
        <v>1467.57564112976</v>
      </c>
      <c r="D31" s="6" t="s">
        <v>38</v>
      </c>
      <c r="E31" s="6"/>
    </row>
    <row r="32" customFormat="false" ht="15" hidden="false" customHeight="false" outlineLevel="0" collapsed="false">
      <c r="A32" s="8" t="s">
        <v>71</v>
      </c>
      <c r="B32" s="6" t="s">
        <v>72</v>
      </c>
      <c r="C32" s="9" t="n">
        <f aca="false">(1-1/C29^(C12-1))*100</f>
        <v>57.0504454078892</v>
      </c>
      <c r="D32" s="6" t="s">
        <v>57</v>
      </c>
      <c r="E32" s="6"/>
    </row>
    <row r="33" customFormat="false" ht="15" hidden="false" customHeight="false" outlineLevel="0" collapsed="false">
      <c r="A33" s="8" t="s">
        <v>73</v>
      </c>
      <c r="B33" s="6" t="s">
        <v>74</v>
      </c>
      <c r="C33" s="9" t="n">
        <f aca="false">(C29-C19)/C19*100</f>
        <v>-12.9277566539924</v>
      </c>
      <c r="D33" s="6" t="s">
        <v>57</v>
      </c>
      <c r="E3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5" t="s">
        <v>77</v>
      </c>
      <c r="B5" s="5" t="s">
        <v>78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</row>
    <row r="6" customFormat="false" ht="15" hidden="false" customHeight="false" outlineLevel="0" collapsed="false">
      <c r="A6" s="6" t="n">
        <v>1</v>
      </c>
      <c r="B6" s="10" t="n">
        <v>50</v>
      </c>
      <c r="C6" s="10" t="n">
        <v>12.2</v>
      </c>
      <c r="D6" s="11" t="n">
        <f aca="false">B6-C6</f>
        <v>37.8</v>
      </c>
      <c r="E6" s="9" t="n">
        <f aca="false">Calculos!$C$18</f>
        <v>37.9458192661682</v>
      </c>
      <c r="F6" s="9" t="n">
        <f aca="false">(D6-E6)/E6*100</f>
        <v>-0.384282824796606</v>
      </c>
      <c r="G6" s="9" t="n">
        <f aca="false">(Calculos!$C$17+D6)/D6</f>
        <v>9.53279004662513</v>
      </c>
    </row>
    <row r="7" customFormat="false" ht="15" hidden="false" customHeight="false" outlineLevel="0" collapsed="false">
      <c r="A7" s="6" t="n">
        <v>2</v>
      </c>
      <c r="B7" s="10" t="n">
        <v>50</v>
      </c>
      <c r="C7" s="10" t="n">
        <v>12</v>
      </c>
      <c r="D7" s="11" t="n">
        <f aca="false">B7-C7</f>
        <v>38</v>
      </c>
      <c r="E7" s="9" t="n">
        <f aca="false">Calculos!$C$18</f>
        <v>37.9458192661682</v>
      </c>
      <c r="F7" s="9" t="n">
        <f aca="false">(D7-E7)/E7*100</f>
        <v>0.142784461844689</v>
      </c>
      <c r="G7" s="9" t="n">
        <f aca="false">(Calculos!$C$17+D7)/D7</f>
        <v>9.48788062532711</v>
      </c>
    </row>
    <row r="8" customFormat="false" ht="15" hidden="false" customHeight="false" outlineLevel="0" collapsed="false">
      <c r="A8" s="6" t="n">
        <v>3</v>
      </c>
      <c r="B8" s="10" t="n">
        <v>50</v>
      </c>
      <c r="C8" s="10" t="n">
        <v>12.4</v>
      </c>
      <c r="D8" s="11" t="n">
        <f aca="false">B8-C8</f>
        <v>37.6</v>
      </c>
      <c r="E8" s="9" t="n">
        <f aca="false">Calculos!$C$18</f>
        <v>37.9458192661682</v>
      </c>
      <c r="F8" s="9" t="n">
        <f aca="false">(D8-E8)/E8*100</f>
        <v>-0.911350111437883</v>
      </c>
      <c r="G8" s="9" t="n">
        <f aca="false">(Calculos!$C$17+D8)/D8</f>
        <v>9.5781772277242</v>
      </c>
    </row>
    <row r="9" customFormat="false" ht="15" hidden="false" customHeight="false" outlineLevel="0" collapsed="false">
      <c r="A9" s="8" t="s">
        <v>84</v>
      </c>
      <c r="D9" s="12" t="n">
        <f aca="false">AVERAGE(D6:D8)</f>
        <v>37.8</v>
      </c>
      <c r="E9" s="12" t="n">
        <f aca="false">AVERAGE(E6:E8)</f>
        <v>37.9458192661682</v>
      </c>
      <c r="F9" s="12" t="n">
        <f aca="false">AVERAGE(F6:F8)</f>
        <v>-0.3842828247966</v>
      </c>
      <c r="G9" s="12" t="n">
        <f aca="false">AVERAGE(G6:G8)</f>
        <v>9.53294929989215</v>
      </c>
    </row>
    <row r="11" customFormat="false" ht="15" hidden="false" customHeight="false" outlineLevel="0" collapsed="false">
      <c r="A11" s="1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1.5" hidden="false" customHeight="true" outlineLevel="0" collapsed="false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</row>
    <row r="5" customFormat="false" ht="15" hidden="false" customHeight="false" outlineLevel="0" collapsed="false">
      <c r="A5" s="10" t="n">
        <v>0.4</v>
      </c>
      <c r="B5" s="9" t="n">
        <f aca="false">Calculos!$C$20/Calculos!$C$8*A5/10</f>
        <v>2.13620908461392</v>
      </c>
      <c r="C5" s="9" t="n">
        <f aca="false">(Calculos!$C$17+Calculos!$C$18+B5)/(Calculos!$C$18+B5)</f>
        <v>9.04698457223002</v>
      </c>
      <c r="D5" s="9" t="n">
        <f aca="false">Calculos!$C$17+Calculos!$C$18+B5</f>
        <v>362.621492113212</v>
      </c>
      <c r="E5" s="9" t="n">
        <f aca="false">D5*Calculos!$C$9</f>
        <v>1450.48596845285</v>
      </c>
      <c r="F5" s="9" t="n">
        <f aca="false">(1-1/C5^(Calculos!$C$12-1))*100</f>
        <v>58.5620311013023</v>
      </c>
    </row>
    <row r="6" customFormat="false" ht="15" hidden="false" customHeight="false" outlineLevel="0" collapsed="false">
      <c r="A6" s="10" t="n">
        <v>0.6</v>
      </c>
      <c r="B6" s="9" t="n">
        <f aca="false">Calculos!$C$20/Calculos!$C$8*A6/10</f>
        <v>3.20431362692087</v>
      </c>
      <c r="C6" s="9" t="n">
        <f aca="false">(Calculos!$C$17+Calculos!$C$18+B6)/(Calculos!$C$18+B6)</f>
        <v>8.83811475409836</v>
      </c>
      <c r="D6" s="9" t="n">
        <f aca="false">Calculos!$C$17+Calculos!$C$18+B6</f>
        <v>363.689596655519</v>
      </c>
      <c r="E6" s="9" t="n">
        <f aca="false">D6*Calculos!$C$9</f>
        <v>1454.75838662208</v>
      </c>
      <c r="F6" s="9" t="n">
        <f aca="false">(1-1/C6^(Calculos!$C$12-1))*100</f>
        <v>58.1730549752777</v>
      </c>
    </row>
    <row r="7" customFormat="false" ht="15" hidden="false" customHeight="false" outlineLevel="0" collapsed="false">
      <c r="A7" s="10" t="n">
        <v>0.8</v>
      </c>
      <c r="B7" s="9" t="n">
        <f aca="false">Calculos!$C$20/Calculos!$C$8*A7/10</f>
        <v>4.27241816922783</v>
      </c>
      <c r="C7" s="9" t="n">
        <f aca="false">(Calculos!$C$17+Calculos!$C$18+B7)/(Calculos!$C$18+B7)</f>
        <v>8.63981358189081</v>
      </c>
      <c r="D7" s="9" t="n">
        <f aca="false">Calculos!$C$17+Calculos!$C$18+B7</f>
        <v>364.757701197826</v>
      </c>
      <c r="E7" s="9" t="n">
        <f aca="false">D7*Calculos!$C$9</f>
        <v>1459.0308047913</v>
      </c>
      <c r="F7" s="9" t="n">
        <f aca="false">(1-1/C7^(Calculos!$C$12-1))*100</f>
        <v>57.7916620439214</v>
      </c>
    </row>
    <row r="8" customFormat="false" ht="15" hidden="false" customHeight="false" outlineLevel="0" collapsed="false">
      <c r="A8" s="10" t="n">
        <v>1</v>
      </c>
      <c r="B8" s="9" t="n">
        <f aca="false">Calculos!$C$20/Calculos!$C$8*A8/10</f>
        <v>5.34052271153479</v>
      </c>
      <c r="C8" s="9" t="n">
        <f aca="false">(Calculos!$C$17+Calculos!$C$18+B8)/(Calculos!$C$18+B8)</f>
        <v>8.4512987012987</v>
      </c>
      <c r="D8" s="9" t="n">
        <f aca="false">Calculos!$C$17+Calculos!$C$18+B8</f>
        <v>365.825805740133</v>
      </c>
      <c r="E8" s="9" t="n">
        <f aca="false">D8*Calculos!$C$9</f>
        <v>1463.30322296053</v>
      </c>
      <c r="F8" s="9" t="n">
        <f aca="false">(1-1/C8^(Calculos!$C$12-1))*100</f>
        <v>57.4175525285856</v>
      </c>
    </row>
    <row r="9" customFormat="false" ht="15" hidden="false" customHeight="false" outlineLevel="0" collapsed="false">
      <c r="A9" s="10" t="n">
        <v>1.2</v>
      </c>
      <c r="B9" s="9" t="n">
        <f aca="false">Calculos!$C$20/Calculos!$C$8*A9/10</f>
        <v>6.40862725384175</v>
      </c>
      <c r="C9" s="9" t="n">
        <f aca="false">(Calculos!$C$17+Calculos!$C$18+B9)/(Calculos!$C$18+B9)</f>
        <v>8.27186311787072</v>
      </c>
      <c r="D9" s="9" t="n">
        <f aca="false">Calculos!$C$17+Calculos!$C$18+B9</f>
        <v>366.89391028244</v>
      </c>
      <c r="E9" s="9" t="n">
        <f aca="false">D9*Calculos!$C$9</f>
        <v>1467.57564112976</v>
      </c>
      <c r="F9" s="9" t="n">
        <f aca="false">(1-1/C9^(Calculos!$C$12-1))*100</f>
        <v>57.0504454078892</v>
      </c>
    </row>
    <row r="10" customFormat="false" ht="15" hidden="false" customHeight="false" outlineLevel="0" collapsed="false">
      <c r="A10" s="10" t="n">
        <v>1.4</v>
      </c>
      <c r="B10" s="9" t="n">
        <f aca="false">Calculos!$C$20/Calculos!$C$8*A10/10</f>
        <v>7.47673179614871</v>
      </c>
      <c r="C10" s="9" t="n">
        <f aca="false">(Calculos!$C$17+Calculos!$C$18+B10)/(Calculos!$C$18+B10)</f>
        <v>8.10086633663366</v>
      </c>
      <c r="D10" s="9" t="n">
        <f aca="false">Calculos!$C$17+Calculos!$C$18+B10</f>
        <v>367.962014824747</v>
      </c>
      <c r="E10" s="9" t="n">
        <f aca="false">D10*Calculos!$C$9</f>
        <v>1471.84805929899</v>
      </c>
      <c r="F10" s="9" t="n">
        <f aca="false">(1-1/C10^(Calculos!$C$12-1))*100</f>
        <v>56.690076817929</v>
      </c>
    </row>
    <row r="11" customFormat="false" ht="15" hidden="false" customHeight="false" outlineLevel="0" collapsed="false">
      <c r="A11" s="10" t="n">
        <v>1.6</v>
      </c>
      <c r="B11" s="9" t="n">
        <f aca="false">Calculos!$C$20/Calculos!$C$8*A11/10</f>
        <v>8.54483633845566</v>
      </c>
      <c r="C11" s="9" t="n">
        <f aca="false">(Calculos!$C$17+Calculos!$C$18+B11)/(Calculos!$C$18+B11)</f>
        <v>7.93772672309552</v>
      </c>
      <c r="D11" s="9" t="n">
        <f aca="false">Calculos!$C$17+Calculos!$C$18+B11</f>
        <v>369.030119367054</v>
      </c>
      <c r="E11" s="9" t="n">
        <f aca="false">D11*Calculos!$C$9</f>
        <v>1476.12047746822</v>
      </c>
      <c r="F11" s="9" t="n">
        <f aca="false">(1-1/C11^(Calculos!$C$12-1))*100</f>
        <v>56.3361986235073</v>
      </c>
    </row>
    <row r="12" customFormat="false" ht="15" hidden="false" customHeight="false" outlineLevel="0" collapsed="false">
      <c r="A12" s="10" t="n">
        <v>1.8</v>
      </c>
      <c r="B12" s="9" t="n">
        <f aca="false">Calculos!$C$20/Calculos!$C$8*A12/10</f>
        <v>9.61294088076262</v>
      </c>
      <c r="C12" s="9" t="n">
        <f aca="false">(Calculos!$C$17+Calculos!$C$18+B12)/(Calculos!$C$18+B12)</f>
        <v>7.78191489361702</v>
      </c>
      <c r="D12" s="9" t="n">
        <f aca="false">Calculos!$C$17+Calculos!$C$18+B12</f>
        <v>370.098223909361</v>
      </c>
      <c r="E12" s="9" t="n">
        <f aca="false">D12*Calculos!$C$9</f>
        <v>1480.39289563744</v>
      </c>
      <c r="F12" s="9" t="n">
        <f aca="false">(1-1/C12^(Calculos!$C$12-1))*100</f>
        <v>55.9885771385838</v>
      </c>
    </row>
    <row r="13" customFormat="false" ht="15" hidden="false" customHeight="false" outlineLevel="0" collapsed="false">
      <c r="A13" s="10" t="n">
        <v>2</v>
      </c>
      <c r="B13" s="9" t="n">
        <f aca="false">Calculos!$C$20/Calculos!$C$8*A13/10</f>
        <v>10.6810454230696</v>
      </c>
      <c r="C13" s="9" t="n">
        <f aca="false">(Calculos!$C$17+Calculos!$C$18+B13)/(Calculos!$C$18+B13)</f>
        <v>7.63294797687861</v>
      </c>
      <c r="D13" s="9" t="n">
        <f aca="false">Calculos!$C$17+Calculos!$C$18+B13</f>
        <v>371.166328451668</v>
      </c>
      <c r="E13" s="9" t="n">
        <f aca="false">D13*Calculos!$C$9</f>
        <v>1484.66531380667</v>
      </c>
      <c r="F13" s="9" t="n">
        <f aca="false">(1-1/C13^(Calculos!$C$12-1))*100</f>
        <v>55.6469919773612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2026-09-15T20:58:21Z</dcterms:created>
  <dc:creator>openpyxl</dc:creator>
  <dc:description/>
  <dc:language>en-US</dc:language>
  <cp:lastModifiedBy/>
  <dcterms:modified xsi:type="dcterms:W3CDTF">2026-09-15T20:58:22Z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