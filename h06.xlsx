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tos" sheetId="2" state="visible" r:id="rId4"/>
    <sheet name="Calculos" sheetId="3" state="visible" r:id="rId5"/>
    <sheet name="Cierre_regimen" sheetId="4" state="visible" r:id="rId6"/>
    <sheet name="Oscilacion_LC" sheetId="5" state="visible" r:id="rId7"/>
    <sheet name="Avance" sheetId="6" state="visible" r:id="rId8"/>
    <sheet name="Registr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<sst xmlns="http://schemas.openxmlformats.org/spreadsheetml/2006/main" count="174" uniqueCount="144">
  <si>
    <t xml:space="preserve">Práctica 7: encendido convencional por ruptor (SZ)</t>
  </si>
  <si>
    <t xml:space="preserve">Libro de cálculo de apoyo a la guía de clase práctica — Electricidad Automotriz, ISTS</t>
  </si>
  <si>
    <t xml:space="preserve">Uso:</t>
  </si>
  <si>
    <t xml:space="preserve">1. Escriba sus medidas SOLO en las celdas de fondo amarillo y texto azul de "Datos". Los valores que traen son un ejemplo.</t>
  </si>
  <si>
    <t xml:space="preserve">2. "Calculos" aplica las ecuaciones (1) a (6) de la guía; "Cierre_regimen", "Oscilacion_LC" y "Avance" generan tablas y gráficas de doble eje.</t>
  </si>
  <si>
    <t xml:space="preserve">3. "Registro" reproduce las tablas de registro de la guía.</t>
  </si>
  <si>
    <t xml:space="preserve">Convención de colores: azul con fondo amarillo = dato de entrada; negro = fórmula.</t>
  </si>
  <si>
    <t xml:space="preserve">Fuentes: Bosch (s. f.), Bosch (2008), Alonso Pérez (1998), Minga González (s. f.). L1 es una estimación didáctica (τ ≈ 8 ms/5 con 3 Ω).</t>
  </si>
  <si>
    <t xml:space="preserve">Dato</t>
  </si>
  <si>
    <t xml:space="preserve">Símbolo</t>
  </si>
  <si>
    <t xml:space="preserve">Valor</t>
  </si>
  <si>
    <t xml:space="preserve">Unidad</t>
  </si>
  <si>
    <t xml:space="preserve">Origen / comentario</t>
  </si>
  <si>
    <t xml:space="preserve">Tensión de batería</t>
  </si>
  <si>
    <t xml:space="preserve">U_B</t>
  </si>
  <si>
    <t xml:space="preserve">V</t>
  </si>
  <si>
    <t xml:space="preserve">Resistencia del primario</t>
  </si>
  <si>
    <t xml:space="preserve">R1</t>
  </si>
  <si>
    <t xml:space="preserve">Ω</t>
  </si>
  <si>
    <t xml:space="preserve">Bobinas E/K ≈ 3 Ω</t>
  </si>
  <si>
    <t xml:space="preserve">Resistencia del prerresistor (0 si no hay)</t>
  </si>
  <si>
    <t xml:space="preserve">RV</t>
  </si>
  <si>
    <t xml:space="preserve">Inductancia del primario</t>
  </si>
  <si>
    <t xml:space="preserve">L1</t>
  </si>
  <si>
    <t xml:space="preserve">mH</t>
  </si>
  <si>
    <t xml:space="preserve">Estimación</t>
  </si>
  <si>
    <t xml:space="preserve">Capacidad del condensador</t>
  </si>
  <si>
    <t xml:space="preserve">C</t>
  </si>
  <si>
    <t xml:space="preserve">µF</t>
  </si>
  <si>
    <t xml:space="preserve">0,2 – 0,3 µF (Alonso, 1998)</t>
  </si>
  <si>
    <t xml:space="preserve">Número de cilindros</t>
  </si>
  <si>
    <t xml:space="preserve">z</t>
  </si>
  <si>
    <t xml:space="preserve">—</t>
  </si>
  <si>
    <t xml:space="preserve">Ángulo de cierre medido a ralentí</t>
  </si>
  <si>
    <t xml:space="preserve">ac1</t>
  </si>
  <si>
    <t xml:space="preserve">° distribuidor</t>
  </si>
  <si>
    <t xml:space="preserve">Ángulo de cierre medido a 1 500</t>
  </si>
  <si>
    <t xml:space="preserve">ac2</t>
  </si>
  <si>
    <t xml:space="preserve">Ángulo de cierre medido a 2 500</t>
  </si>
  <si>
    <t xml:space="preserve">ac3</t>
  </si>
  <si>
    <t xml:space="preserve">Régimen de ralentí</t>
  </si>
  <si>
    <t xml:space="preserve">n1</t>
  </si>
  <si>
    <t xml:space="preserve">r. p. m.</t>
  </si>
  <si>
    <t xml:space="preserve">Régimen 2</t>
  </si>
  <si>
    <t xml:space="preserve">n2</t>
  </si>
  <si>
    <t xml:space="preserve">Régimen 3</t>
  </si>
  <si>
    <t xml:space="preserve">n3</t>
  </si>
  <si>
    <t xml:space="preserve">Régimen 4</t>
  </si>
  <si>
    <t xml:space="preserve">n4</t>
  </si>
  <si>
    <t xml:space="preserve">Avance total medido a n1</t>
  </si>
  <si>
    <t xml:space="preserve">av1</t>
  </si>
  <si>
    <t xml:space="preserve">° cigüeñal</t>
  </si>
  <si>
    <t xml:space="preserve">Lámpara estroboscópica</t>
  </si>
  <si>
    <t xml:space="preserve">Avance total medido a n2</t>
  </si>
  <si>
    <t xml:space="preserve">av2</t>
  </si>
  <si>
    <t xml:space="preserve">Avance total medido a n3</t>
  </si>
  <si>
    <t xml:space="preserve">av3</t>
  </si>
  <si>
    <t xml:space="preserve">Avance total medido a n4</t>
  </si>
  <si>
    <t xml:space="preserve">av4</t>
  </si>
  <si>
    <t xml:space="preserve">Tensión exigida con bujías nuevas</t>
  </si>
  <si>
    <t xml:space="preserve">U0</t>
  </si>
  <si>
    <t xml:space="preserve">kV</t>
  </si>
  <si>
    <t xml:space="preserve">Separación nueva</t>
  </si>
  <si>
    <t xml:space="preserve">s0</t>
  </si>
  <si>
    <t xml:space="preserve">mm</t>
  </si>
  <si>
    <t xml:space="preserve">Separación medida</t>
  </si>
  <si>
    <t xml:space="preserve">s</t>
  </si>
  <si>
    <t xml:space="preserve">Aumento por mm</t>
  </si>
  <si>
    <t xml:space="preserve">k</t>
  </si>
  <si>
    <t xml:space="preserve">kV/mm</t>
  </si>
  <si>
    <t xml:space="preserve">Bosch: 1 kV cada 0,1 mm</t>
  </si>
  <si>
    <t xml:space="preserve">Resistencia del cable más desfavorable</t>
  </si>
  <si>
    <t xml:space="preserve">Rc</t>
  </si>
  <si>
    <t xml:space="preserve">kΩ</t>
  </si>
  <si>
    <t xml:space="preserve">Longitud de ese cable</t>
  </si>
  <si>
    <t xml:space="preserve">lc</t>
  </si>
  <si>
    <t xml:space="preserve">m</t>
  </si>
  <si>
    <t xml:space="preserve">Ec.</t>
  </si>
  <si>
    <t xml:space="preserve">Magnitud</t>
  </si>
  <si>
    <t xml:space="preserve">Fórmula</t>
  </si>
  <si>
    <t xml:space="preserve">Resultado</t>
  </si>
  <si>
    <t xml:space="preserve">Referencia / interpretación</t>
  </si>
  <si>
    <t xml:space="preserve">(1)</t>
  </si>
  <si>
    <t xml:space="preserve">Ángulo disponible</t>
  </si>
  <si>
    <t xml:space="preserve">αz = 360/z</t>
  </si>
  <si>
    <t xml:space="preserve">°</t>
  </si>
  <si>
    <t xml:space="preserve">4 cil.: 90°</t>
  </si>
  <si>
    <t xml:space="preserve">Porcentaje de cierre a ralentí</t>
  </si>
  <si>
    <t xml:space="preserve">DC = αc/αz·100</t>
  </si>
  <si>
    <t xml:space="preserve">%</t>
  </si>
  <si>
    <t xml:space="preserve">48°–54° → 53–60 %</t>
  </si>
  <si>
    <t xml:space="preserve">(2)</t>
  </si>
  <si>
    <t xml:space="preserve">Intervalo entre chispas a ralentí</t>
  </si>
  <si>
    <t xml:space="preserve">Tz = 120/(n·z)</t>
  </si>
  <si>
    <t xml:space="preserve">ms</t>
  </si>
  <si>
    <t xml:space="preserve">Tiempo de carga a ralentí</t>
  </si>
  <si>
    <t xml:space="preserve">tc = DC·Tz</t>
  </si>
  <si>
    <t xml:space="preserve">Tiempo de carga a 6 000 r. p. m.</t>
  </si>
  <si>
    <t xml:space="preserve">tc = DC·120/(6000·z)</t>
  </si>
  <si>
    <t xml:space="preserve">Bobina 3 Ω necesita ≈ 8 ms</t>
  </si>
  <si>
    <t xml:space="preserve">(3)</t>
  </si>
  <si>
    <t xml:space="preserve">Corriente del primario</t>
  </si>
  <si>
    <t xml:space="preserve">I1 = U_B/(R1+RV)</t>
  </si>
  <si>
    <t xml:space="preserve">A</t>
  </si>
  <si>
    <t xml:space="preserve">Constante de tiempo</t>
  </si>
  <si>
    <t xml:space="preserve">τ = L1/(R1+RV)</t>
  </si>
  <si>
    <t xml:space="preserve">Corriente al final del cierre a 6 000</t>
  </si>
  <si>
    <t xml:space="preserve">i = I1(1−e^(−tc/τ))</t>
  </si>
  <si>
    <t xml:space="preserve">Energía a 6 000 respecto a la máxima</t>
  </si>
  <si>
    <t xml:space="preserve">(i/I1)²</t>
  </si>
  <si>
    <t xml:space="preserve">(4)</t>
  </si>
  <si>
    <t xml:space="preserve">Frecuencia de oscilación bobina-condensador</t>
  </si>
  <si>
    <t xml:space="preserve">f = 1/(2π√(L1·C))</t>
  </si>
  <si>
    <t xml:space="preserve">kHz</t>
  </si>
  <si>
    <t xml:space="preserve">≈ 4,6 kHz</t>
  </si>
  <si>
    <t xml:space="preserve">Periodo de oscilación</t>
  </si>
  <si>
    <t xml:space="preserve">T = 1/f</t>
  </si>
  <si>
    <t xml:space="preserve">3–5 oscilaciones ≈ 0,7–1,1 ms</t>
  </si>
  <si>
    <t xml:space="preserve">(5)</t>
  </si>
  <si>
    <t xml:space="preserve">Avance a ralentí en tiempo</t>
  </si>
  <si>
    <t xml:space="preserve">tav = αav/(6·n)</t>
  </si>
  <si>
    <t xml:space="preserve">≈ 2 ms de combustión</t>
  </si>
  <si>
    <t xml:space="preserve">(6)</t>
  </si>
  <si>
    <t xml:space="preserve">Tensión exigida por la bujía</t>
  </si>
  <si>
    <t xml:space="preserve">Ud = U0 + k(s − s0)</t>
  </si>
  <si>
    <t xml:space="preserve">Resistencia por metro del cable</t>
  </si>
  <si>
    <t xml:space="preserve">r = R/ℓ</t>
  </si>
  <si>
    <t xml:space="preserve">kΩ/m</t>
  </si>
  <si>
    <t xml:space="preserve">CS: 9–23 kΩ/m (Bosch)</t>
  </si>
  <si>
    <t xml:space="preserve">n (r. p. m.)</t>
  </si>
  <si>
    <t xml:space="preserve">Tz (ms)</t>
  </si>
  <si>
    <t xml:space="preserve">tc (ms)</t>
  </si>
  <si>
    <t xml:space="preserve">Energía disponible (%)</t>
  </si>
  <si>
    <t xml:space="preserve">C (µF)</t>
  </si>
  <si>
    <t xml:space="preserve">f (kHz)</t>
  </si>
  <si>
    <t xml:space="preserve">T (ms)</t>
  </si>
  <si>
    <t xml:space="preserve">Avance total (° cig.)</t>
  </si>
  <si>
    <t xml:space="preserve">Avance centrífugo (°)</t>
  </si>
  <si>
    <t xml:space="preserve">tav (ms)</t>
  </si>
  <si>
    <t xml:space="preserve">Régimen (r. p. m.)</t>
  </si>
  <si>
    <t xml:space="preserve">αc medido (°)</t>
  </si>
  <si>
    <t xml:space="preserve">αz (°)</t>
  </si>
  <si>
    <t xml:space="preserve">DC (%)</t>
  </si>
  <si>
    <t xml:space="preserve">i(tc) (A)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</si>
</sst>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E9945"/>
      <rgbColor rgb="FF800080"/>
      <rgbColor rgb="FF008080"/>
      <rgbColor rgb="FFC0D2A7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C992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666699"/>
      <rgbColor rgb="FF999999"/>
      <rgbColor rgb="FF003366"/>
      <rgbColor rgb="FF87A44B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Tiempo de carga con ángulo de cierre fijo (eje izq.) y energía disponible (eje der.)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"tc"</c:f>
              <c:strCache>
                <c:ptCount val="1"/>
                <c:pt idx="0">
                  <c:v>tc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Cierre_regimen!$A$2:$A$28</c:f>
              <c:numCache>
                <c:formatCode>General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Cierre_regimen!$C$2:$C$28</c:f>
              <c:numCache>
                <c:formatCode>0.00</c:formatCode>
                <c:ptCount val="27"/>
                <c:pt idx="0">
                  <c:v>33.3333333333333</c:v>
                </c:pt>
                <c:pt idx="1">
                  <c:v>22.2222222222222</c:v>
                </c:pt>
                <c:pt idx="2">
                  <c:v>16.6666666666667</c:v>
                </c:pt>
                <c:pt idx="3">
                  <c:v>13.3333333333333</c:v>
                </c:pt>
                <c:pt idx="4">
                  <c:v>11.1111111111111</c:v>
                </c:pt>
                <c:pt idx="5">
                  <c:v>9.52380952380952</c:v>
                </c:pt>
                <c:pt idx="6">
                  <c:v>8.33333333333333</c:v>
                </c:pt>
                <c:pt idx="7">
                  <c:v>7.40740740740741</c:v>
                </c:pt>
                <c:pt idx="8">
                  <c:v>6.66666666666667</c:v>
                </c:pt>
                <c:pt idx="9">
                  <c:v>6.06060606060606</c:v>
                </c:pt>
                <c:pt idx="10">
                  <c:v>5.55555555555556</c:v>
                </c:pt>
                <c:pt idx="11">
                  <c:v>5.12820512820513</c:v>
                </c:pt>
                <c:pt idx="12">
                  <c:v>4.76190476190476</c:v>
                </c:pt>
                <c:pt idx="13">
                  <c:v>4.44444444444445</c:v>
                </c:pt>
                <c:pt idx="14">
                  <c:v>4.16666666666667</c:v>
                </c:pt>
                <c:pt idx="15">
                  <c:v>3.92156862745098</c:v>
                </c:pt>
                <c:pt idx="16">
                  <c:v>3.7037037037037</c:v>
                </c:pt>
                <c:pt idx="17">
                  <c:v>3.50877192982456</c:v>
                </c:pt>
                <c:pt idx="18">
                  <c:v>3.33333333333333</c:v>
                </c:pt>
                <c:pt idx="19">
                  <c:v>3.17460317460318</c:v>
                </c:pt>
                <c:pt idx="20">
                  <c:v>3.03030303030303</c:v>
                </c:pt>
                <c:pt idx="21">
                  <c:v>2.89855072463768</c:v>
                </c:pt>
                <c:pt idx="22">
                  <c:v>2.77777777777778</c:v>
                </c:pt>
                <c:pt idx="23">
                  <c:v>2.66666666666667</c:v>
                </c:pt>
                <c:pt idx="24">
                  <c:v>2.56410256410256</c:v>
                </c:pt>
                <c:pt idx="25">
                  <c:v>2.46913580246914</c:v>
                </c:pt>
                <c:pt idx="26">
                  <c:v>2.38095238095238</c:v>
                </c:pt>
              </c:numCache>
            </c:numRef>
          </c:yVal>
          <c:smooth val="1"/>
        </c:ser>
        <c:axId val="40700982"/>
        <c:axId val="43504479"/>
      </c:scatterChart>
      <c:scatterChart>
        <c:scatterStyle val="line"/>
        <c:varyColors val="0"/>
        <c:ser>
          <c:idx val="1"/>
          <c:order val="1"/>
          <c:tx>
            <c:strRef>
              <c:f>"Energía (%)"</c:f>
              <c:strCache>
                <c:ptCount val="1"/>
                <c:pt idx="0">
                  <c:v>Energía (%)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Cierre_regimen!$A$2:$A$28</c:f>
              <c:numCache>
                <c:formatCode>General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Cierre_regimen!$D$2:$D$28</c:f>
              <c:numCache>
                <c:formatCode>0.0</c:formatCode>
                <c:ptCount val="27"/>
                <c:pt idx="0">
                  <c:v>99.9999998208453</c:v>
                </c:pt>
                <c:pt idx="1">
                  <c:v>99.9998141502464</c:v>
                </c:pt>
                <c:pt idx="2">
                  <c:v>99.9940141939158</c:v>
                </c:pt>
                <c:pt idx="3">
                  <c:v>99.9519318824646</c:v>
                </c:pt>
                <c:pt idx="4">
                  <c:v>99.8072977797732</c:v>
                </c:pt>
                <c:pt idx="5">
                  <c:v>99.4807471113348</c:v>
                </c:pt>
                <c:pt idx="6">
                  <c:v>98.908836134432</c:v>
                </c:pt>
                <c:pt idx="7">
                  <c:v>98.0578480546247</c:v>
                </c:pt>
                <c:pt idx="8">
                  <c:v>96.9232662278401</c:v>
                </c:pt>
                <c:pt idx="9">
                  <c:v>95.5225566268342</c:v>
                </c:pt>
                <c:pt idx="10">
                  <c:v>93.8868058767075</c:v>
                </c:pt>
                <c:pt idx="11">
                  <c:v>92.0537198530993</c:v>
                </c:pt>
                <c:pt idx="12">
                  <c:v>90.0626244700321</c:v>
                </c:pt>
                <c:pt idx="13">
                  <c:v>87.951287209524</c:v>
                </c:pt>
                <c:pt idx="14">
                  <c:v>85.7541286440671</c:v>
                </c:pt>
                <c:pt idx="15">
                  <c:v>83.5013943429583</c:v>
                </c:pt>
                <c:pt idx="16">
                  <c:v>81.2189421185554</c:v>
                </c:pt>
                <c:pt idx="17">
                  <c:v>78.9283950178532</c:v>
                </c:pt>
                <c:pt idx="18">
                  <c:v>76.6474910710763</c:v>
                </c:pt>
                <c:pt idx="19">
                  <c:v>74.3905211650861</c:v>
                </c:pt>
                <c:pt idx="20">
                  <c:v>72.1687886468725</c:v>
                </c:pt>
                <c:pt idx="21">
                  <c:v>69.9910524932346</c:v>
                </c:pt>
                <c:pt idx="22">
                  <c:v>67.8639340654342</c:v>
                </c:pt>
                <c:pt idx="23">
                  <c:v>65.7922787672129</c:v>
                </c:pt>
                <c:pt idx="24">
                  <c:v>63.7794706622151</c:v>
                </c:pt>
                <c:pt idx="25">
                  <c:v>61.8277019021303</c:v>
                </c:pt>
                <c:pt idx="26">
                  <c:v>59.9382007633958</c:v>
                </c:pt>
              </c:numCache>
            </c:numRef>
          </c:yVal>
          <c:smooth val="1"/>
        </c:ser>
        <c:axId val="10334880"/>
        <c:axId val="97557210"/>
      </c:scatterChart>
      <c:valAx>
        <c:axId val="407009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(r. p. m.)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04479"/>
        <c:crosses val="autoZero"/>
        <c:crossBetween val="midCat"/>
      </c:valAx>
      <c:valAx>
        <c:axId val="435044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 de carga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700982"/>
        <c:crosses val="autoZero"/>
        <c:crossBetween val="midCat"/>
      </c:valAx>
      <c:valAx>
        <c:axId val="10334880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(r. p. m.)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557210"/>
        <c:crosses val="autoZero"/>
        <c:crossBetween val="midCat"/>
      </c:valAx>
      <c:valAx>
        <c:axId val="9755721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Energía respecto a la máxima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34880"/>
        <c:crosses val="max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Frecuencia (eje izq.) y periodo (eje der.) de la oscilación bobina-condensador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"f"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Oscilacion_LC!$A$2:$A$14</c:f>
              <c:numCache>
                <c:formatCode>General</c:formatCode>
                <c:ptCount val="13"/>
                <c:pt idx="0">
                  <c:v>0.15</c:v>
                </c:pt>
                <c:pt idx="1">
                  <c:v>0.175</c:v>
                </c:pt>
                <c:pt idx="2">
                  <c:v>0.2</c:v>
                </c:pt>
                <c:pt idx="3">
                  <c:v>0.225</c:v>
                </c:pt>
                <c:pt idx="4">
                  <c:v>0.25</c:v>
                </c:pt>
                <c:pt idx="5">
                  <c:v>0.275</c:v>
                </c:pt>
                <c:pt idx="6">
                  <c:v>0.3</c:v>
                </c:pt>
                <c:pt idx="7">
                  <c:v>0.325</c:v>
                </c:pt>
                <c:pt idx="8">
                  <c:v>0.35</c:v>
                </c:pt>
                <c:pt idx="9">
                  <c:v>0.375</c:v>
                </c:pt>
                <c:pt idx="10">
                  <c:v>0.4</c:v>
                </c:pt>
                <c:pt idx="11">
                  <c:v>0.425</c:v>
                </c:pt>
                <c:pt idx="12">
                  <c:v>0.45</c:v>
                </c:pt>
              </c:numCache>
            </c:numRef>
          </c:xVal>
          <c:yVal>
            <c:numRef>
              <c:f>Oscilacion_LC!$B$2:$B$14</c:f>
              <c:numCache>
                <c:formatCode>0.00</c:formatCode>
                <c:ptCount val="13"/>
                <c:pt idx="0">
                  <c:v>5.93135452847648</c:v>
                </c:pt>
                <c:pt idx="1">
                  <c:v>5.49136724134047</c:v>
                </c:pt>
                <c:pt idx="2">
                  <c:v>5.1367037005125</c:v>
                </c:pt>
                <c:pt idx="3">
                  <c:v>4.84293069277123</c:v>
                </c:pt>
                <c:pt idx="4">
                  <c:v>4.59440746184827</c:v>
                </c:pt>
                <c:pt idx="5">
                  <c:v>4.38059563462312</c:v>
                </c:pt>
                <c:pt idx="6">
                  <c:v>4.19410100870725</c:v>
                </c:pt>
                <c:pt idx="7">
                  <c:v>4.02956190837808</c:v>
                </c:pt>
                <c:pt idx="8">
                  <c:v>3.88298301433751</c:v>
                </c:pt>
                <c:pt idx="9">
                  <c:v>3.75131798398794</c:v>
                </c:pt>
                <c:pt idx="10">
                  <c:v>3.63219801957842</c:v>
                </c:pt>
                <c:pt idx="11">
                  <c:v>3.52374966773673</c:v>
                </c:pt>
                <c:pt idx="12">
                  <c:v>3.424469133675</c:v>
                </c:pt>
              </c:numCache>
            </c:numRef>
          </c:yVal>
          <c:smooth val="1"/>
        </c:ser>
        <c:axId val="92611106"/>
        <c:axId val="52707945"/>
      </c:scatterChart>
      <c:scatterChart>
        <c:scatterStyle val="line"/>
        <c:varyColors val="0"/>
        <c:ser>
          <c:idx val="1"/>
          <c:order val="1"/>
          <c:tx>
            <c:strRef>
              <c:f>"T"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Oscilacion_LC!$A$2:$A$14</c:f>
              <c:numCache>
                <c:formatCode>General</c:formatCode>
                <c:ptCount val="13"/>
                <c:pt idx="0">
                  <c:v>0.15</c:v>
                </c:pt>
                <c:pt idx="1">
                  <c:v>0.175</c:v>
                </c:pt>
                <c:pt idx="2">
                  <c:v>0.2</c:v>
                </c:pt>
                <c:pt idx="3">
                  <c:v>0.225</c:v>
                </c:pt>
                <c:pt idx="4">
                  <c:v>0.25</c:v>
                </c:pt>
                <c:pt idx="5">
                  <c:v>0.275</c:v>
                </c:pt>
                <c:pt idx="6">
                  <c:v>0.3</c:v>
                </c:pt>
                <c:pt idx="7">
                  <c:v>0.325</c:v>
                </c:pt>
                <c:pt idx="8">
                  <c:v>0.35</c:v>
                </c:pt>
                <c:pt idx="9">
                  <c:v>0.375</c:v>
                </c:pt>
                <c:pt idx="10">
                  <c:v>0.4</c:v>
                </c:pt>
                <c:pt idx="11">
                  <c:v>0.425</c:v>
                </c:pt>
                <c:pt idx="12">
                  <c:v>0.45</c:v>
                </c:pt>
              </c:numCache>
            </c:numRef>
          </c:xVal>
          <c:yVal>
            <c:numRef>
              <c:f>Oscilacion_LC!$C$2:$C$14</c:f>
              <c:numCache>
                <c:formatCode>0.000</c:formatCode>
                <c:ptCount val="13"/>
                <c:pt idx="0">
                  <c:v>0.168595553544977</c:v>
                </c:pt>
                <c:pt idx="1">
                  <c:v>0.182104010904923</c:v>
                </c:pt>
                <c:pt idx="2">
                  <c:v>0.194677376446733</c:v>
                </c:pt>
                <c:pt idx="3">
                  <c:v>0.206486539543637</c:v>
                </c:pt>
                <c:pt idx="4">
                  <c:v>0.217655923708106</c:v>
                </c:pt>
                <c:pt idx="5">
                  <c:v>0.228279458641709</c:v>
                </c:pt>
                <c:pt idx="6">
                  <c:v>0.238430118379106</c:v>
                </c:pt>
                <c:pt idx="7">
                  <c:v>0.248165935339236</c:v>
                </c:pt>
                <c:pt idx="8">
                  <c:v>0.25753396198428</c:v>
                </c:pt>
                <c:pt idx="9">
                  <c:v>0.266572976289502</c:v>
                </c:pt>
                <c:pt idx="10">
                  <c:v>0.275315386058183</c:v>
                </c:pt>
                <c:pt idx="11">
                  <c:v>0.283788604268898</c:v>
                </c:pt>
                <c:pt idx="12">
                  <c:v>0.2920160646701</c:v>
                </c:pt>
              </c:numCache>
            </c:numRef>
          </c:yVal>
          <c:smooth val="1"/>
        </c:ser>
        <c:axId val="59020654"/>
        <c:axId val="40154597"/>
      </c:scatterChart>
      <c:valAx>
        <c:axId val="9261110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Capacidad del condensador (µF)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707945"/>
        <c:crosses val="autoZero"/>
        <c:crossBetween val="midCat"/>
      </c:valAx>
      <c:valAx>
        <c:axId val="527079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Frecuencia (kHz)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11106"/>
        <c:crosses val="autoZero"/>
        <c:crossBetween val="midCat"/>
      </c:valAx>
      <c:valAx>
        <c:axId val="59020654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Capacidad del condensador (µF)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54597"/>
        <c:crosses val="autoZero"/>
        <c:crossBetween val="midCat"/>
      </c:valAx>
      <c:valAx>
        <c:axId val="40154597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Periodo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20654"/>
        <c:crosses val="max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Avance medido (eje izq.) y avance expresado en tiempo (eje der.)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"Avance total"</c:f>
              <c:strCache>
                <c:ptCount val="1"/>
                <c:pt idx="0">
                  <c:v>Avance total</c:v>
                </c:pt>
              </c:strCache>
            </c:strRef>
          </c:tx>
          <c:spPr>
            <a:solidFill>
              <a:srgbClr val="7e9945"/>
            </a:solidFill>
            <a:ln w="4752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Avance!$A$2:$A$5</c:f>
              <c:numCache>
                <c:formatCode>General</c:formatCode>
                <c:ptCount val="4"/>
                <c:pt idx="0">
                  <c:v>800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</c:numCache>
            </c:numRef>
          </c:xVal>
          <c:yVal>
            <c:numRef>
              <c:f>Avance!$B$2:$B$5</c:f>
              <c:numCache>
                <c:formatCode>General</c:formatCode>
                <c:ptCount val="4"/>
                <c:pt idx="0">
                  <c:v>10</c:v>
                </c:pt>
                <c:pt idx="1">
                  <c:v>16</c:v>
                </c:pt>
                <c:pt idx="2">
                  <c:v>24</c:v>
                </c:pt>
                <c:pt idx="3">
                  <c:v>30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"Centrífugo"</c:f>
              <c:strCache>
                <c:ptCount val="1"/>
                <c:pt idx="0">
                  <c:v>Centrífugo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Avance!$A$2:$A$5</c:f>
              <c:numCache>
                <c:formatCode>General</c:formatCode>
                <c:ptCount val="4"/>
                <c:pt idx="0">
                  <c:v>800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</c:numCache>
            </c:numRef>
          </c:xVal>
          <c:yVal>
            <c:numRef>
              <c:f>Avance!$C$2:$C$5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14</c:v>
                </c:pt>
                <c:pt idx="3">
                  <c:v>20</c:v>
                </c:pt>
              </c:numCache>
            </c:numRef>
          </c:yVal>
          <c:smooth val="1"/>
        </c:ser>
        <c:axId val="52639626"/>
        <c:axId val="93303626"/>
      </c:scatterChart>
      <c:scatterChart>
        <c:scatterStyle val="line"/>
        <c:varyColors val="0"/>
        <c:ser>
          <c:idx val="2"/>
          <c:order val="2"/>
          <c:tx>
            <c:strRef>
              <c:f>"tav"</c:f>
              <c:strCache>
                <c:ptCount val="1"/>
                <c:pt idx="0">
                  <c:v>tav</c:v>
                </c:pt>
              </c:strCache>
            </c:strRef>
          </c:tx>
          <c:spPr>
            <a:solidFill>
              <a:srgbClr val="c0d2a7"/>
            </a:solidFill>
            <a:ln w="47520">
              <a:solidFill>
                <a:srgbClr val="c0d2a7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Avance!$A$2:$A$5</c:f>
              <c:numCache>
                <c:formatCode>General</c:formatCode>
                <c:ptCount val="4"/>
                <c:pt idx="0">
                  <c:v>800</c:v>
                </c:pt>
                <c:pt idx="1">
                  <c:v>1500</c:v>
                </c:pt>
                <c:pt idx="2">
                  <c:v>2500</c:v>
                </c:pt>
                <c:pt idx="3">
                  <c:v>3500</c:v>
                </c:pt>
              </c:numCache>
            </c:numRef>
          </c:xVal>
          <c:yVal>
            <c:numRef>
              <c:f>Avance!$D$2:$D$5</c:f>
              <c:numCache>
                <c:formatCode>0.00</c:formatCode>
                <c:ptCount val="4"/>
                <c:pt idx="0">
                  <c:v>2.08333333333333</c:v>
                </c:pt>
                <c:pt idx="1">
                  <c:v>1.77777777777778</c:v>
                </c:pt>
                <c:pt idx="2">
                  <c:v>1.6</c:v>
                </c:pt>
                <c:pt idx="3">
                  <c:v>1.42857142857143</c:v>
                </c:pt>
              </c:numCache>
            </c:numRef>
          </c:yVal>
          <c:smooth val="1"/>
        </c:ser>
        <c:axId val="95246224"/>
        <c:axId val="88640806"/>
      </c:scatterChart>
      <c:valAx>
        <c:axId val="5263962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(r. p. m.)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03626"/>
        <c:crosses val="autoZero"/>
        <c:crossBetween val="midCat"/>
      </c:valAx>
      <c:valAx>
        <c:axId val="933036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Avance (° cigüeñal)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39626"/>
        <c:crosses val="autoZero"/>
        <c:crossBetween val="midCat"/>
      </c:valAx>
      <c:valAx>
        <c:axId val="95246224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(r. p. m.)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640806"/>
        <c:crosses val="autoZero"/>
        <c:crossBetween val="midCat"/>
      </c:valAx>
      <c:valAx>
        <c:axId val="88640806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 de avance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46224"/>
        <c:crosses val="max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380880</xdr:rowOff>
    </xdr:from>
    <xdr:to>
      <xdr:col>19</xdr:col>
      <xdr:colOff>78480</xdr:colOff>
      <xdr:row>23</xdr:row>
      <xdr:rowOff>7200</xdr:rowOff>
    </xdr:to>
    <xdr:graphicFrame>
      <xdr:nvGraphicFramePr>
        <xdr:cNvPr id="0" name="Chart 1"/>
        <xdr:cNvGraphicFramePr/>
      </xdr:nvGraphicFramePr>
      <xdr:xfrm>
        <a:off x="3057480" y="38088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18</xdr:col>
      <xdr:colOff>78840</xdr:colOff>
      <xdr:row>24</xdr:row>
      <xdr:rowOff>128520</xdr:rowOff>
    </xdr:to>
    <xdr:graphicFrame>
      <xdr:nvGraphicFramePr>
        <xdr:cNvPr id="1" name="Chart 1"/>
        <xdr:cNvGraphicFramePr/>
      </xdr:nvGraphicFramePr>
      <xdr:xfrm>
        <a:off x="2446200" y="38088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380880</xdr:rowOff>
    </xdr:from>
    <xdr:to>
      <xdr:col>19</xdr:col>
      <xdr:colOff>78480</xdr:colOff>
      <xdr:row>23</xdr:row>
      <xdr:rowOff>7200</xdr:rowOff>
    </xdr:to>
    <xdr:graphicFrame>
      <xdr:nvGraphicFramePr>
        <xdr:cNvPr id="2" name="Chart 1"/>
        <xdr:cNvGraphicFramePr/>
      </xdr:nvGraphicFramePr>
      <xdr:xfrm>
        <a:off x="3057480" y="38088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26.85" hidden="false" customHeight="false" outlineLevel="0" collapsed="false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</row>
    <row r="2" customFormat="false" ht="15" hidden="false" customHeight="false" outlineLevel="0" collapsed="false">
      <c r="A2" s="5" t="s">
        <v>13</v>
      </c>
      <c r="B2" s="5" t="s">
        <v>14</v>
      </c>
      <c r="C2" s="6" t="n">
        <v>12</v>
      </c>
      <c r="D2" s="5" t="s">
        <v>15</v>
      </c>
      <c r="E2" s="5"/>
    </row>
    <row r="3" customFormat="false" ht="15" hidden="false" customHeight="false" outlineLevel="0" collapsed="false">
      <c r="A3" s="5" t="s">
        <v>16</v>
      </c>
      <c r="B3" s="5" t="s">
        <v>17</v>
      </c>
      <c r="C3" s="6" t="n">
        <v>3</v>
      </c>
      <c r="D3" s="5" t="s">
        <v>18</v>
      </c>
      <c r="E3" s="5" t="s">
        <v>19</v>
      </c>
    </row>
    <row r="4" customFormat="false" ht="15" hidden="false" customHeight="false" outlineLevel="0" collapsed="false">
      <c r="A4" s="5" t="s">
        <v>20</v>
      </c>
      <c r="B4" s="5" t="s">
        <v>21</v>
      </c>
      <c r="C4" s="6" t="n">
        <v>0</v>
      </c>
      <c r="D4" s="5" t="s">
        <v>18</v>
      </c>
      <c r="E4" s="5"/>
    </row>
    <row r="5" customFormat="false" ht="15" hidden="false" customHeight="false" outlineLevel="0" collapsed="false">
      <c r="A5" s="5" t="s">
        <v>22</v>
      </c>
      <c r="B5" s="5" t="s">
        <v>23</v>
      </c>
      <c r="C5" s="6" t="n">
        <v>4.8</v>
      </c>
      <c r="D5" s="5" t="s">
        <v>24</v>
      </c>
      <c r="E5" s="5" t="s">
        <v>25</v>
      </c>
    </row>
    <row r="6" customFormat="false" ht="15" hidden="false" customHeight="false" outlineLevel="0" collapsed="false">
      <c r="A6" s="5" t="s">
        <v>26</v>
      </c>
      <c r="B6" s="5" t="s">
        <v>27</v>
      </c>
      <c r="C6" s="6" t="n">
        <v>0.25</v>
      </c>
      <c r="D6" s="5" t="s">
        <v>28</v>
      </c>
      <c r="E6" s="5" t="s">
        <v>29</v>
      </c>
    </row>
    <row r="7" customFormat="false" ht="15" hidden="false" customHeight="false" outlineLevel="0" collapsed="false">
      <c r="A7" s="5" t="s">
        <v>30</v>
      </c>
      <c r="B7" s="5" t="s">
        <v>31</v>
      </c>
      <c r="C7" s="6" t="n">
        <v>4</v>
      </c>
      <c r="D7" s="5" t="s">
        <v>32</v>
      </c>
      <c r="E7" s="5"/>
    </row>
    <row r="8" customFormat="false" ht="15" hidden="false" customHeight="false" outlineLevel="0" collapsed="false">
      <c r="A8" s="5" t="s">
        <v>33</v>
      </c>
      <c r="B8" s="5" t="s">
        <v>34</v>
      </c>
      <c r="C8" s="6" t="n">
        <v>50</v>
      </c>
      <c r="D8" s="5" t="s">
        <v>35</v>
      </c>
      <c r="E8" s="5"/>
    </row>
    <row r="9" customFormat="false" ht="15" hidden="false" customHeight="false" outlineLevel="0" collapsed="false">
      <c r="A9" s="5" t="s">
        <v>36</v>
      </c>
      <c r="B9" s="5" t="s">
        <v>37</v>
      </c>
      <c r="C9" s="6" t="n">
        <v>50</v>
      </c>
      <c r="D9" s="5" t="s">
        <v>35</v>
      </c>
      <c r="E9" s="5"/>
    </row>
    <row r="10" customFormat="false" ht="15" hidden="false" customHeight="false" outlineLevel="0" collapsed="false">
      <c r="A10" s="5" t="s">
        <v>38</v>
      </c>
      <c r="B10" s="5" t="s">
        <v>39</v>
      </c>
      <c r="C10" s="6" t="n">
        <v>50</v>
      </c>
      <c r="D10" s="5" t="s">
        <v>35</v>
      </c>
      <c r="E10" s="5"/>
    </row>
    <row r="11" customFormat="false" ht="15" hidden="false" customHeight="false" outlineLevel="0" collapsed="false">
      <c r="A11" s="5" t="s">
        <v>40</v>
      </c>
      <c r="B11" s="5" t="s">
        <v>41</v>
      </c>
      <c r="C11" s="6" t="n">
        <v>800</v>
      </c>
      <c r="D11" s="5" t="s">
        <v>42</v>
      </c>
      <c r="E11" s="5"/>
    </row>
    <row r="12" customFormat="false" ht="15" hidden="false" customHeight="false" outlineLevel="0" collapsed="false">
      <c r="A12" s="5" t="s">
        <v>43</v>
      </c>
      <c r="B12" s="5" t="s">
        <v>44</v>
      </c>
      <c r="C12" s="6" t="n">
        <v>1500</v>
      </c>
      <c r="D12" s="5" t="s">
        <v>42</v>
      </c>
      <c r="E12" s="5"/>
    </row>
    <row r="13" customFormat="false" ht="15" hidden="false" customHeight="false" outlineLevel="0" collapsed="false">
      <c r="A13" s="5" t="s">
        <v>45</v>
      </c>
      <c r="B13" s="5" t="s">
        <v>46</v>
      </c>
      <c r="C13" s="6" t="n">
        <v>2500</v>
      </c>
      <c r="D13" s="5" t="s">
        <v>42</v>
      </c>
      <c r="E13" s="5"/>
    </row>
    <row r="14" customFormat="false" ht="15" hidden="false" customHeight="false" outlineLevel="0" collapsed="false">
      <c r="A14" s="5" t="s">
        <v>47</v>
      </c>
      <c r="B14" s="5" t="s">
        <v>48</v>
      </c>
      <c r="C14" s="6" t="n">
        <v>3500</v>
      </c>
      <c r="D14" s="5" t="s">
        <v>42</v>
      </c>
      <c r="E14" s="5"/>
    </row>
    <row r="15" customFormat="false" ht="15" hidden="false" customHeight="false" outlineLevel="0" collapsed="false">
      <c r="A15" s="5" t="s">
        <v>49</v>
      </c>
      <c r="B15" s="5" t="s">
        <v>50</v>
      </c>
      <c r="C15" s="6" t="n">
        <v>10</v>
      </c>
      <c r="D15" s="5" t="s">
        <v>51</v>
      </c>
      <c r="E15" s="5" t="s">
        <v>52</v>
      </c>
    </row>
    <row r="16" customFormat="false" ht="15" hidden="false" customHeight="false" outlineLevel="0" collapsed="false">
      <c r="A16" s="5" t="s">
        <v>53</v>
      </c>
      <c r="B16" s="5" t="s">
        <v>54</v>
      </c>
      <c r="C16" s="6" t="n">
        <v>16</v>
      </c>
      <c r="D16" s="5" t="s">
        <v>51</v>
      </c>
      <c r="E16" s="5"/>
    </row>
    <row r="17" customFormat="false" ht="15" hidden="false" customHeight="false" outlineLevel="0" collapsed="false">
      <c r="A17" s="5" t="s">
        <v>55</v>
      </c>
      <c r="B17" s="5" t="s">
        <v>56</v>
      </c>
      <c r="C17" s="6" t="n">
        <v>24</v>
      </c>
      <c r="D17" s="5" t="s">
        <v>51</v>
      </c>
      <c r="E17" s="5"/>
    </row>
    <row r="18" customFormat="false" ht="15" hidden="false" customHeight="false" outlineLevel="0" collapsed="false">
      <c r="A18" s="5" t="s">
        <v>57</v>
      </c>
      <c r="B18" s="5" t="s">
        <v>58</v>
      </c>
      <c r="C18" s="6" t="n">
        <v>30</v>
      </c>
      <c r="D18" s="5" t="s">
        <v>51</v>
      </c>
      <c r="E18" s="5"/>
    </row>
    <row r="19" customFormat="false" ht="15" hidden="false" customHeight="false" outlineLevel="0" collapsed="false">
      <c r="A19" s="5" t="s">
        <v>59</v>
      </c>
      <c r="B19" s="5" t="s">
        <v>60</v>
      </c>
      <c r="C19" s="6" t="n">
        <v>10</v>
      </c>
      <c r="D19" s="5" t="s">
        <v>61</v>
      </c>
      <c r="E19" s="5"/>
    </row>
    <row r="20" customFormat="false" ht="15" hidden="false" customHeight="false" outlineLevel="0" collapsed="false">
      <c r="A20" s="5" t="s">
        <v>62</v>
      </c>
      <c r="B20" s="5" t="s">
        <v>63</v>
      </c>
      <c r="C20" s="6" t="n">
        <v>0.7</v>
      </c>
      <c r="D20" s="5" t="s">
        <v>64</v>
      </c>
      <c r="E20" s="5"/>
    </row>
    <row r="21" customFormat="false" ht="15" hidden="false" customHeight="false" outlineLevel="0" collapsed="false">
      <c r="A21" s="5" t="s">
        <v>65</v>
      </c>
      <c r="B21" s="5" t="s">
        <v>66</v>
      </c>
      <c r="C21" s="6" t="n">
        <v>0.9</v>
      </c>
      <c r="D21" s="5" t="s">
        <v>64</v>
      </c>
      <c r="E21" s="5"/>
    </row>
    <row r="22" customFormat="false" ht="15" hidden="false" customHeight="false" outlineLevel="0" collapsed="false">
      <c r="A22" s="5" t="s">
        <v>67</v>
      </c>
      <c r="B22" s="5" t="s">
        <v>68</v>
      </c>
      <c r="C22" s="6" t="n">
        <v>10</v>
      </c>
      <c r="D22" s="5" t="s">
        <v>69</v>
      </c>
      <c r="E22" s="5" t="s">
        <v>70</v>
      </c>
    </row>
    <row r="23" customFormat="false" ht="15" hidden="false" customHeight="false" outlineLevel="0" collapsed="false">
      <c r="A23" s="5" t="s">
        <v>71</v>
      </c>
      <c r="B23" s="5" t="s">
        <v>72</v>
      </c>
      <c r="C23" s="6" t="n">
        <v>4.5</v>
      </c>
      <c r="D23" s="5" t="s">
        <v>73</v>
      </c>
      <c r="E23" s="5"/>
    </row>
    <row r="24" customFormat="false" ht="15" hidden="false" customHeight="false" outlineLevel="0" collapsed="false">
      <c r="A24" s="5" t="s">
        <v>74</v>
      </c>
      <c r="B24" s="5" t="s">
        <v>75</v>
      </c>
      <c r="C24" s="6" t="n">
        <v>0.5</v>
      </c>
      <c r="D24" s="5" t="s">
        <v>76</v>
      </c>
      <c r="E2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4" t="s">
        <v>77</v>
      </c>
      <c r="B1" s="4" t="s">
        <v>78</v>
      </c>
      <c r="C1" s="4" t="s">
        <v>79</v>
      </c>
      <c r="D1" s="4" t="s">
        <v>80</v>
      </c>
      <c r="E1" s="4" t="s">
        <v>11</v>
      </c>
      <c r="F1" s="4" t="s">
        <v>81</v>
      </c>
    </row>
    <row r="2" customFormat="false" ht="15" hidden="false" customHeight="false" outlineLevel="0" collapsed="false">
      <c r="A2" s="5" t="s">
        <v>82</v>
      </c>
      <c r="B2" s="5" t="s">
        <v>83</v>
      </c>
      <c r="C2" s="5" t="s">
        <v>84</v>
      </c>
      <c r="D2" s="7" t="n">
        <f aca="false">360/Datos!$C$7</f>
        <v>90</v>
      </c>
      <c r="E2" s="5" t="s">
        <v>85</v>
      </c>
      <c r="F2" s="5" t="s">
        <v>86</v>
      </c>
    </row>
    <row r="3" customFormat="false" ht="15" hidden="false" customHeight="false" outlineLevel="0" collapsed="false">
      <c r="A3" s="5" t="s">
        <v>82</v>
      </c>
      <c r="B3" s="5" t="s">
        <v>87</v>
      </c>
      <c r="C3" s="5" t="s">
        <v>88</v>
      </c>
      <c r="D3" s="7" t="n">
        <f aca="false">Datos!$C$8/D2*100</f>
        <v>55.5555555555556</v>
      </c>
      <c r="E3" s="5" t="s">
        <v>89</v>
      </c>
      <c r="F3" s="5" t="s">
        <v>90</v>
      </c>
    </row>
    <row r="4" customFormat="false" ht="15" hidden="false" customHeight="false" outlineLevel="0" collapsed="false">
      <c r="A4" s="5" t="s">
        <v>91</v>
      </c>
      <c r="B4" s="5" t="s">
        <v>92</v>
      </c>
      <c r="C4" s="5" t="s">
        <v>93</v>
      </c>
      <c r="D4" s="7" t="n">
        <f aca="false">120000/(Datos!$C$11*Datos!$C$7)</f>
        <v>37.5</v>
      </c>
      <c r="E4" s="5" t="s">
        <v>94</v>
      </c>
      <c r="F4" s="5"/>
    </row>
    <row r="5" customFormat="false" ht="15" hidden="false" customHeight="false" outlineLevel="0" collapsed="false">
      <c r="A5" s="5" t="s">
        <v>91</v>
      </c>
      <c r="B5" s="5" t="s">
        <v>95</v>
      </c>
      <c r="C5" s="5" t="s">
        <v>96</v>
      </c>
      <c r="D5" s="7" t="n">
        <f aca="false">D3/100*D4</f>
        <v>20.8333333333333</v>
      </c>
      <c r="E5" s="5" t="s">
        <v>94</v>
      </c>
      <c r="F5" s="5"/>
    </row>
    <row r="6" customFormat="false" ht="15" hidden="false" customHeight="false" outlineLevel="0" collapsed="false">
      <c r="A6" s="5" t="s">
        <v>91</v>
      </c>
      <c r="B6" s="5" t="s">
        <v>97</v>
      </c>
      <c r="C6" s="5" t="s">
        <v>98</v>
      </c>
      <c r="D6" s="7" t="n">
        <f aca="false">D3/100*120000/(6000*Datos!$C$7)</f>
        <v>2.77777777777778</v>
      </c>
      <c r="E6" s="5" t="s">
        <v>94</v>
      </c>
      <c r="F6" s="5" t="s">
        <v>99</v>
      </c>
    </row>
    <row r="7" customFormat="false" ht="15" hidden="false" customHeight="false" outlineLevel="0" collapsed="false">
      <c r="A7" s="5" t="s">
        <v>100</v>
      </c>
      <c r="B7" s="5" t="s">
        <v>101</v>
      </c>
      <c r="C7" s="5" t="s">
        <v>102</v>
      </c>
      <c r="D7" s="7" t="n">
        <f aca="false">Datos!$C$2/(Datos!$C$3+Datos!$C$4)</f>
        <v>4</v>
      </c>
      <c r="E7" s="5" t="s">
        <v>103</v>
      </c>
      <c r="F7" s="5"/>
    </row>
    <row r="8" customFormat="false" ht="15" hidden="false" customHeight="false" outlineLevel="0" collapsed="false">
      <c r="A8" s="5" t="s">
        <v>100</v>
      </c>
      <c r="B8" s="5" t="s">
        <v>104</v>
      </c>
      <c r="C8" s="5" t="s">
        <v>105</v>
      </c>
      <c r="D8" s="7" t="n">
        <f aca="false">Datos!$C$5/(Datos!$C$3+Datos!$C$4)</f>
        <v>1.6</v>
      </c>
      <c r="E8" s="5" t="s">
        <v>94</v>
      </c>
      <c r="F8" s="5"/>
    </row>
    <row r="9" customFormat="false" ht="15" hidden="false" customHeight="false" outlineLevel="0" collapsed="false">
      <c r="A9" s="5" t="s">
        <v>100</v>
      </c>
      <c r="B9" s="5" t="s">
        <v>106</v>
      </c>
      <c r="C9" s="5" t="s">
        <v>107</v>
      </c>
      <c r="D9" s="7" t="n">
        <f aca="false">D7*(1-EXP(-D6/D8))</f>
        <v>3.29518276435002</v>
      </c>
      <c r="E9" s="5" t="s">
        <v>103</v>
      </c>
      <c r="F9" s="5"/>
    </row>
    <row r="10" customFormat="false" ht="15" hidden="false" customHeight="false" outlineLevel="0" collapsed="false">
      <c r="A10" s="5" t="s">
        <v>100</v>
      </c>
      <c r="B10" s="5" t="s">
        <v>108</v>
      </c>
      <c r="C10" s="5" t="s">
        <v>109</v>
      </c>
      <c r="D10" s="7" t="n">
        <f aca="false">(D9/D7)^2*100</f>
        <v>67.8639340654342</v>
      </c>
      <c r="E10" s="5" t="s">
        <v>89</v>
      </c>
      <c r="F10" s="5"/>
    </row>
    <row r="11" customFormat="false" ht="15" hidden="false" customHeight="false" outlineLevel="0" collapsed="false">
      <c r="A11" s="5" t="s">
        <v>110</v>
      </c>
      <c r="B11" s="5" t="s">
        <v>111</v>
      </c>
      <c r="C11" s="5" t="s">
        <v>112</v>
      </c>
      <c r="D11" s="7" t="n">
        <f aca="false">1/(2*PI()*SQRT(Datos!$C$5/1000*Datos!$C$6/1000000))/1000</f>
        <v>4.59440746184827</v>
      </c>
      <c r="E11" s="5" t="s">
        <v>113</v>
      </c>
      <c r="F11" s="5" t="s">
        <v>114</v>
      </c>
    </row>
    <row r="12" customFormat="false" ht="15" hidden="false" customHeight="false" outlineLevel="0" collapsed="false">
      <c r="A12" s="5" t="s">
        <v>110</v>
      </c>
      <c r="B12" s="5" t="s">
        <v>115</v>
      </c>
      <c r="C12" s="5" t="s">
        <v>116</v>
      </c>
      <c r="D12" s="7" t="n">
        <f aca="false">1/D11</f>
        <v>0.217655923708106</v>
      </c>
      <c r="E12" s="5" t="s">
        <v>94</v>
      </c>
      <c r="F12" s="5" t="s">
        <v>117</v>
      </c>
    </row>
    <row r="13" customFormat="false" ht="15" hidden="false" customHeight="false" outlineLevel="0" collapsed="false">
      <c r="A13" s="5" t="s">
        <v>118</v>
      </c>
      <c r="B13" s="5" t="s">
        <v>119</v>
      </c>
      <c r="C13" s="5" t="s">
        <v>120</v>
      </c>
      <c r="D13" s="7" t="n">
        <f aca="false">Datos!$C$15/(6*Datos!$C$11)*1000</f>
        <v>2.08333333333333</v>
      </c>
      <c r="E13" s="5" t="s">
        <v>94</v>
      </c>
      <c r="F13" s="5" t="s">
        <v>121</v>
      </c>
    </row>
    <row r="14" customFormat="false" ht="15" hidden="false" customHeight="false" outlineLevel="0" collapsed="false">
      <c r="A14" s="5" t="s">
        <v>122</v>
      </c>
      <c r="B14" s="5" t="s">
        <v>123</v>
      </c>
      <c r="C14" s="5" t="s">
        <v>124</v>
      </c>
      <c r="D14" s="7" t="n">
        <f aca="false">Datos!$C$19+Datos!$C$22*(Datos!$C$21-Datos!$C$20)</f>
        <v>12</v>
      </c>
      <c r="E14" s="5" t="s">
        <v>61</v>
      </c>
      <c r="F14" s="5"/>
    </row>
    <row r="15" customFormat="false" ht="15" hidden="false" customHeight="false" outlineLevel="0" collapsed="false">
      <c r="A15" s="5" t="s">
        <v>122</v>
      </c>
      <c r="B15" s="5" t="s">
        <v>125</v>
      </c>
      <c r="C15" s="5" t="s">
        <v>126</v>
      </c>
      <c r="D15" s="7" t="n">
        <f aca="false">Datos!$C$23/Datos!$C$24</f>
        <v>9</v>
      </c>
      <c r="E15" s="5" t="s">
        <v>127</v>
      </c>
      <c r="F15" s="5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9.55" hidden="false" customHeight="false" outlineLevel="0" collapsed="false">
      <c r="A1" s="4" t="s">
        <v>129</v>
      </c>
      <c r="B1" s="4" t="s">
        <v>130</v>
      </c>
      <c r="C1" s="4" t="s">
        <v>131</v>
      </c>
      <c r="D1" s="4" t="s">
        <v>132</v>
      </c>
    </row>
    <row r="2" customFormat="false" ht="15" hidden="false" customHeight="false" outlineLevel="0" collapsed="false">
      <c r="A2" s="0" t="n">
        <v>500</v>
      </c>
      <c r="B2" s="8" t="n">
        <f aca="false">120000/(A2*Datos!$C$7)</f>
        <v>60</v>
      </c>
      <c r="C2" s="8" t="n">
        <f aca="false">Calculos!$D$3/100*B2</f>
        <v>33.3333333333333</v>
      </c>
      <c r="D2" s="9" t="n">
        <f aca="false">100*(1-EXP(-C2/Calculos!$D$8))^2</f>
        <v>99.9999998208453</v>
      </c>
    </row>
    <row r="3" customFormat="false" ht="15" hidden="false" customHeight="false" outlineLevel="0" collapsed="false">
      <c r="A3" s="0" t="n">
        <v>750</v>
      </c>
      <c r="B3" s="8" t="n">
        <f aca="false">120000/(A3*Datos!$C$7)</f>
        <v>40</v>
      </c>
      <c r="C3" s="8" t="n">
        <f aca="false">Calculos!$D$3/100*B3</f>
        <v>22.2222222222222</v>
      </c>
      <c r="D3" s="9" t="n">
        <f aca="false">100*(1-EXP(-C3/Calculos!$D$8))^2</f>
        <v>99.9998141502464</v>
      </c>
    </row>
    <row r="4" customFormat="false" ht="15" hidden="false" customHeight="false" outlineLevel="0" collapsed="false">
      <c r="A4" s="0" t="n">
        <v>1000</v>
      </c>
      <c r="B4" s="8" t="n">
        <f aca="false">120000/(A4*Datos!$C$7)</f>
        <v>30</v>
      </c>
      <c r="C4" s="8" t="n">
        <f aca="false">Calculos!$D$3/100*B4</f>
        <v>16.6666666666667</v>
      </c>
      <c r="D4" s="9" t="n">
        <f aca="false">100*(1-EXP(-C4/Calculos!$D$8))^2</f>
        <v>99.9940141939158</v>
      </c>
    </row>
    <row r="5" customFormat="false" ht="15" hidden="false" customHeight="false" outlineLevel="0" collapsed="false">
      <c r="A5" s="0" t="n">
        <v>1250</v>
      </c>
      <c r="B5" s="8" t="n">
        <f aca="false">120000/(A5*Datos!$C$7)</f>
        <v>24</v>
      </c>
      <c r="C5" s="8" t="n">
        <f aca="false">Calculos!$D$3/100*B5</f>
        <v>13.3333333333333</v>
      </c>
      <c r="D5" s="9" t="n">
        <f aca="false">100*(1-EXP(-C5/Calculos!$D$8))^2</f>
        <v>99.9519318824646</v>
      </c>
    </row>
    <row r="6" customFormat="false" ht="15" hidden="false" customHeight="false" outlineLevel="0" collapsed="false">
      <c r="A6" s="0" t="n">
        <v>1500</v>
      </c>
      <c r="B6" s="8" t="n">
        <f aca="false">120000/(A6*Datos!$C$7)</f>
        <v>20</v>
      </c>
      <c r="C6" s="8" t="n">
        <f aca="false">Calculos!$D$3/100*B6</f>
        <v>11.1111111111111</v>
      </c>
      <c r="D6" s="9" t="n">
        <f aca="false">100*(1-EXP(-C6/Calculos!$D$8))^2</f>
        <v>99.8072977797732</v>
      </c>
    </row>
    <row r="7" customFormat="false" ht="15" hidden="false" customHeight="false" outlineLevel="0" collapsed="false">
      <c r="A7" s="0" t="n">
        <v>1750</v>
      </c>
      <c r="B7" s="8" t="n">
        <f aca="false">120000/(A7*Datos!$C$7)</f>
        <v>17.1428571428571</v>
      </c>
      <c r="C7" s="8" t="n">
        <f aca="false">Calculos!$D$3/100*B7</f>
        <v>9.52380952380952</v>
      </c>
      <c r="D7" s="9" t="n">
        <f aca="false">100*(1-EXP(-C7/Calculos!$D$8))^2</f>
        <v>99.4807471113348</v>
      </c>
    </row>
    <row r="8" customFormat="false" ht="15" hidden="false" customHeight="false" outlineLevel="0" collapsed="false">
      <c r="A8" s="0" t="n">
        <v>2000</v>
      </c>
      <c r="B8" s="8" t="n">
        <f aca="false">120000/(A8*Datos!$C$7)</f>
        <v>15</v>
      </c>
      <c r="C8" s="8" t="n">
        <f aca="false">Calculos!$D$3/100*B8</f>
        <v>8.33333333333333</v>
      </c>
      <c r="D8" s="9" t="n">
        <f aca="false">100*(1-EXP(-C8/Calculos!$D$8))^2</f>
        <v>98.908836134432</v>
      </c>
    </row>
    <row r="9" customFormat="false" ht="15" hidden="false" customHeight="false" outlineLevel="0" collapsed="false">
      <c r="A9" s="0" t="n">
        <v>2250</v>
      </c>
      <c r="B9" s="8" t="n">
        <f aca="false">120000/(A9*Datos!$C$7)</f>
        <v>13.3333333333333</v>
      </c>
      <c r="C9" s="8" t="n">
        <f aca="false">Calculos!$D$3/100*B9</f>
        <v>7.40740740740741</v>
      </c>
      <c r="D9" s="9" t="n">
        <f aca="false">100*(1-EXP(-C9/Calculos!$D$8))^2</f>
        <v>98.0578480546247</v>
      </c>
    </row>
    <row r="10" customFormat="false" ht="15" hidden="false" customHeight="false" outlineLevel="0" collapsed="false">
      <c r="A10" s="0" t="n">
        <v>2500</v>
      </c>
      <c r="B10" s="8" t="n">
        <f aca="false">120000/(A10*Datos!$C$7)</f>
        <v>12</v>
      </c>
      <c r="C10" s="8" t="n">
        <f aca="false">Calculos!$D$3/100*B10</f>
        <v>6.66666666666667</v>
      </c>
      <c r="D10" s="9" t="n">
        <f aca="false">100*(1-EXP(-C10/Calculos!$D$8))^2</f>
        <v>96.9232662278401</v>
      </c>
    </row>
    <row r="11" customFormat="false" ht="15" hidden="false" customHeight="false" outlineLevel="0" collapsed="false">
      <c r="A11" s="0" t="n">
        <v>2750</v>
      </c>
      <c r="B11" s="8" t="n">
        <f aca="false">120000/(A11*Datos!$C$7)</f>
        <v>10.9090909090909</v>
      </c>
      <c r="C11" s="8" t="n">
        <f aca="false">Calculos!$D$3/100*B11</f>
        <v>6.06060606060606</v>
      </c>
      <c r="D11" s="9" t="n">
        <f aca="false">100*(1-EXP(-C11/Calculos!$D$8))^2</f>
        <v>95.5225566268342</v>
      </c>
    </row>
    <row r="12" customFormat="false" ht="15" hidden="false" customHeight="false" outlineLevel="0" collapsed="false">
      <c r="A12" s="0" t="n">
        <v>3000</v>
      </c>
      <c r="B12" s="8" t="n">
        <f aca="false">120000/(A12*Datos!$C$7)</f>
        <v>10</v>
      </c>
      <c r="C12" s="8" t="n">
        <f aca="false">Calculos!$D$3/100*B12</f>
        <v>5.55555555555556</v>
      </c>
      <c r="D12" s="9" t="n">
        <f aca="false">100*(1-EXP(-C12/Calculos!$D$8))^2</f>
        <v>93.8868058767075</v>
      </c>
    </row>
    <row r="13" customFormat="false" ht="15" hidden="false" customHeight="false" outlineLevel="0" collapsed="false">
      <c r="A13" s="0" t="n">
        <v>3250</v>
      </c>
      <c r="B13" s="8" t="n">
        <f aca="false">120000/(A13*Datos!$C$7)</f>
        <v>9.23076923076923</v>
      </c>
      <c r="C13" s="8" t="n">
        <f aca="false">Calculos!$D$3/100*B13</f>
        <v>5.12820512820513</v>
      </c>
      <c r="D13" s="9" t="n">
        <f aca="false">100*(1-EXP(-C13/Calculos!$D$8))^2</f>
        <v>92.0537198530993</v>
      </c>
    </row>
    <row r="14" customFormat="false" ht="15" hidden="false" customHeight="false" outlineLevel="0" collapsed="false">
      <c r="A14" s="0" t="n">
        <v>3500</v>
      </c>
      <c r="B14" s="8" t="n">
        <f aca="false">120000/(A14*Datos!$C$7)</f>
        <v>8.57142857142857</v>
      </c>
      <c r="C14" s="8" t="n">
        <f aca="false">Calculos!$D$3/100*B14</f>
        <v>4.76190476190476</v>
      </c>
      <c r="D14" s="9" t="n">
        <f aca="false">100*(1-EXP(-C14/Calculos!$D$8))^2</f>
        <v>90.0626244700321</v>
      </c>
    </row>
    <row r="15" customFormat="false" ht="15" hidden="false" customHeight="false" outlineLevel="0" collapsed="false">
      <c r="A15" s="0" t="n">
        <v>3750</v>
      </c>
      <c r="B15" s="8" t="n">
        <f aca="false">120000/(A15*Datos!$C$7)</f>
        <v>8</v>
      </c>
      <c r="C15" s="8" t="n">
        <f aca="false">Calculos!$D$3/100*B15</f>
        <v>4.44444444444445</v>
      </c>
      <c r="D15" s="9" t="n">
        <f aca="false">100*(1-EXP(-C15/Calculos!$D$8))^2</f>
        <v>87.951287209524</v>
      </c>
    </row>
    <row r="16" customFormat="false" ht="15" hidden="false" customHeight="false" outlineLevel="0" collapsed="false">
      <c r="A16" s="0" t="n">
        <v>4000</v>
      </c>
      <c r="B16" s="8" t="n">
        <f aca="false">120000/(A16*Datos!$C$7)</f>
        <v>7.5</v>
      </c>
      <c r="C16" s="8" t="n">
        <f aca="false">Calculos!$D$3/100*B16</f>
        <v>4.16666666666667</v>
      </c>
      <c r="D16" s="9" t="n">
        <f aca="false">100*(1-EXP(-C16/Calculos!$D$8))^2</f>
        <v>85.7541286440671</v>
      </c>
    </row>
    <row r="17" customFormat="false" ht="15" hidden="false" customHeight="false" outlineLevel="0" collapsed="false">
      <c r="A17" s="0" t="n">
        <v>4250</v>
      </c>
      <c r="B17" s="8" t="n">
        <f aca="false">120000/(A17*Datos!$C$7)</f>
        <v>7.05882352941176</v>
      </c>
      <c r="C17" s="8" t="n">
        <f aca="false">Calculos!$D$3/100*B17</f>
        <v>3.92156862745098</v>
      </c>
      <c r="D17" s="9" t="n">
        <f aca="false">100*(1-EXP(-C17/Calculos!$D$8))^2</f>
        <v>83.5013943429583</v>
      </c>
    </row>
    <row r="18" customFormat="false" ht="15" hidden="false" customHeight="false" outlineLevel="0" collapsed="false">
      <c r="A18" s="0" t="n">
        <v>4500</v>
      </c>
      <c r="B18" s="8" t="n">
        <f aca="false">120000/(A18*Datos!$C$7)</f>
        <v>6.66666666666667</v>
      </c>
      <c r="C18" s="8" t="n">
        <f aca="false">Calculos!$D$3/100*B18</f>
        <v>3.7037037037037</v>
      </c>
      <c r="D18" s="9" t="n">
        <f aca="false">100*(1-EXP(-C18/Calculos!$D$8))^2</f>
        <v>81.2189421185554</v>
      </c>
    </row>
    <row r="19" customFormat="false" ht="15" hidden="false" customHeight="false" outlineLevel="0" collapsed="false">
      <c r="A19" s="0" t="n">
        <v>4750</v>
      </c>
      <c r="B19" s="8" t="n">
        <f aca="false">120000/(A19*Datos!$C$7)</f>
        <v>6.31578947368421</v>
      </c>
      <c r="C19" s="8" t="n">
        <f aca="false">Calculos!$D$3/100*B19</f>
        <v>3.50877192982456</v>
      </c>
      <c r="D19" s="9" t="n">
        <f aca="false">100*(1-EXP(-C19/Calculos!$D$8))^2</f>
        <v>78.9283950178532</v>
      </c>
    </row>
    <row r="20" customFormat="false" ht="15" hidden="false" customHeight="false" outlineLevel="0" collapsed="false">
      <c r="A20" s="0" t="n">
        <v>5000</v>
      </c>
      <c r="B20" s="8" t="n">
        <f aca="false">120000/(A20*Datos!$C$7)</f>
        <v>6</v>
      </c>
      <c r="C20" s="8" t="n">
        <f aca="false">Calculos!$D$3/100*B20</f>
        <v>3.33333333333333</v>
      </c>
      <c r="D20" s="9" t="n">
        <f aca="false">100*(1-EXP(-C20/Calculos!$D$8))^2</f>
        <v>76.6474910710763</v>
      </c>
    </row>
    <row r="21" customFormat="false" ht="15" hidden="false" customHeight="false" outlineLevel="0" collapsed="false">
      <c r="A21" s="0" t="n">
        <v>5250</v>
      </c>
      <c r="B21" s="8" t="n">
        <f aca="false">120000/(A21*Datos!$C$7)</f>
        <v>5.71428571428571</v>
      </c>
      <c r="C21" s="8" t="n">
        <f aca="false">Calculos!$D$3/100*B21</f>
        <v>3.17460317460318</v>
      </c>
      <c r="D21" s="9" t="n">
        <f aca="false">100*(1-EXP(-C21/Calculos!$D$8))^2</f>
        <v>74.3905211650861</v>
      </c>
    </row>
    <row r="22" customFormat="false" ht="15" hidden="false" customHeight="false" outlineLevel="0" collapsed="false">
      <c r="A22" s="0" t="n">
        <v>5500</v>
      </c>
      <c r="B22" s="8" t="n">
        <f aca="false">120000/(A22*Datos!$C$7)</f>
        <v>5.45454545454545</v>
      </c>
      <c r="C22" s="8" t="n">
        <f aca="false">Calculos!$D$3/100*B22</f>
        <v>3.03030303030303</v>
      </c>
      <c r="D22" s="9" t="n">
        <f aca="false">100*(1-EXP(-C22/Calculos!$D$8))^2</f>
        <v>72.1687886468725</v>
      </c>
    </row>
    <row r="23" customFormat="false" ht="15" hidden="false" customHeight="false" outlineLevel="0" collapsed="false">
      <c r="A23" s="0" t="n">
        <v>5750</v>
      </c>
      <c r="B23" s="8" t="n">
        <f aca="false">120000/(A23*Datos!$C$7)</f>
        <v>5.21739130434783</v>
      </c>
      <c r="C23" s="8" t="n">
        <f aca="false">Calculos!$D$3/100*B23</f>
        <v>2.89855072463768</v>
      </c>
      <c r="D23" s="9" t="n">
        <f aca="false">100*(1-EXP(-C23/Calculos!$D$8))^2</f>
        <v>69.9910524932346</v>
      </c>
    </row>
    <row r="24" customFormat="false" ht="15" hidden="false" customHeight="false" outlineLevel="0" collapsed="false">
      <c r="A24" s="0" t="n">
        <v>6000</v>
      </c>
      <c r="B24" s="8" t="n">
        <f aca="false">120000/(A24*Datos!$C$7)</f>
        <v>5</v>
      </c>
      <c r="C24" s="8" t="n">
        <f aca="false">Calculos!$D$3/100*B24</f>
        <v>2.77777777777778</v>
      </c>
      <c r="D24" s="9" t="n">
        <f aca="false">100*(1-EXP(-C24/Calculos!$D$8))^2</f>
        <v>67.8639340654342</v>
      </c>
    </row>
    <row r="25" customFormat="false" ht="15" hidden="false" customHeight="false" outlineLevel="0" collapsed="false">
      <c r="A25" s="0" t="n">
        <v>6250</v>
      </c>
      <c r="B25" s="8" t="n">
        <f aca="false">120000/(A25*Datos!$C$7)</f>
        <v>4.8</v>
      </c>
      <c r="C25" s="8" t="n">
        <f aca="false">Calculos!$D$3/100*B25</f>
        <v>2.66666666666667</v>
      </c>
      <c r="D25" s="9" t="n">
        <f aca="false">100*(1-EXP(-C25/Calculos!$D$8))^2</f>
        <v>65.7922787672129</v>
      </c>
    </row>
    <row r="26" customFormat="false" ht="15" hidden="false" customHeight="false" outlineLevel="0" collapsed="false">
      <c r="A26" s="0" t="n">
        <v>6500</v>
      </c>
      <c r="B26" s="8" t="n">
        <f aca="false">120000/(A26*Datos!$C$7)</f>
        <v>4.61538461538462</v>
      </c>
      <c r="C26" s="8" t="n">
        <f aca="false">Calculos!$D$3/100*B26</f>
        <v>2.56410256410256</v>
      </c>
      <c r="D26" s="9" t="n">
        <f aca="false">100*(1-EXP(-C26/Calculos!$D$8))^2</f>
        <v>63.7794706622151</v>
      </c>
    </row>
    <row r="27" customFormat="false" ht="15" hidden="false" customHeight="false" outlineLevel="0" collapsed="false">
      <c r="A27" s="0" t="n">
        <v>6750</v>
      </c>
      <c r="B27" s="8" t="n">
        <f aca="false">120000/(A27*Datos!$C$7)</f>
        <v>4.44444444444445</v>
      </c>
      <c r="C27" s="8" t="n">
        <f aca="false">Calculos!$D$3/100*B27</f>
        <v>2.46913580246914</v>
      </c>
      <c r="D27" s="9" t="n">
        <f aca="false">100*(1-EXP(-C27/Calculos!$D$8))^2</f>
        <v>61.8277019021303</v>
      </c>
    </row>
    <row r="28" customFormat="false" ht="15" hidden="false" customHeight="false" outlineLevel="0" collapsed="false">
      <c r="A28" s="0" t="n">
        <v>7000</v>
      </c>
      <c r="B28" s="8" t="n">
        <f aca="false">120000/(A28*Datos!$C$7)</f>
        <v>4.28571428571429</v>
      </c>
      <c r="C28" s="8" t="n">
        <f aca="false">Calculos!$D$3/100*B28</f>
        <v>2.38095238095238</v>
      </c>
      <c r="D28" s="9" t="n">
        <f aca="false">100*(1-EXP(-C28/Calculos!$D$8))^2</f>
        <v>59.9382007633958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133</v>
      </c>
      <c r="B1" s="4" t="s">
        <v>134</v>
      </c>
      <c r="C1" s="4" t="s">
        <v>135</v>
      </c>
    </row>
    <row r="2" customFormat="false" ht="15" hidden="false" customHeight="false" outlineLevel="0" collapsed="false">
      <c r="A2" s="0" t="n">
        <v>0.15</v>
      </c>
      <c r="B2" s="8" t="n">
        <f aca="false">1/(2*PI()*SQRT(Datos!$C$5/1000*A2/1000000))/1000</f>
        <v>5.93135452847648</v>
      </c>
      <c r="C2" s="10" t="n">
        <f aca="false">1/B2</f>
        <v>0.168595553544977</v>
      </c>
    </row>
    <row r="3" customFormat="false" ht="15" hidden="false" customHeight="false" outlineLevel="0" collapsed="false">
      <c r="A3" s="0" t="n">
        <v>0.175</v>
      </c>
      <c r="B3" s="8" t="n">
        <f aca="false">1/(2*PI()*SQRT(Datos!$C$5/1000*A3/1000000))/1000</f>
        <v>5.49136724134047</v>
      </c>
      <c r="C3" s="10" t="n">
        <f aca="false">1/B3</f>
        <v>0.182104010904923</v>
      </c>
    </row>
    <row r="4" customFormat="false" ht="15" hidden="false" customHeight="false" outlineLevel="0" collapsed="false">
      <c r="A4" s="0" t="n">
        <v>0.2</v>
      </c>
      <c r="B4" s="8" t="n">
        <f aca="false">1/(2*PI()*SQRT(Datos!$C$5/1000*A4/1000000))/1000</f>
        <v>5.1367037005125</v>
      </c>
      <c r="C4" s="10" t="n">
        <f aca="false">1/B4</f>
        <v>0.194677376446733</v>
      </c>
    </row>
    <row r="5" customFormat="false" ht="15" hidden="false" customHeight="false" outlineLevel="0" collapsed="false">
      <c r="A5" s="0" t="n">
        <v>0.225</v>
      </c>
      <c r="B5" s="8" t="n">
        <f aca="false">1/(2*PI()*SQRT(Datos!$C$5/1000*A5/1000000))/1000</f>
        <v>4.84293069277123</v>
      </c>
      <c r="C5" s="10" t="n">
        <f aca="false">1/B5</f>
        <v>0.206486539543637</v>
      </c>
    </row>
    <row r="6" customFormat="false" ht="15" hidden="false" customHeight="false" outlineLevel="0" collapsed="false">
      <c r="A6" s="0" t="n">
        <v>0.25</v>
      </c>
      <c r="B6" s="8" t="n">
        <f aca="false">1/(2*PI()*SQRT(Datos!$C$5/1000*A6/1000000))/1000</f>
        <v>4.59440746184827</v>
      </c>
      <c r="C6" s="10" t="n">
        <f aca="false">1/B6</f>
        <v>0.217655923708106</v>
      </c>
    </row>
    <row r="7" customFormat="false" ht="15" hidden="false" customHeight="false" outlineLevel="0" collapsed="false">
      <c r="A7" s="0" t="n">
        <v>0.275</v>
      </c>
      <c r="B7" s="8" t="n">
        <f aca="false">1/(2*PI()*SQRT(Datos!$C$5/1000*A7/1000000))/1000</f>
        <v>4.38059563462312</v>
      </c>
      <c r="C7" s="10" t="n">
        <f aca="false">1/B7</f>
        <v>0.228279458641709</v>
      </c>
    </row>
    <row r="8" customFormat="false" ht="15" hidden="false" customHeight="false" outlineLevel="0" collapsed="false">
      <c r="A8" s="0" t="n">
        <v>0.3</v>
      </c>
      <c r="B8" s="8" t="n">
        <f aca="false">1/(2*PI()*SQRT(Datos!$C$5/1000*A8/1000000))/1000</f>
        <v>4.19410100870725</v>
      </c>
      <c r="C8" s="10" t="n">
        <f aca="false">1/B8</f>
        <v>0.238430118379106</v>
      </c>
    </row>
    <row r="9" customFormat="false" ht="15" hidden="false" customHeight="false" outlineLevel="0" collapsed="false">
      <c r="A9" s="0" t="n">
        <v>0.325</v>
      </c>
      <c r="B9" s="8" t="n">
        <f aca="false">1/(2*PI()*SQRT(Datos!$C$5/1000*A9/1000000))/1000</f>
        <v>4.02956190837808</v>
      </c>
      <c r="C9" s="10" t="n">
        <f aca="false">1/B9</f>
        <v>0.248165935339236</v>
      </c>
    </row>
    <row r="10" customFormat="false" ht="15" hidden="false" customHeight="false" outlineLevel="0" collapsed="false">
      <c r="A10" s="0" t="n">
        <v>0.35</v>
      </c>
      <c r="B10" s="8" t="n">
        <f aca="false">1/(2*PI()*SQRT(Datos!$C$5/1000*A10/1000000))/1000</f>
        <v>3.88298301433751</v>
      </c>
      <c r="C10" s="10" t="n">
        <f aca="false">1/B10</f>
        <v>0.25753396198428</v>
      </c>
    </row>
    <row r="11" customFormat="false" ht="15" hidden="false" customHeight="false" outlineLevel="0" collapsed="false">
      <c r="A11" s="0" t="n">
        <v>0.375</v>
      </c>
      <c r="B11" s="8" t="n">
        <f aca="false">1/(2*PI()*SQRT(Datos!$C$5/1000*A11/1000000))/1000</f>
        <v>3.75131798398794</v>
      </c>
      <c r="C11" s="10" t="n">
        <f aca="false">1/B11</f>
        <v>0.266572976289502</v>
      </c>
    </row>
    <row r="12" customFormat="false" ht="15" hidden="false" customHeight="false" outlineLevel="0" collapsed="false">
      <c r="A12" s="0" t="n">
        <v>0.4</v>
      </c>
      <c r="B12" s="8" t="n">
        <f aca="false">1/(2*PI()*SQRT(Datos!$C$5/1000*A12/1000000))/1000</f>
        <v>3.63219801957842</v>
      </c>
      <c r="C12" s="10" t="n">
        <f aca="false">1/B12</f>
        <v>0.275315386058183</v>
      </c>
    </row>
    <row r="13" customFormat="false" ht="15" hidden="false" customHeight="false" outlineLevel="0" collapsed="false">
      <c r="A13" s="0" t="n">
        <v>0.425</v>
      </c>
      <c r="B13" s="8" t="n">
        <f aca="false">1/(2*PI()*SQRT(Datos!$C$5/1000*A13/1000000))/1000</f>
        <v>3.52374966773673</v>
      </c>
      <c r="C13" s="10" t="n">
        <f aca="false">1/B13</f>
        <v>0.283788604268898</v>
      </c>
    </row>
    <row r="14" customFormat="false" ht="15" hidden="false" customHeight="false" outlineLevel="0" collapsed="false">
      <c r="A14" s="0" t="n">
        <v>0.45</v>
      </c>
      <c r="B14" s="8" t="n">
        <f aca="false">1/(2*PI()*SQRT(Datos!$C$5/1000*A14/1000000))/1000</f>
        <v>3.424469133675</v>
      </c>
      <c r="C14" s="10" t="n">
        <f aca="false">1/B14</f>
        <v>0.2920160646701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9.55" hidden="false" customHeight="false" outlineLevel="0" collapsed="false">
      <c r="A1" s="4" t="s">
        <v>129</v>
      </c>
      <c r="B1" s="4" t="s">
        <v>136</v>
      </c>
      <c r="C1" s="4" t="s">
        <v>137</v>
      </c>
      <c r="D1" s="4" t="s">
        <v>138</v>
      </c>
    </row>
    <row r="2" customFormat="false" ht="15" hidden="false" customHeight="false" outlineLevel="0" collapsed="false">
      <c r="A2" s="5" t="n">
        <f aca="false">Datos!$C$11</f>
        <v>800</v>
      </c>
      <c r="B2" s="5" t="n">
        <f aca="false">Datos!$C$15</f>
        <v>10</v>
      </c>
      <c r="C2" s="5" t="n">
        <f aca="false">B2-Datos!$C$15</f>
        <v>0</v>
      </c>
      <c r="D2" s="7" t="n">
        <f aca="false">B2/(6*A2)*1000</f>
        <v>2.08333333333333</v>
      </c>
    </row>
    <row r="3" customFormat="false" ht="15" hidden="false" customHeight="false" outlineLevel="0" collapsed="false">
      <c r="A3" s="5" t="n">
        <f aca="false">Datos!$C$12</f>
        <v>1500</v>
      </c>
      <c r="B3" s="5" t="n">
        <f aca="false">Datos!$C$16</f>
        <v>16</v>
      </c>
      <c r="C3" s="5" t="n">
        <f aca="false">B3-Datos!$C$15</f>
        <v>6</v>
      </c>
      <c r="D3" s="7" t="n">
        <f aca="false">B3/(6*A3)*1000</f>
        <v>1.77777777777778</v>
      </c>
    </row>
    <row r="4" customFormat="false" ht="15" hidden="false" customHeight="false" outlineLevel="0" collapsed="false">
      <c r="A4" s="5" t="n">
        <f aca="false">Datos!$C$13</f>
        <v>2500</v>
      </c>
      <c r="B4" s="5" t="n">
        <f aca="false">Datos!$C$17</f>
        <v>24</v>
      </c>
      <c r="C4" s="5" t="n">
        <f aca="false">B4-Datos!$C$15</f>
        <v>14</v>
      </c>
      <c r="D4" s="7" t="n">
        <f aca="false">B4/(6*A4)*1000</f>
        <v>1.6</v>
      </c>
    </row>
    <row r="5" customFormat="false" ht="15" hidden="false" customHeight="false" outlineLevel="0" collapsed="false">
      <c r="A5" s="5" t="n">
        <f aca="false">Datos!$C$14</f>
        <v>3500</v>
      </c>
      <c r="B5" s="5" t="n">
        <f aca="false">Datos!$C$18</f>
        <v>30</v>
      </c>
      <c r="C5" s="5" t="n">
        <f aca="false">B5-Datos!$C$15</f>
        <v>20</v>
      </c>
      <c r="D5" s="7" t="n">
        <f aca="false">B5/(6*A5)*1000</f>
        <v>1.42857142857143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</cols>
  <sheetData>
    <row r="1" customFormat="false" ht="26.85" hidden="false" customHeight="false" outlineLevel="0" collapsed="false">
      <c r="A1" s="4" t="s">
        <v>139</v>
      </c>
      <c r="B1" s="4" t="s">
        <v>140</v>
      </c>
      <c r="C1" s="4" t="s">
        <v>141</v>
      </c>
      <c r="D1" s="4" t="s">
        <v>142</v>
      </c>
      <c r="E1" s="4" t="s">
        <v>130</v>
      </c>
      <c r="F1" s="4" t="s">
        <v>131</v>
      </c>
      <c r="G1" s="4" t="s">
        <v>143</v>
      </c>
    </row>
    <row r="2" customFormat="false" ht="15" hidden="false" customHeight="false" outlineLevel="0" collapsed="false">
      <c r="A2" s="5" t="n">
        <f aca="false">Datos!$C$11</f>
        <v>800</v>
      </c>
      <c r="B2" s="5" t="n">
        <f aca="false">Datos!$C$8</f>
        <v>50</v>
      </c>
      <c r="C2" s="5" t="n">
        <f aca="false">360/Datos!$C$7</f>
        <v>90</v>
      </c>
      <c r="D2" s="11" t="n">
        <f aca="false">B2/C2*100</f>
        <v>55.5555555555556</v>
      </c>
      <c r="E2" s="7" t="n">
        <f aca="false">120000/(A2*Datos!$C$7)</f>
        <v>37.5</v>
      </c>
      <c r="F2" s="7" t="n">
        <f aca="false">D2/100*E2</f>
        <v>20.8333333333333</v>
      </c>
      <c r="G2" s="7" t="n">
        <f aca="false">Calculos!$D$7*(1-EXP(-F2/Calculos!$D$8))</f>
        <v>3.99999114509462</v>
      </c>
    </row>
    <row r="3" customFormat="false" ht="15" hidden="false" customHeight="false" outlineLevel="0" collapsed="false">
      <c r="A3" s="5" t="n">
        <f aca="false">Datos!$C$12</f>
        <v>1500</v>
      </c>
      <c r="B3" s="5" t="n">
        <f aca="false">Datos!$C$9</f>
        <v>50</v>
      </c>
      <c r="C3" s="5" t="n">
        <f aca="false">360/Datos!$C$7</f>
        <v>90</v>
      </c>
      <c r="D3" s="11" t="n">
        <f aca="false">B3/C3*100</f>
        <v>55.5555555555556</v>
      </c>
      <c r="E3" s="7" t="n">
        <f aca="false">120000/(A3*Datos!$C$7)</f>
        <v>20</v>
      </c>
      <c r="F3" s="7" t="n">
        <f aca="false">D3/100*E3</f>
        <v>11.1111111111111</v>
      </c>
      <c r="G3" s="7" t="n">
        <f aca="false">Calculos!$D$7*(1-EXP(-F3/Calculos!$D$8))</f>
        <v>3.99614409709706</v>
      </c>
    </row>
    <row r="4" customFormat="false" ht="15" hidden="false" customHeight="false" outlineLevel="0" collapsed="false">
      <c r="A4" s="5" t="n">
        <f aca="false">Datos!$C$13</f>
        <v>2500</v>
      </c>
      <c r="B4" s="5" t="n">
        <f aca="false">Datos!$C$10</f>
        <v>50</v>
      </c>
      <c r="C4" s="5" t="n">
        <f aca="false">360/Datos!$C$7</f>
        <v>90</v>
      </c>
      <c r="D4" s="11" t="n">
        <f aca="false">B4/C4*100</f>
        <v>55.5555555555556</v>
      </c>
      <c r="E4" s="7" t="n">
        <f aca="false">120000/(A4*Datos!$C$7)</f>
        <v>12</v>
      </c>
      <c r="F4" s="7" t="n">
        <f aca="false">D4/100*E4</f>
        <v>6.66666666666667</v>
      </c>
      <c r="G4" s="7" t="n">
        <f aca="false">Calculos!$D$7*(1-EXP(-F4/Calculos!$D$8))</f>
        <v>3.93798458560396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2026-09-21T20:02:56Z</dcterms:created>
  <dc:creator>openpyxl</dc:creator>
  <dc:description/>
  <dc:language>en-US</dc:language>
  <cp:lastModifiedBy/>
  <dcterms:modified xsi:type="dcterms:W3CDTF">2026-09-21T20:02:57Z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