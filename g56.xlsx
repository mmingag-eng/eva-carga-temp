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Instrucciones" sheetId="1" state="visible" r:id="rId3"/>
    <sheet name="1_Datos" sheetId="2" state="visible" r:id="rId4"/>
    <sheet name="2_Junta_cardan" sheetId="3" state="visible" r:id="rId5"/>
    <sheet name="3_Doble_cardan" sheetId="4" state="visible" r:id="rId6"/>
    <sheet name="4_Velocidad_critica" sheetId="5" state="visible" r:id="rId7"/>
    <sheet name="5_Semiarbol" sheetId="6" state="visible" r:id="rId8"/>
  </sheets>
  <definedNames>
    <definedName function="false" hidden="false" name="At" vbProcedure="false">4_Velocidad_critica!$C$6</definedName>
    <definedName function="false" hidden="false" name="b1" vbProcedure="false">1_Datos!$C$4</definedName>
    <definedName function="false" hidden="false" name="b2" vbProcedure="false">1_Datos!$C$5</definedName>
    <definedName function="false" hidden="false" name="din" vbProcedure="false">4_Velocidad_critica!$C$4</definedName>
    <definedName function="false" hidden="false" name="dlt" vbProcedure="false">2_Junta_cardan!$C$6</definedName>
    <definedName function="false" hidden="false" name="ds" vbProcedure="false">1_Datos!$C$16</definedName>
    <definedName function="false" hidden="false" name="Dt" vbProcedure="false">1_Datos!$C$6</definedName>
    <definedName function="false" hidden="false" name="Ea" vbProcedure="false">1_Datos!$C$9</definedName>
    <definedName function="false" hidden="false" name="eta" vbProcedure="false">1_Datos!$C$15</definedName>
    <definedName function="false" hidden="false" name="icmin" vbProcedure="false">1_Datos!$C$12</definedName>
    <definedName function="false" hidden="false" name="it1" vbProcedure="false">1_Datos!$C$14</definedName>
    <definedName function="false" hidden="false" name="Iz" vbProcedure="false">4_Velocidad_critica!$C$5</definedName>
    <definedName function="false" hidden="false" name="Lt" vbProcedure="false">1_Datos!$C$8</definedName>
    <definedName function="false" hidden="false" name="Mmax" vbProcedure="false">1_Datos!$C$13</definedName>
    <definedName function="false" hidden="false" name="nc" vbProcedure="false">4_Velocidad_critica!$C$7</definedName>
    <definedName function="false" hidden="false" name="nc2" vbProcedure="false">4_Velocidad_critica!$C$11</definedName>
    <definedName function="false" hidden="false" name="nmax" vbProcedure="false">4_Velocidad_critica!$C$8</definedName>
    <definedName function="false" hidden="false" name="nP" vbProcedure="false">1_Datos!$C$11</definedName>
    <definedName function="false" hidden="false" name="rhoa" vbProcedure="false">1_Datos!$C$10</definedName>
    <definedName function="false" hidden="false" name="rmax" vbProcedure="false">2_Junta_cardan!$C$4</definedName>
    <definedName function="false" hidden="false" name="rmin" vbProcedure="false">2_Junta_cardan!$C$5</definedName>
    <definedName function="false" hidden="false" name="Sc" vbProcedure="false">4_Velocidad_critica!$C$9</definedName>
    <definedName function="false" hidden="false" name="St" vbProcedure="false">5_Semiarbol!$C$6</definedName>
    <definedName function="false" hidden="false" name="tadm" vbProcedure="false">1_Datos!$C$17</definedName>
    <definedName function="false" hidden="false" name="tau" vbProcedure="false">5_Semiarbol!$C$5</definedName>
    <definedName function="false" hidden="false" name="Ts" vbProcedure="false">5_Semiarbol!$C$4</definedName>
    <definedName function="false" hidden="false" name="tw" vbProcedure="false">1_Datos!$C$7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<sst xmlns="http://schemas.openxmlformats.org/spreadsheetml/2006/main" count="146" uniqueCount="119">
  <si>
    <t xml:space="preserve">PRÁCTICA 4 – ÁRBOL DE TRANSMISIÓN, PALIERES Y JUNTAS: CÁLCULOS CINEMÁTICOS Y DE RESISTENCIA</t>
  </si>
  <si>
    <t xml:space="preserve">Mecánica de Patio III – Instituto Superior Tecnológico Sudamericano – Ing. Miguel Angel Minga González</t>
  </si>
  <si>
    <t xml:space="preserve">Cómo usar este libro:</t>
  </si>
  <si>
    <t xml:space="preserve">1. Las celdas amarillas con texto azul son DATOS DE ENTRADA. Cámbielas con los datos del conjunto del laboratorio; las demás hojas se recalculan solas.</t>
  </si>
  <si>
    <t xml:space="preserve">2. Las celdas verdes son RESULTADOS calculados con fórmulas: no escriba sobre ellas.</t>
  </si>
  <si>
    <t xml:space="preserve">3. Cada hoja corresponde a un paso del ejemplo resuelto de la guía y a una sección del código MATLAB.</t>
  </si>
  <si>
    <t xml:space="preserve">Hojas del libro:</t>
  </si>
  <si>
    <t xml:space="preserve">1_Datos: ángulos de las juntas, dimensiones del tubo, material, régimen máximo y datos del semiárbol.</t>
  </si>
  <si>
    <t xml:space="preserve">2_Junta_cardan: relación de velocidades de una junta cardán durante una vuelta, valores máximo y mínimo y fluctuación. Ecuaciones (1) a (3).</t>
  </si>
  <si>
    <t xml:space="preserve">3_Doble_cardan: árbol con dos juntas en fase y desfasadas; condición de velocidad constante. Ecuaciones (4) y (5).</t>
  </si>
  <si>
    <t xml:space="preserve">4_Velocidad_critica: momento de inercia del tubo, velocidad crítica de flexión y factor de seguridad. Ecuaciones (6) a (8).</t>
  </si>
  <si>
    <t xml:space="preserve">5_Semiarbol: par y esfuerzo cortante de torsión en el semiárbol en primera marcha. Ecuaciones (9) y (10).</t>
  </si>
  <si>
    <t xml:space="preserve">Interpretación:</t>
  </si>
  <si>
    <t xml:space="preserve">• Cuanto mayor es el ángulo β, mayor es la oscilación de velocidad y la vibración. • Con dos juntas en fase y ángulos iguales la salida gira uniformemente. • La velocidad crítica debe superar al menos 1,3 veces la velocidad máxima del árbol; si no, se usa árbol en dos tramos o mayor diámetro.</t>
  </si>
  <si>
    <t xml:space="preserve">Datos de entrada</t>
  </si>
  <si>
    <t xml:space="preserve">Parámetro</t>
  </si>
  <si>
    <t xml:space="preserve">Símbolo</t>
  </si>
  <si>
    <t xml:space="preserve">Valor</t>
  </si>
  <si>
    <t xml:space="preserve">Unidad</t>
  </si>
  <si>
    <t xml:space="preserve">Observación</t>
  </si>
  <si>
    <t xml:space="preserve">Ángulo de la primera junta</t>
  </si>
  <si>
    <t xml:space="preserve">β1</t>
  </si>
  <si>
    <t xml:space="preserve">°</t>
  </si>
  <si>
    <t xml:space="preserve">Medir con inclinómetro</t>
  </si>
  <si>
    <t xml:space="preserve">Ángulo de la segunda junta</t>
  </si>
  <si>
    <t xml:space="preserve">β2</t>
  </si>
  <si>
    <t xml:space="preserve">Diámetro exterior del tubo</t>
  </si>
  <si>
    <t xml:space="preserve">D</t>
  </si>
  <si>
    <t xml:space="preserve">mm</t>
  </si>
  <si>
    <t xml:space="preserve">Espesor de pared</t>
  </si>
  <si>
    <t xml:space="preserve">t</t>
  </si>
  <si>
    <t xml:space="preserve">Longitud entre apoyos</t>
  </si>
  <si>
    <t xml:space="preserve">L</t>
  </si>
  <si>
    <t xml:space="preserve">m</t>
  </si>
  <si>
    <t xml:space="preserve">Módulo de elasticidad del acero</t>
  </si>
  <si>
    <t xml:space="preserve">E</t>
  </si>
  <si>
    <t xml:space="preserve">Pa</t>
  </si>
  <si>
    <t xml:space="preserve">Densidad del acero</t>
  </si>
  <si>
    <t xml:space="preserve">ρ</t>
  </si>
  <si>
    <t xml:space="preserve">kg/m³</t>
  </si>
  <si>
    <t xml:space="preserve">Régimen de potencia máxima del motor</t>
  </si>
  <si>
    <t xml:space="preserve">nP</t>
  </si>
  <si>
    <t xml:space="preserve">min⁻¹</t>
  </si>
  <si>
    <t xml:space="preserve">Relación de caja de la marcha más larga</t>
  </si>
  <si>
    <t xml:space="preserve">ic,mín</t>
  </si>
  <si>
    <t xml:space="preserve">—</t>
  </si>
  <si>
    <t xml:space="preserve">Práctica 2</t>
  </si>
  <si>
    <t xml:space="preserve">Par máximo del motor</t>
  </si>
  <si>
    <t xml:space="preserve">Mmax</t>
  </si>
  <si>
    <t xml:space="preserve">N·m</t>
  </si>
  <si>
    <t xml:space="preserve">Relación total de 1.ª</t>
  </si>
  <si>
    <t xml:space="preserve">it1</t>
  </si>
  <si>
    <t xml:space="preserve">Práctica 1</t>
  </si>
  <si>
    <t xml:space="preserve">Rendimiento</t>
  </si>
  <si>
    <t xml:space="preserve">η</t>
  </si>
  <si>
    <t xml:space="preserve">Diámetro del semiárbol</t>
  </si>
  <si>
    <t xml:space="preserve">ds</t>
  </si>
  <si>
    <t xml:space="preserve">Medir en la zona más delgada</t>
  </si>
  <si>
    <t xml:space="preserve">Esfuerzo cortante admisible</t>
  </si>
  <si>
    <t xml:space="preserve">τadm</t>
  </si>
  <si>
    <t xml:space="preserve">MPa</t>
  </si>
  <si>
    <t xml:space="preserve">Acero bonificado</t>
  </si>
  <si>
    <t xml:space="preserve">Relación de velocidades de una junta cardán</t>
  </si>
  <si>
    <t xml:space="preserve">RESULTADOS</t>
  </si>
  <si>
    <t xml:space="preserve">ω2/ω1 máximo</t>
  </si>
  <si>
    <t xml:space="preserve">Ec. (2)</t>
  </si>
  <si>
    <t xml:space="preserve">ω2/ω1 mínimo</t>
  </si>
  <si>
    <t xml:space="preserve">Fluctuación</t>
  </si>
  <si>
    <t xml:space="preserve">δ</t>
  </si>
  <si>
    <t xml:space="preserve">Ec. (3)</t>
  </si>
  <si>
    <t xml:space="preserve">Fluctuación porcentual</t>
  </si>
  <si>
    <t xml:space="preserve">δ %</t>
  </si>
  <si>
    <t xml:space="preserve">%</t>
  </si>
  <si>
    <t xml:space="preserve">θ (°)</t>
  </si>
  <si>
    <t xml:space="preserve">ω2/ω1 β=5°</t>
  </si>
  <si>
    <t xml:space="preserve">ω2/ω1 β=10°</t>
  </si>
  <si>
    <t xml:space="preserve">ω2/ω1 β=15°</t>
  </si>
  <si>
    <t xml:space="preserve">ω2/ω1 β=20°</t>
  </si>
  <si>
    <t xml:space="preserve">ω2/ω1 β1 (dato)</t>
  </si>
  <si>
    <t xml:space="preserve">Árbol con dos juntas cardán</t>
  </si>
  <si>
    <t xml:space="preserve">ω2/ω1</t>
  </si>
  <si>
    <t xml:space="preserve">cos²θ2</t>
  </si>
  <si>
    <t xml:space="preserve">sin²θ2</t>
  </si>
  <si>
    <t xml:space="preserve">ω3/ω1 en fase</t>
  </si>
  <si>
    <t xml:space="preserve">ω3/ω1 desfase 90°</t>
  </si>
  <si>
    <t xml:space="preserve">Velocidad crítica de flexión del tubo</t>
  </si>
  <si>
    <t xml:space="preserve">Diámetro interior</t>
  </si>
  <si>
    <t xml:space="preserve">d</t>
  </si>
  <si>
    <t xml:space="preserve">Momento de inercia</t>
  </si>
  <si>
    <t xml:space="preserve">I</t>
  </si>
  <si>
    <t xml:space="preserve">m⁴</t>
  </si>
  <si>
    <t xml:space="preserve">Ec. (6)</t>
  </si>
  <si>
    <t xml:space="preserve">Área de la sección</t>
  </si>
  <si>
    <t xml:space="preserve">A</t>
  </si>
  <si>
    <t xml:space="preserve">m²</t>
  </si>
  <si>
    <t xml:space="preserve">Velocidad crítica</t>
  </si>
  <si>
    <t xml:space="preserve">nc</t>
  </si>
  <si>
    <t xml:space="preserve">Ec. (7)</t>
  </si>
  <si>
    <t xml:space="preserve">Velocidad máxima del árbol</t>
  </si>
  <si>
    <t xml:space="preserve">nmáx</t>
  </si>
  <si>
    <t xml:space="preserve">Ec. (8)</t>
  </si>
  <si>
    <t xml:space="preserve">Factor de seguridad</t>
  </si>
  <si>
    <t xml:space="preserve">Sc</t>
  </si>
  <si>
    <t xml:space="preserve">¿Cumple Sc ≥ 1,3?</t>
  </si>
  <si>
    <t xml:space="preserve">Velocidad crítica con dos tramos (L/2)</t>
  </si>
  <si>
    <t xml:space="preserve">nc2</t>
  </si>
  <si>
    <t xml:space="preserve">nc ∝ 1/L²</t>
  </si>
  <si>
    <t xml:space="preserve">L (m)</t>
  </si>
  <si>
    <t xml:space="preserve">nc (min⁻¹)</t>
  </si>
  <si>
    <t xml:space="preserve">1,3·nmáx</t>
  </si>
  <si>
    <t xml:space="preserve">Torsión en el semiárbol</t>
  </si>
  <si>
    <t xml:space="preserve">Par en cada semiárbol en 1.ª</t>
  </si>
  <si>
    <t xml:space="preserve">Ts</t>
  </si>
  <si>
    <t xml:space="preserve">Ec. (9)</t>
  </si>
  <si>
    <t xml:space="preserve">Esfuerzo cortante máximo</t>
  </si>
  <si>
    <t xml:space="preserve">τ</t>
  </si>
  <si>
    <t xml:space="preserve">Ec. (10)</t>
  </si>
  <si>
    <t xml:space="preserve">Factor de seguridad a torsión</t>
  </si>
  <si>
    <t xml:space="preserve">Sτ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</si>
</sst>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99999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Junta cardán: ω2/ω1 durante una vuelta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"β = 5°"</c:f>
              <c:strCache>
                <c:ptCount val="1"/>
                <c:pt idx="0">
                  <c:v>β = 5°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2_Junta_cardan!$A$10:$A$46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2_Junta_cardan!$B$10:$B$46</c:f>
              <c:numCache>
                <c:formatCode>General</c:formatCode>
                <c:ptCount val="37"/>
                <c:pt idx="0">
                  <c:v>1.00381983754335</c:v>
                </c:pt>
                <c:pt idx="1">
                  <c:v>1.00358820500142</c:v>
                </c:pt>
                <c:pt idx="2">
                  <c:v>1.00292184232591</c:v>
                </c:pt>
                <c:pt idx="3">
                  <c:v>1.00190263017248</c:v>
                </c:pt>
                <c:pt idx="4">
                  <c:v>1.00065520698266</c:v>
                </c:pt>
                <c:pt idx="5">
                  <c:v>0.9993311340784</c:v>
                </c:pt>
                <c:pt idx="6">
                  <c:v>0.998090102009971</c:v>
                </c:pt>
                <c:pt idx="7">
                  <c:v>0.997080681701825</c:v>
                </c:pt>
                <c:pt idx="8">
                  <c:v>0.996422929909779</c:v>
                </c:pt>
                <c:pt idx="9">
                  <c:v>0.996194698091746</c:v>
                </c:pt>
                <c:pt idx="10">
                  <c:v>0.996422929909779</c:v>
                </c:pt>
                <c:pt idx="11">
                  <c:v>0.997080681701825</c:v>
                </c:pt>
                <c:pt idx="12">
                  <c:v>0.998090102009971</c:v>
                </c:pt>
                <c:pt idx="13">
                  <c:v>0.9993311340784</c:v>
                </c:pt>
                <c:pt idx="14">
                  <c:v>1.00065520698266</c:v>
                </c:pt>
                <c:pt idx="15">
                  <c:v>1.00190263017248</c:v>
                </c:pt>
                <c:pt idx="16">
                  <c:v>1.00292184232591</c:v>
                </c:pt>
                <c:pt idx="17">
                  <c:v>1.00358820500142</c:v>
                </c:pt>
                <c:pt idx="18">
                  <c:v>1.00381983754335</c:v>
                </c:pt>
                <c:pt idx="19">
                  <c:v>1.00358820500142</c:v>
                </c:pt>
                <c:pt idx="20">
                  <c:v>1.00292184232591</c:v>
                </c:pt>
                <c:pt idx="21">
                  <c:v>1.00190263017248</c:v>
                </c:pt>
                <c:pt idx="22">
                  <c:v>1.00065520698266</c:v>
                </c:pt>
                <c:pt idx="23">
                  <c:v>0.9993311340784</c:v>
                </c:pt>
                <c:pt idx="24">
                  <c:v>0.998090102009971</c:v>
                </c:pt>
                <c:pt idx="25">
                  <c:v>0.997080681701825</c:v>
                </c:pt>
                <c:pt idx="26">
                  <c:v>0.996422929909779</c:v>
                </c:pt>
                <c:pt idx="27">
                  <c:v>0.996194698091746</c:v>
                </c:pt>
                <c:pt idx="28">
                  <c:v>0.996422929909779</c:v>
                </c:pt>
                <c:pt idx="29">
                  <c:v>0.997080681701825</c:v>
                </c:pt>
                <c:pt idx="30">
                  <c:v>0.998090102009971</c:v>
                </c:pt>
                <c:pt idx="31">
                  <c:v>0.9993311340784</c:v>
                </c:pt>
                <c:pt idx="32">
                  <c:v>1.00065520698266</c:v>
                </c:pt>
                <c:pt idx="33">
                  <c:v>1.00190263017248</c:v>
                </c:pt>
                <c:pt idx="34">
                  <c:v>1.00292184232591</c:v>
                </c:pt>
                <c:pt idx="35">
                  <c:v>1.00358820500142</c:v>
                </c:pt>
                <c:pt idx="36">
                  <c:v>1.00381983754335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"β = 10°"</c:f>
              <c:strCache>
                <c:ptCount val="1"/>
                <c:pt idx="0">
                  <c:v>β = 10°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2_Junta_cardan!$A$10:$A$46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2_Junta_cardan!$C$10:$C$46</c:f>
              <c:numCache>
                <c:formatCode>General</c:formatCode>
                <c:ptCount val="37"/>
                <c:pt idx="0">
                  <c:v>1.01542661188575</c:v>
                </c:pt>
                <c:pt idx="1">
                  <c:v>1.01447552635091</c:v>
                </c:pt>
                <c:pt idx="2">
                  <c:v>1.01174690862648</c:v>
                </c:pt>
                <c:pt idx="3">
                  <c:v>1.00759477815483</c:v>
                </c:pt>
                <c:pt idx="4">
                  <c:v>1.0025477465911</c:v>
                </c:pt>
                <c:pt idx="5">
                  <c:v>0.997232045864044</c:v>
                </c:pt>
                <c:pt idx="6">
                  <c:v>0.992288039397401</c:v>
                </c:pt>
                <c:pt idx="7">
                  <c:v>0.988293773124116</c:v>
                </c:pt>
                <c:pt idx="8">
                  <c:v>0.985703999442143</c:v>
                </c:pt>
                <c:pt idx="9">
                  <c:v>0.984807753012208</c:v>
                </c:pt>
                <c:pt idx="10">
                  <c:v>0.985703999442143</c:v>
                </c:pt>
                <c:pt idx="11">
                  <c:v>0.988293773124116</c:v>
                </c:pt>
                <c:pt idx="12">
                  <c:v>0.992288039397401</c:v>
                </c:pt>
                <c:pt idx="13">
                  <c:v>0.997232045864044</c:v>
                </c:pt>
                <c:pt idx="14">
                  <c:v>1.0025477465911</c:v>
                </c:pt>
                <c:pt idx="15">
                  <c:v>1.00759477815483</c:v>
                </c:pt>
                <c:pt idx="16">
                  <c:v>1.01174690862648</c:v>
                </c:pt>
                <c:pt idx="17">
                  <c:v>1.01447552635091</c:v>
                </c:pt>
                <c:pt idx="18">
                  <c:v>1.01542661188575</c:v>
                </c:pt>
                <c:pt idx="19">
                  <c:v>1.01447552635091</c:v>
                </c:pt>
                <c:pt idx="20">
                  <c:v>1.01174690862648</c:v>
                </c:pt>
                <c:pt idx="21">
                  <c:v>1.00759477815483</c:v>
                </c:pt>
                <c:pt idx="22">
                  <c:v>1.0025477465911</c:v>
                </c:pt>
                <c:pt idx="23">
                  <c:v>0.997232045864044</c:v>
                </c:pt>
                <c:pt idx="24">
                  <c:v>0.992288039397401</c:v>
                </c:pt>
                <c:pt idx="25">
                  <c:v>0.988293773124116</c:v>
                </c:pt>
                <c:pt idx="26">
                  <c:v>0.985703999442143</c:v>
                </c:pt>
                <c:pt idx="27">
                  <c:v>0.984807753012208</c:v>
                </c:pt>
                <c:pt idx="28">
                  <c:v>0.985703999442143</c:v>
                </c:pt>
                <c:pt idx="29">
                  <c:v>0.988293773124116</c:v>
                </c:pt>
                <c:pt idx="30">
                  <c:v>0.992288039397401</c:v>
                </c:pt>
                <c:pt idx="31">
                  <c:v>0.997232045864044</c:v>
                </c:pt>
                <c:pt idx="32">
                  <c:v>1.0025477465911</c:v>
                </c:pt>
                <c:pt idx="33">
                  <c:v>1.00759477815483</c:v>
                </c:pt>
                <c:pt idx="34">
                  <c:v>1.01174690862648</c:v>
                </c:pt>
                <c:pt idx="35">
                  <c:v>1.01447552635091</c:v>
                </c:pt>
                <c:pt idx="36">
                  <c:v>1.01542661188575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"β = 15°"</c:f>
              <c:strCache>
                <c:ptCount val="1"/>
                <c:pt idx="0">
                  <c:v>β = 15°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2_Junta_cardan!$A$10:$A$46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2_Junta_cardan!$D$10:$D$46</c:f>
              <c:numCache>
                <c:formatCode>General</c:formatCode>
                <c:ptCount val="37"/>
                <c:pt idx="0">
                  <c:v>1.03527618041008</c:v>
                </c:pt>
                <c:pt idx="1">
                  <c:v>1.03303971398493</c:v>
                </c:pt>
                <c:pt idx="2">
                  <c:v>1.02665369931984</c:v>
                </c:pt>
                <c:pt idx="3">
                  <c:v>1.01702146640303</c:v>
                </c:pt>
                <c:pt idx="4">
                  <c:v>1.00544981748283</c:v>
                </c:pt>
                <c:pt idx="5">
                  <c:v>0.993421281490235</c:v>
                </c:pt>
                <c:pt idx="6">
                  <c:v>0.982377530410059</c:v>
                </c:pt>
                <c:pt idx="7">
                  <c:v>0.973554624977269</c:v>
                </c:pt>
                <c:pt idx="8">
                  <c:v>0.967880862582232</c:v>
                </c:pt>
                <c:pt idx="9">
                  <c:v>0.965925826289068</c:v>
                </c:pt>
                <c:pt idx="10">
                  <c:v>0.967880862582232</c:v>
                </c:pt>
                <c:pt idx="11">
                  <c:v>0.973554624977269</c:v>
                </c:pt>
                <c:pt idx="12">
                  <c:v>0.982377530410059</c:v>
                </c:pt>
                <c:pt idx="13">
                  <c:v>0.993421281490235</c:v>
                </c:pt>
                <c:pt idx="14">
                  <c:v>1.00544981748283</c:v>
                </c:pt>
                <c:pt idx="15">
                  <c:v>1.01702146640303</c:v>
                </c:pt>
                <c:pt idx="16">
                  <c:v>1.02665369931984</c:v>
                </c:pt>
                <c:pt idx="17">
                  <c:v>1.03303971398493</c:v>
                </c:pt>
                <c:pt idx="18">
                  <c:v>1.03527618041008</c:v>
                </c:pt>
                <c:pt idx="19">
                  <c:v>1.03303971398493</c:v>
                </c:pt>
                <c:pt idx="20">
                  <c:v>1.02665369931984</c:v>
                </c:pt>
                <c:pt idx="21">
                  <c:v>1.01702146640303</c:v>
                </c:pt>
                <c:pt idx="22">
                  <c:v>1.00544981748283</c:v>
                </c:pt>
                <c:pt idx="23">
                  <c:v>0.993421281490235</c:v>
                </c:pt>
                <c:pt idx="24">
                  <c:v>0.982377530410059</c:v>
                </c:pt>
                <c:pt idx="25">
                  <c:v>0.97355462497727</c:v>
                </c:pt>
                <c:pt idx="26">
                  <c:v>0.967880862582232</c:v>
                </c:pt>
                <c:pt idx="27">
                  <c:v>0.965925826289068</c:v>
                </c:pt>
                <c:pt idx="28">
                  <c:v>0.967880862582232</c:v>
                </c:pt>
                <c:pt idx="29">
                  <c:v>0.973554624977269</c:v>
                </c:pt>
                <c:pt idx="30">
                  <c:v>0.982377530410059</c:v>
                </c:pt>
                <c:pt idx="31">
                  <c:v>0.993421281490235</c:v>
                </c:pt>
                <c:pt idx="32">
                  <c:v>1.00544981748283</c:v>
                </c:pt>
                <c:pt idx="33">
                  <c:v>1.01702146640303</c:v>
                </c:pt>
                <c:pt idx="34">
                  <c:v>1.02665369931984</c:v>
                </c:pt>
                <c:pt idx="35">
                  <c:v>1.03303971398493</c:v>
                </c:pt>
                <c:pt idx="36">
                  <c:v>1.03527618041008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"β = 20°"</c:f>
              <c:strCache>
                <c:ptCount val="1"/>
                <c:pt idx="0">
                  <c:v>β = 20°</c:v>
                </c:pt>
              </c:strCache>
            </c:strRef>
          </c:tx>
          <c:spPr>
            <a:solidFill>
              <a:srgbClr val="ed7d31"/>
            </a:solidFill>
            <a:ln w="219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2_Junta_cardan!$A$10:$A$46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2_Junta_cardan!$E$10:$E$46</c:f>
              <c:numCache>
                <c:formatCode>General</c:formatCode>
                <c:ptCount val="37"/>
                <c:pt idx="0">
                  <c:v>1.06417777247591</c:v>
                </c:pt>
                <c:pt idx="1">
                  <c:v>1.05994373198042</c:v>
                </c:pt>
                <c:pt idx="2">
                  <c:v>1.04793834045151</c:v>
                </c:pt>
                <c:pt idx="3">
                  <c:v>1.03006352816929</c:v>
                </c:pt>
                <c:pt idx="4">
                  <c:v>1.00895255022983</c:v>
                </c:pt>
                <c:pt idx="5">
                  <c:v>0.987416846992448</c:v>
                </c:pt>
                <c:pt idx="6">
                  <c:v>0.968001280619519</c:v>
                </c:pt>
                <c:pt idx="7">
                  <c:v>0.952729582464643</c:v>
                </c:pt>
                <c:pt idx="8">
                  <c:v>0.943018942461435</c:v>
                </c:pt>
                <c:pt idx="9">
                  <c:v>0.939692620785908</c:v>
                </c:pt>
                <c:pt idx="10">
                  <c:v>0.943018942461435</c:v>
                </c:pt>
                <c:pt idx="11">
                  <c:v>0.952729582464643</c:v>
                </c:pt>
                <c:pt idx="12">
                  <c:v>0.968001280619519</c:v>
                </c:pt>
                <c:pt idx="13">
                  <c:v>0.987416846992448</c:v>
                </c:pt>
                <c:pt idx="14">
                  <c:v>1.00895255022983</c:v>
                </c:pt>
                <c:pt idx="15">
                  <c:v>1.03006352816929</c:v>
                </c:pt>
                <c:pt idx="16">
                  <c:v>1.04793834045151</c:v>
                </c:pt>
                <c:pt idx="17">
                  <c:v>1.05994373198042</c:v>
                </c:pt>
                <c:pt idx="18">
                  <c:v>1.06417777247591</c:v>
                </c:pt>
                <c:pt idx="19">
                  <c:v>1.05994373198042</c:v>
                </c:pt>
                <c:pt idx="20">
                  <c:v>1.04793834045151</c:v>
                </c:pt>
                <c:pt idx="21">
                  <c:v>1.03006352816929</c:v>
                </c:pt>
                <c:pt idx="22">
                  <c:v>1.00895255022983</c:v>
                </c:pt>
                <c:pt idx="23">
                  <c:v>0.987416846992448</c:v>
                </c:pt>
                <c:pt idx="24">
                  <c:v>0.968001280619519</c:v>
                </c:pt>
                <c:pt idx="25">
                  <c:v>0.952729582464643</c:v>
                </c:pt>
                <c:pt idx="26">
                  <c:v>0.943018942461435</c:v>
                </c:pt>
                <c:pt idx="27">
                  <c:v>0.939692620785908</c:v>
                </c:pt>
                <c:pt idx="28">
                  <c:v>0.943018942461435</c:v>
                </c:pt>
                <c:pt idx="29">
                  <c:v>0.952729582464643</c:v>
                </c:pt>
                <c:pt idx="30">
                  <c:v>0.968001280619519</c:v>
                </c:pt>
                <c:pt idx="31">
                  <c:v>0.987416846992448</c:v>
                </c:pt>
                <c:pt idx="32">
                  <c:v>1.00895255022983</c:v>
                </c:pt>
                <c:pt idx="33">
                  <c:v>1.03006352816929</c:v>
                </c:pt>
                <c:pt idx="34">
                  <c:v>1.04793834045151</c:v>
                </c:pt>
                <c:pt idx="35">
                  <c:v>1.05994373198042</c:v>
                </c:pt>
                <c:pt idx="36">
                  <c:v>1.06417777247591</c:v>
                </c:pt>
              </c:numCache>
            </c:numRef>
          </c:yVal>
          <c:smooth val="1"/>
        </c:ser>
        <c:axId val="71081284"/>
        <c:axId val="39063000"/>
      </c:scatterChart>
      <c:valAx>
        <c:axId val="71081284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063000"/>
        <c:crosses val="autoZero"/>
        <c:crossBetween val="midCat"/>
      </c:valAx>
      <c:valAx>
        <c:axId val="39063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ω2/ω1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08128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Árbol con dos juntas: velocidad de salida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"En fase"</c:f>
              <c:strCache>
                <c:ptCount val="1"/>
                <c:pt idx="0">
                  <c:v>En fase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3_Doble_cardan!$A$4:$A$40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3_Doble_cardan!$E$4:$E$40</c:f>
              <c:numCache>
                <c:formatCode>0.0000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"Desfase 90°"</c:f>
              <c:strCache>
                <c:ptCount val="1"/>
                <c:pt idx="0">
                  <c:v>Desfase 90°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3_Doble_cardan!$A$4:$A$40</c:f>
              <c:numCache>
                <c:formatCode>General</c:formatCode>
                <c:ptCount val="3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</c:numCache>
            </c:numRef>
          </c:xVal>
          <c:yVal>
            <c:numRef>
              <c:f>3_Doble_cardan!$F$4:$F$40</c:f>
              <c:numCache>
                <c:formatCode>0.0000</c:formatCode>
                <c:ptCount val="37"/>
                <c:pt idx="0">
                  <c:v>1.03109120412576</c:v>
                </c:pt>
                <c:pt idx="1">
                  <c:v>1.02913155498173</c:v>
                </c:pt>
                <c:pt idx="2">
                  <c:v>1.02353034649802</c:v>
                </c:pt>
                <c:pt idx="3">
                  <c:v>1.01506608401623</c:v>
                </c:pt>
                <c:pt idx="4">
                  <c:v>1.00487240000523</c:v>
                </c:pt>
                <c:pt idx="5">
                  <c:v>0.994246999174017</c:v>
                </c:pt>
                <c:pt idx="6">
                  <c:v>0.984465158801612</c:v>
                </c:pt>
                <c:pt idx="7">
                  <c:v>0.976632206631547</c:v>
                </c:pt>
                <c:pt idx="8">
                  <c:v>0.971586492632268</c:v>
                </c:pt>
                <c:pt idx="9">
                  <c:v>0.969846310392954</c:v>
                </c:pt>
                <c:pt idx="10">
                  <c:v>0.971586492632268</c:v>
                </c:pt>
                <c:pt idx="11">
                  <c:v>0.976632206631547</c:v>
                </c:pt>
                <c:pt idx="12">
                  <c:v>0.984465158801612</c:v>
                </c:pt>
                <c:pt idx="13">
                  <c:v>0.994246999174017</c:v>
                </c:pt>
                <c:pt idx="14">
                  <c:v>1.00487240000523</c:v>
                </c:pt>
                <c:pt idx="15">
                  <c:v>1.01506608401623</c:v>
                </c:pt>
                <c:pt idx="16">
                  <c:v>1.02353034649802</c:v>
                </c:pt>
                <c:pt idx="17">
                  <c:v>1.02913155498173</c:v>
                </c:pt>
                <c:pt idx="18">
                  <c:v>1.03109120412576</c:v>
                </c:pt>
                <c:pt idx="19">
                  <c:v>1.02913155498173</c:v>
                </c:pt>
                <c:pt idx="20">
                  <c:v>1.02353034649802</c:v>
                </c:pt>
                <c:pt idx="21">
                  <c:v>1.01506608401623</c:v>
                </c:pt>
                <c:pt idx="22">
                  <c:v>1.00487240000523</c:v>
                </c:pt>
                <c:pt idx="23">
                  <c:v>0.994246999174017</c:v>
                </c:pt>
                <c:pt idx="24">
                  <c:v>0.984465158801612</c:v>
                </c:pt>
                <c:pt idx="25">
                  <c:v>0.976632206631547</c:v>
                </c:pt>
                <c:pt idx="26">
                  <c:v>0.971586492632268</c:v>
                </c:pt>
                <c:pt idx="27">
                  <c:v>0.969846310392954</c:v>
                </c:pt>
                <c:pt idx="28">
                  <c:v>0.971586492632267</c:v>
                </c:pt>
                <c:pt idx="29">
                  <c:v>0.976632206631547</c:v>
                </c:pt>
                <c:pt idx="30">
                  <c:v>0.984465158801612</c:v>
                </c:pt>
                <c:pt idx="31">
                  <c:v>0.994246999174017</c:v>
                </c:pt>
                <c:pt idx="32">
                  <c:v>1.00487240000523</c:v>
                </c:pt>
                <c:pt idx="33">
                  <c:v>1.01506608401623</c:v>
                </c:pt>
                <c:pt idx="34">
                  <c:v>1.02353034649802</c:v>
                </c:pt>
                <c:pt idx="35">
                  <c:v>1.02913155498173</c:v>
                </c:pt>
                <c:pt idx="36">
                  <c:v>1.03109120412576</c:v>
                </c:pt>
              </c:numCache>
            </c:numRef>
          </c:yVal>
          <c:smooth val="1"/>
        </c:ser>
        <c:axId val="81982368"/>
        <c:axId val="85351288"/>
      </c:scatterChart>
      <c:valAx>
        <c:axId val="81982368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θ (°)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51288"/>
        <c:crosses val="autoZero"/>
        <c:crossBetween val="midCat"/>
      </c:valAx>
      <c:valAx>
        <c:axId val="853512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ω3/ω1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8236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Velocidad crítica según la longitud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"nc"</c:f>
              <c:strCache>
                <c:ptCount val="1"/>
                <c:pt idx="0">
                  <c:v>nc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4_Velocidad_critica!$A$15:$A$22</c:f>
              <c:numCache>
                <c:formatCode>General</c:formatCode>
                <c:ptCount val="8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  <c:pt idx="4">
                  <c:v>1.4</c:v>
                </c:pt>
                <c:pt idx="5">
                  <c:v>1.6</c:v>
                </c:pt>
                <c:pt idx="6">
                  <c:v>1.8</c:v>
                </c:pt>
                <c:pt idx="7">
                  <c:v>2</c:v>
                </c:pt>
              </c:numCache>
            </c:numRef>
          </c:xVal>
          <c:yVal>
            <c:numRef>
              <c:f>4_Velocidad_critica!$B$15:$B$22</c:f>
              <c:numCache>
                <c:formatCode>General</c:formatCode>
                <c:ptCount val="8"/>
                <c:pt idx="0">
                  <c:v>29620.5175004302</c:v>
                </c:pt>
                <c:pt idx="1">
                  <c:v>16661.541093992</c:v>
                </c:pt>
                <c:pt idx="2">
                  <c:v>10663.3863001549</c:v>
                </c:pt>
                <c:pt idx="3">
                  <c:v>7405.12937510755</c:v>
                </c:pt>
                <c:pt idx="4">
                  <c:v>5440.50321436473</c:v>
                </c:pt>
                <c:pt idx="5">
                  <c:v>4165.38527349799</c:v>
                </c:pt>
                <c:pt idx="6">
                  <c:v>3291.16861115891</c:v>
                </c:pt>
                <c:pt idx="7">
                  <c:v>2665.84657503872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"nmáx"</c:f>
              <c:strCache>
                <c:ptCount val="1"/>
                <c:pt idx="0">
                  <c:v>nmáx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4_Velocidad_critica!$A$15:$A$22</c:f>
              <c:numCache>
                <c:formatCode>General</c:formatCode>
                <c:ptCount val="8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  <c:pt idx="4">
                  <c:v>1.4</c:v>
                </c:pt>
                <c:pt idx="5">
                  <c:v>1.6</c:v>
                </c:pt>
                <c:pt idx="6">
                  <c:v>1.8</c:v>
                </c:pt>
                <c:pt idx="7">
                  <c:v>2</c:v>
                </c:pt>
              </c:numCache>
            </c:numRef>
          </c:xVal>
          <c:yVal>
            <c:numRef>
              <c:f>4_Velocidad_critica!$C$15:$C$22</c:f>
              <c:numCache>
                <c:formatCode>0.0000</c:formatCode>
                <c:ptCount val="8"/>
                <c:pt idx="0">
                  <c:v>7718.79824248902</c:v>
                </c:pt>
                <c:pt idx="1">
                  <c:v>7718.79824248902</c:v>
                </c:pt>
                <c:pt idx="2">
                  <c:v>7718.79824248902</c:v>
                </c:pt>
                <c:pt idx="3">
                  <c:v>7718.79824248902</c:v>
                </c:pt>
                <c:pt idx="4">
                  <c:v>7718.79824248902</c:v>
                </c:pt>
                <c:pt idx="5">
                  <c:v>7718.79824248902</c:v>
                </c:pt>
                <c:pt idx="6">
                  <c:v>7718.79824248902</c:v>
                </c:pt>
                <c:pt idx="7">
                  <c:v>7718.79824248902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"1,3·nmáx"</c:f>
              <c:strCache>
                <c:ptCount val="1"/>
                <c:pt idx="0">
                  <c:v>1,3·nmáx</c:v>
                </c:pt>
              </c:strCache>
            </c:strRef>
          </c:tx>
          <c:spPr>
            <a:solidFill>
              <a:srgbClr val="2e7d32"/>
            </a:solidFill>
            <a:ln w="21960">
              <a:solidFill>
                <a:srgbClr val="2e7d32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4_Velocidad_critica!$A$15:$A$22</c:f>
              <c:numCache>
                <c:formatCode>General</c:formatCode>
                <c:ptCount val="8"/>
                <c:pt idx="0">
                  <c:v>0.6</c:v>
                </c:pt>
                <c:pt idx="1">
                  <c:v>0.8</c:v>
                </c:pt>
                <c:pt idx="2">
                  <c:v>1</c:v>
                </c:pt>
                <c:pt idx="3">
                  <c:v>1.2</c:v>
                </c:pt>
                <c:pt idx="4">
                  <c:v>1.4</c:v>
                </c:pt>
                <c:pt idx="5">
                  <c:v>1.6</c:v>
                </c:pt>
                <c:pt idx="6">
                  <c:v>1.8</c:v>
                </c:pt>
                <c:pt idx="7">
                  <c:v>2</c:v>
                </c:pt>
              </c:numCache>
            </c:numRef>
          </c:xVal>
          <c:yVal>
            <c:numRef>
              <c:f>4_Velocidad_critica!$D$15:$D$22</c:f>
              <c:numCache>
                <c:formatCode>General</c:formatCode>
                <c:ptCount val="8"/>
                <c:pt idx="0">
                  <c:v>10034.4377152357</c:v>
                </c:pt>
                <c:pt idx="1">
                  <c:v>10034.4377152357</c:v>
                </c:pt>
                <c:pt idx="2">
                  <c:v>10034.4377152357</c:v>
                </c:pt>
                <c:pt idx="3">
                  <c:v>10034.4377152357</c:v>
                </c:pt>
                <c:pt idx="4">
                  <c:v>10034.4377152357</c:v>
                </c:pt>
                <c:pt idx="5">
                  <c:v>10034.4377152357</c:v>
                </c:pt>
                <c:pt idx="6">
                  <c:v>10034.4377152357</c:v>
                </c:pt>
                <c:pt idx="7">
                  <c:v>10034.4377152357</c:v>
                </c:pt>
              </c:numCache>
            </c:numRef>
          </c:yVal>
          <c:smooth val="1"/>
        </c:ser>
        <c:axId val="36204127"/>
        <c:axId val="82067451"/>
      </c:scatterChart>
      <c:valAx>
        <c:axId val="362041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L (m)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67451"/>
        <c:crosses val="autoZero"/>
        <c:crossBetween val="midCat"/>
      </c:valAx>
      <c:valAx>
        <c:axId val="82067451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min⁻¹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20412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22</xdr:row>
      <xdr:rowOff>169920</xdr:rowOff>
    </xdr:to>
    <xdr:graphicFrame>
      <xdr:nvGraphicFramePr>
        <xdr:cNvPr id="0" name="Chart 1"/>
        <xdr:cNvGraphicFramePr/>
      </xdr:nvGraphicFramePr>
      <xdr:xfrm>
        <a:off x="428040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19</xdr:col>
      <xdr:colOff>581400</xdr:colOff>
      <xdr:row>22</xdr:row>
      <xdr:rowOff>169920</xdr:rowOff>
    </xdr:to>
    <xdr:graphicFrame>
      <xdr:nvGraphicFramePr>
        <xdr:cNvPr id="1" name="Chart 1"/>
        <xdr:cNvGraphicFramePr/>
      </xdr:nvGraphicFramePr>
      <xdr:xfrm>
        <a:off x="428040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18</xdr:col>
      <xdr:colOff>581760</xdr:colOff>
      <xdr:row>23</xdr:row>
      <xdr:rowOff>149400</xdr:rowOff>
    </xdr:to>
    <xdr:graphicFrame>
      <xdr:nvGraphicFramePr>
        <xdr:cNvPr id="2" name="Chart 1"/>
        <xdr:cNvGraphicFramePr/>
      </xdr:nvGraphicFramePr>
      <xdr:xfrm>
        <a:off x="3669120" y="3808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12</v>
      </c>
    </row>
    <row r="17" customFormat="false" ht="28.3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55"/>
  </cols>
  <sheetData>
    <row r="1" customFormat="false" ht="15" hidden="false" customHeight="false" outlineLevel="0" collapsed="false">
      <c r="A1" s="4" t="s">
        <v>14</v>
      </c>
    </row>
    <row r="3" customFormat="false" ht="15" hidden="false" customHeight="false" outlineLevel="0" collapsed="false">
      <c r="A3" s="5" t="s">
        <v>15</v>
      </c>
      <c r="B3" s="5" t="s">
        <v>16</v>
      </c>
      <c r="C3" s="5" t="s">
        <v>17</v>
      </c>
      <c r="D3" s="5" t="s">
        <v>18</v>
      </c>
      <c r="E3" s="5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6" t="n">
        <v>10</v>
      </c>
      <c r="D4" s="7" t="s">
        <v>22</v>
      </c>
      <c r="E4" s="7" t="s">
        <v>23</v>
      </c>
    </row>
    <row r="5" customFormat="false" ht="15" hidden="false" customHeight="false" outlineLevel="0" collapsed="false">
      <c r="A5" s="0" t="s">
        <v>24</v>
      </c>
      <c r="B5" s="0" t="s">
        <v>25</v>
      </c>
      <c r="C5" s="6" t="n">
        <v>10</v>
      </c>
      <c r="D5" s="7" t="s">
        <v>22</v>
      </c>
    </row>
    <row r="6" customFormat="false" ht="15" hidden="false" customHeight="false" outlineLevel="0" collapsed="false">
      <c r="A6" s="0" t="s">
        <v>26</v>
      </c>
      <c r="B6" s="0" t="s">
        <v>27</v>
      </c>
      <c r="C6" s="6" t="n">
        <v>63.5</v>
      </c>
      <c r="D6" s="7" t="s">
        <v>28</v>
      </c>
    </row>
    <row r="7" customFormat="false" ht="15" hidden="false" customHeight="false" outlineLevel="0" collapsed="false">
      <c r="A7" s="0" t="s">
        <v>29</v>
      </c>
      <c r="B7" s="0" t="s">
        <v>30</v>
      </c>
      <c r="C7" s="6" t="n">
        <v>1.65</v>
      </c>
      <c r="D7" s="7" t="s">
        <v>28</v>
      </c>
    </row>
    <row r="8" customFormat="false" ht="15" hidden="false" customHeight="false" outlineLevel="0" collapsed="false">
      <c r="A8" s="0" t="s">
        <v>31</v>
      </c>
      <c r="B8" s="0" t="s">
        <v>32</v>
      </c>
      <c r="C8" s="6" t="n">
        <v>1.4</v>
      </c>
      <c r="D8" s="7" t="s">
        <v>33</v>
      </c>
    </row>
    <row r="9" customFormat="false" ht="15" hidden="false" customHeight="false" outlineLevel="0" collapsed="false">
      <c r="A9" s="0" t="s">
        <v>34</v>
      </c>
      <c r="B9" s="0" t="s">
        <v>35</v>
      </c>
      <c r="C9" s="6" t="n">
        <v>210000000000</v>
      </c>
      <c r="D9" s="7" t="s">
        <v>36</v>
      </c>
    </row>
    <row r="10" customFormat="false" ht="15" hidden="false" customHeight="false" outlineLevel="0" collapsed="false">
      <c r="A10" s="0" t="s">
        <v>37</v>
      </c>
      <c r="B10" s="0" t="s">
        <v>38</v>
      </c>
      <c r="C10" s="6" t="n">
        <v>7850</v>
      </c>
      <c r="D10" s="7" t="s">
        <v>39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6" t="n">
        <v>6500</v>
      </c>
      <c r="D11" s="7" t="s">
        <v>42</v>
      </c>
    </row>
    <row r="12" customFormat="false" ht="15" hidden="false" customHeight="false" outlineLevel="0" collapsed="false">
      <c r="A12" s="0" t="s">
        <v>43</v>
      </c>
      <c r="B12" s="0" t="s">
        <v>44</v>
      </c>
      <c r="C12" s="6" t="n">
        <v>0.8421</v>
      </c>
      <c r="D12" s="7" t="s">
        <v>45</v>
      </c>
      <c r="E12" s="7" t="s">
        <v>46</v>
      </c>
    </row>
    <row r="13" customFormat="false" ht="15" hidden="false" customHeight="false" outlineLevel="0" collapsed="false">
      <c r="A13" s="0" t="s">
        <v>47</v>
      </c>
      <c r="B13" s="0" t="s">
        <v>48</v>
      </c>
      <c r="C13" s="6" t="n">
        <v>120</v>
      </c>
      <c r="D13" s="7" t="s">
        <v>49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6" t="n">
        <v>7.521</v>
      </c>
      <c r="D14" s="7" t="s">
        <v>45</v>
      </c>
      <c r="E14" s="7" t="s">
        <v>52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6" t="n">
        <v>0.95</v>
      </c>
      <c r="D15" s="7" t="s">
        <v>45</v>
      </c>
    </row>
    <row r="16" customFormat="false" ht="15" hidden="false" customHeight="false" outlineLevel="0" collapsed="false">
      <c r="A16" s="0" t="s">
        <v>55</v>
      </c>
      <c r="B16" s="0" t="s">
        <v>56</v>
      </c>
      <c r="C16" s="6" t="n">
        <v>24</v>
      </c>
      <c r="D16" s="7" t="s">
        <v>28</v>
      </c>
      <c r="E16" s="7" t="s">
        <v>57</v>
      </c>
    </row>
    <row r="17" customFormat="false" ht="15" hidden="false" customHeight="false" outlineLevel="0" collapsed="false">
      <c r="A17" s="0" t="s">
        <v>58</v>
      </c>
      <c r="B17" s="0" t="s">
        <v>59</v>
      </c>
      <c r="C17" s="6" t="n">
        <v>250</v>
      </c>
      <c r="D17" s="7" t="s">
        <v>60</v>
      </c>
      <c r="E17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62</v>
      </c>
    </row>
    <row r="3" customFormat="false" ht="15" hidden="false" customHeight="false" outlineLevel="0" collapsed="false">
      <c r="A3" s="8" t="s">
        <v>63</v>
      </c>
    </row>
    <row r="4" customFormat="false" ht="15" hidden="false" customHeight="false" outlineLevel="0" collapsed="false">
      <c r="A4" s="0" t="s">
        <v>64</v>
      </c>
      <c r="B4" s="0" t="s">
        <v>45</v>
      </c>
      <c r="C4" s="9" t="n">
        <f aca="false">1/COS(RADIANS(b1))</f>
        <v>1.01542661188575</v>
      </c>
      <c r="D4" s="7" t="s">
        <v>45</v>
      </c>
      <c r="E4" s="7" t="s">
        <v>65</v>
      </c>
    </row>
    <row r="5" customFormat="false" ht="15" hidden="false" customHeight="false" outlineLevel="0" collapsed="false">
      <c r="A5" s="0" t="s">
        <v>66</v>
      </c>
      <c r="B5" s="0" t="s">
        <v>45</v>
      </c>
      <c r="C5" s="9" t="n">
        <f aca="false">COS(RADIANS(b1))</f>
        <v>0.984807753012208</v>
      </c>
      <c r="D5" s="7" t="s">
        <v>45</v>
      </c>
      <c r="E5" s="7" t="s">
        <v>65</v>
      </c>
    </row>
    <row r="6" customFormat="false" ht="15" hidden="false" customHeight="false" outlineLevel="0" collapsed="false">
      <c r="A6" s="0" t="s">
        <v>67</v>
      </c>
      <c r="B6" s="0" t="s">
        <v>68</v>
      </c>
      <c r="C6" s="9" t="n">
        <f aca="false">rmax-rmin</f>
        <v>0.0306188588735371</v>
      </c>
      <c r="D6" s="7" t="s">
        <v>45</v>
      </c>
      <c r="E6" s="7" t="s">
        <v>69</v>
      </c>
    </row>
    <row r="7" customFormat="false" ht="15" hidden="false" customHeight="false" outlineLevel="0" collapsed="false">
      <c r="A7" s="0" t="s">
        <v>70</v>
      </c>
      <c r="B7" s="0" t="s">
        <v>71</v>
      </c>
      <c r="C7" s="9" t="n">
        <f aca="false">dlt*100</f>
        <v>3.06188588735371</v>
      </c>
      <c r="D7" s="7" t="s">
        <v>72</v>
      </c>
    </row>
    <row r="9" customFormat="false" ht="41.75" hidden="false" customHeight="false" outlineLevel="0" collapsed="false">
      <c r="A9" s="5" t="s">
        <v>73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</row>
    <row r="10" customFormat="false" ht="15" hidden="false" customHeight="false" outlineLevel="0" collapsed="false">
      <c r="A10" s="0" t="n">
        <v>0</v>
      </c>
      <c r="B10" s="10" t="n">
        <f aca="false">COS(RADIANS(5))/(1-SIN(RADIANS(5))^2*COS(RADIANS(A10))^2)</f>
        <v>1.00381983754335</v>
      </c>
      <c r="C10" s="10" t="n">
        <f aca="false">COS(RADIANS(10))/(1-SIN(RADIANS(10))^2*COS(RADIANS(A10))^2)</f>
        <v>1.01542661188575</v>
      </c>
      <c r="D10" s="10" t="n">
        <f aca="false">COS(RADIANS(15))/(1-SIN(RADIANS(15))^2*COS(RADIANS(A10))^2)</f>
        <v>1.03527618041008</v>
      </c>
      <c r="E10" s="10" t="n">
        <f aca="false">COS(RADIANS(20))/(1-SIN(RADIANS(20))^2*COS(RADIANS(A10))^2)</f>
        <v>1.06417777247591</v>
      </c>
      <c r="F10" s="10" t="n">
        <f aca="false">COS(RADIANS(b1))/(1-SIN(RADIANS(b1))^2*COS(RADIANS(A10))^2)</f>
        <v>1.01542661188575</v>
      </c>
    </row>
    <row r="11" customFormat="false" ht="15" hidden="false" customHeight="false" outlineLevel="0" collapsed="false">
      <c r="A11" s="0" t="n">
        <v>10</v>
      </c>
      <c r="B11" s="10" t="n">
        <f aca="false">COS(RADIANS(5))/(1-SIN(RADIANS(5))^2*COS(RADIANS(A11))^2)</f>
        <v>1.00358820500142</v>
      </c>
      <c r="C11" s="10" t="n">
        <f aca="false">COS(RADIANS(10))/(1-SIN(RADIANS(10))^2*COS(RADIANS(A11))^2)</f>
        <v>1.01447552635091</v>
      </c>
      <c r="D11" s="10" t="n">
        <f aca="false">COS(RADIANS(15))/(1-SIN(RADIANS(15))^2*COS(RADIANS(A11))^2)</f>
        <v>1.03303971398493</v>
      </c>
      <c r="E11" s="10" t="n">
        <f aca="false">COS(RADIANS(20))/(1-SIN(RADIANS(20))^2*COS(RADIANS(A11))^2)</f>
        <v>1.05994373198042</v>
      </c>
      <c r="F11" s="10" t="n">
        <f aca="false">COS(RADIANS(b1))/(1-SIN(RADIANS(b1))^2*COS(RADIANS(A11))^2)</f>
        <v>1.01447552635091</v>
      </c>
    </row>
    <row r="12" customFormat="false" ht="15" hidden="false" customHeight="false" outlineLevel="0" collapsed="false">
      <c r="A12" s="0" t="n">
        <v>20</v>
      </c>
      <c r="B12" s="10" t="n">
        <f aca="false">COS(RADIANS(5))/(1-SIN(RADIANS(5))^2*COS(RADIANS(A12))^2)</f>
        <v>1.00292184232591</v>
      </c>
      <c r="C12" s="10" t="n">
        <f aca="false">COS(RADIANS(10))/(1-SIN(RADIANS(10))^2*COS(RADIANS(A12))^2)</f>
        <v>1.01174690862648</v>
      </c>
      <c r="D12" s="10" t="n">
        <f aca="false">COS(RADIANS(15))/(1-SIN(RADIANS(15))^2*COS(RADIANS(A12))^2)</f>
        <v>1.02665369931984</v>
      </c>
      <c r="E12" s="10" t="n">
        <f aca="false">COS(RADIANS(20))/(1-SIN(RADIANS(20))^2*COS(RADIANS(A12))^2)</f>
        <v>1.04793834045151</v>
      </c>
      <c r="F12" s="10" t="n">
        <f aca="false">COS(RADIANS(b1))/(1-SIN(RADIANS(b1))^2*COS(RADIANS(A12))^2)</f>
        <v>1.01174690862648</v>
      </c>
    </row>
    <row r="13" customFormat="false" ht="15" hidden="false" customHeight="false" outlineLevel="0" collapsed="false">
      <c r="A13" s="0" t="n">
        <v>30</v>
      </c>
      <c r="B13" s="10" t="n">
        <f aca="false">COS(RADIANS(5))/(1-SIN(RADIANS(5))^2*COS(RADIANS(A13))^2)</f>
        <v>1.00190263017248</v>
      </c>
      <c r="C13" s="10" t="n">
        <f aca="false">COS(RADIANS(10))/(1-SIN(RADIANS(10))^2*COS(RADIANS(A13))^2)</f>
        <v>1.00759477815483</v>
      </c>
      <c r="D13" s="10" t="n">
        <f aca="false">COS(RADIANS(15))/(1-SIN(RADIANS(15))^2*COS(RADIANS(A13))^2)</f>
        <v>1.01702146640303</v>
      </c>
      <c r="E13" s="10" t="n">
        <f aca="false">COS(RADIANS(20))/(1-SIN(RADIANS(20))^2*COS(RADIANS(A13))^2)</f>
        <v>1.03006352816929</v>
      </c>
      <c r="F13" s="10" t="n">
        <f aca="false">COS(RADIANS(b1))/(1-SIN(RADIANS(b1))^2*COS(RADIANS(A13))^2)</f>
        <v>1.00759477815483</v>
      </c>
    </row>
    <row r="14" customFormat="false" ht="15" hidden="false" customHeight="false" outlineLevel="0" collapsed="false">
      <c r="A14" s="0" t="n">
        <v>40</v>
      </c>
      <c r="B14" s="10" t="n">
        <f aca="false">COS(RADIANS(5))/(1-SIN(RADIANS(5))^2*COS(RADIANS(A14))^2)</f>
        <v>1.00065520698266</v>
      </c>
      <c r="C14" s="10" t="n">
        <f aca="false">COS(RADIANS(10))/(1-SIN(RADIANS(10))^2*COS(RADIANS(A14))^2)</f>
        <v>1.0025477465911</v>
      </c>
      <c r="D14" s="10" t="n">
        <f aca="false">COS(RADIANS(15))/(1-SIN(RADIANS(15))^2*COS(RADIANS(A14))^2)</f>
        <v>1.00544981748283</v>
      </c>
      <c r="E14" s="10" t="n">
        <f aca="false">COS(RADIANS(20))/(1-SIN(RADIANS(20))^2*COS(RADIANS(A14))^2)</f>
        <v>1.00895255022983</v>
      </c>
      <c r="F14" s="10" t="n">
        <f aca="false">COS(RADIANS(b1))/(1-SIN(RADIANS(b1))^2*COS(RADIANS(A14))^2)</f>
        <v>1.0025477465911</v>
      </c>
    </row>
    <row r="15" customFormat="false" ht="15" hidden="false" customHeight="false" outlineLevel="0" collapsed="false">
      <c r="A15" s="0" t="n">
        <v>50</v>
      </c>
      <c r="B15" s="10" t="n">
        <f aca="false">COS(RADIANS(5))/(1-SIN(RADIANS(5))^2*COS(RADIANS(A15))^2)</f>
        <v>0.9993311340784</v>
      </c>
      <c r="C15" s="10" t="n">
        <f aca="false">COS(RADIANS(10))/(1-SIN(RADIANS(10))^2*COS(RADIANS(A15))^2)</f>
        <v>0.997232045864044</v>
      </c>
      <c r="D15" s="10" t="n">
        <f aca="false">COS(RADIANS(15))/(1-SIN(RADIANS(15))^2*COS(RADIANS(A15))^2)</f>
        <v>0.993421281490235</v>
      </c>
      <c r="E15" s="10" t="n">
        <f aca="false">COS(RADIANS(20))/(1-SIN(RADIANS(20))^2*COS(RADIANS(A15))^2)</f>
        <v>0.987416846992448</v>
      </c>
      <c r="F15" s="10" t="n">
        <f aca="false">COS(RADIANS(b1))/(1-SIN(RADIANS(b1))^2*COS(RADIANS(A15))^2)</f>
        <v>0.997232045864044</v>
      </c>
    </row>
    <row r="16" customFormat="false" ht="15" hidden="false" customHeight="false" outlineLevel="0" collapsed="false">
      <c r="A16" s="0" t="n">
        <v>60</v>
      </c>
      <c r="B16" s="10" t="n">
        <f aca="false">COS(RADIANS(5))/(1-SIN(RADIANS(5))^2*COS(RADIANS(A16))^2)</f>
        <v>0.998090102009971</v>
      </c>
      <c r="C16" s="10" t="n">
        <f aca="false">COS(RADIANS(10))/(1-SIN(RADIANS(10))^2*COS(RADIANS(A16))^2)</f>
        <v>0.992288039397401</v>
      </c>
      <c r="D16" s="10" t="n">
        <f aca="false">COS(RADIANS(15))/(1-SIN(RADIANS(15))^2*COS(RADIANS(A16))^2)</f>
        <v>0.982377530410059</v>
      </c>
      <c r="E16" s="10" t="n">
        <f aca="false">COS(RADIANS(20))/(1-SIN(RADIANS(20))^2*COS(RADIANS(A16))^2)</f>
        <v>0.968001280619519</v>
      </c>
      <c r="F16" s="10" t="n">
        <f aca="false">COS(RADIANS(b1))/(1-SIN(RADIANS(b1))^2*COS(RADIANS(A16))^2)</f>
        <v>0.992288039397401</v>
      </c>
    </row>
    <row r="17" customFormat="false" ht="15" hidden="false" customHeight="false" outlineLevel="0" collapsed="false">
      <c r="A17" s="0" t="n">
        <v>70</v>
      </c>
      <c r="B17" s="10" t="n">
        <f aca="false">COS(RADIANS(5))/(1-SIN(RADIANS(5))^2*COS(RADIANS(A17))^2)</f>
        <v>0.997080681701825</v>
      </c>
      <c r="C17" s="10" t="n">
        <f aca="false">COS(RADIANS(10))/(1-SIN(RADIANS(10))^2*COS(RADIANS(A17))^2)</f>
        <v>0.988293773124116</v>
      </c>
      <c r="D17" s="10" t="n">
        <f aca="false">COS(RADIANS(15))/(1-SIN(RADIANS(15))^2*COS(RADIANS(A17))^2)</f>
        <v>0.973554624977269</v>
      </c>
      <c r="E17" s="10" t="n">
        <f aca="false">COS(RADIANS(20))/(1-SIN(RADIANS(20))^2*COS(RADIANS(A17))^2)</f>
        <v>0.952729582464643</v>
      </c>
      <c r="F17" s="10" t="n">
        <f aca="false">COS(RADIANS(b1))/(1-SIN(RADIANS(b1))^2*COS(RADIANS(A17))^2)</f>
        <v>0.988293773124116</v>
      </c>
    </row>
    <row r="18" customFormat="false" ht="15" hidden="false" customHeight="false" outlineLevel="0" collapsed="false">
      <c r="A18" s="0" t="n">
        <v>80</v>
      </c>
      <c r="B18" s="10" t="n">
        <f aca="false">COS(RADIANS(5))/(1-SIN(RADIANS(5))^2*COS(RADIANS(A18))^2)</f>
        <v>0.996422929909779</v>
      </c>
      <c r="C18" s="10" t="n">
        <f aca="false">COS(RADIANS(10))/(1-SIN(RADIANS(10))^2*COS(RADIANS(A18))^2)</f>
        <v>0.985703999442143</v>
      </c>
      <c r="D18" s="10" t="n">
        <f aca="false">COS(RADIANS(15))/(1-SIN(RADIANS(15))^2*COS(RADIANS(A18))^2)</f>
        <v>0.967880862582232</v>
      </c>
      <c r="E18" s="10" t="n">
        <f aca="false">COS(RADIANS(20))/(1-SIN(RADIANS(20))^2*COS(RADIANS(A18))^2)</f>
        <v>0.943018942461435</v>
      </c>
      <c r="F18" s="10" t="n">
        <f aca="false">COS(RADIANS(b1))/(1-SIN(RADIANS(b1))^2*COS(RADIANS(A18))^2)</f>
        <v>0.985703999442143</v>
      </c>
    </row>
    <row r="19" customFormat="false" ht="15" hidden="false" customHeight="false" outlineLevel="0" collapsed="false">
      <c r="A19" s="0" t="n">
        <v>90</v>
      </c>
      <c r="B19" s="10" t="n">
        <f aca="false">COS(RADIANS(5))/(1-SIN(RADIANS(5))^2*COS(RADIANS(A19))^2)</f>
        <v>0.996194698091746</v>
      </c>
      <c r="C19" s="10" t="n">
        <f aca="false">COS(RADIANS(10))/(1-SIN(RADIANS(10))^2*COS(RADIANS(A19))^2)</f>
        <v>0.984807753012208</v>
      </c>
      <c r="D19" s="10" t="n">
        <f aca="false">COS(RADIANS(15))/(1-SIN(RADIANS(15))^2*COS(RADIANS(A19))^2)</f>
        <v>0.965925826289068</v>
      </c>
      <c r="E19" s="10" t="n">
        <f aca="false">COS(RADIANS(20))/(1-SIN(RADIANS(20))^2*COS(RADIANS(A19))^2)</f>
        <v>0.939692620785908</v>
      </c>
      <c r="F19" s="10" t="n">
        <f aca="false">COS(RADIANS(b1))/(1-SIN(RADIANS(b1))^2*COS(RADIANS(A19))^2)</f>
        <v>0.984807753012208</v>
      </c>
    </row>
    <row r="20" customFormat="false" ht="15" hidden="false" customHeight="false" outlineLevel="0" collapsed="false">
      <c r="A20" s="0" t="n">
        <v>100</v>
      </c>
      <c r="B20" s="10" t="n">
        <f aca="false">COS(RADIANS(5))/(1-SIN(RADIANS(5))^2*COS(RADIANS(A20))^2)</f>
        <v>0.996422929909779</v>
      </c>
      <c r="C20" s="10" t="n">
        <f aca="false">COS(RADIANS(10))/(1-SIN(RADIANS(10))^2*COS(RADIANS(A20))^2)</f>
        <v>0.985703999442143</v>
      </c>
      <c r="D20" s="10" t="n">
        <f aca="false">COS(RADIANS(15))/(1-SIN(RADIANS(15))^2*COS(RADIANS(A20))^2)</f>
        <v>0.967880862582232</v>
      </c>
      <c r="E20" s="10" t="n">
        <f aca="false">COS(RADIANS(20))/(1-SIN(RADIANS(20))^2*COS(RADIANS(A20))^2)</f>
        <v>0.943018942461435</v>
      </c>
      <c r="F20" s="10" t="n">
        <f aca="false">COS(RADIANS(b1))/(1-SIN(RADIANS(b1))^2*COS(RADIANS(A20))^2)</f>
        <v>0.985703999442143</v>
      </c>
    </row>
    <row r="21" customFormat="false" ht="15" hidden="false" customHeight="false" outlineLevel="0" collapsed="false">
      <c r="A21" s="0" t="n">
        <v>110</v>
      </c>
      <c r="B21" s="10" t="n">
        <f aca="false">COS(RADIANS(5))/(1-SIN(RADIANS(5))^2*COS(RADIANS(A21))^2)</f>
        <v>0.997080681701825</v>
      </c>
      <c r="C21" s="10" t="n">
        <f aca="false">COS(RADIANS(10))/(1-SIN(RADIANS(10))^2*COS(RADIANS(A21))^2)</f>
        <v>0.988293773124116</v>
      </c>
      <c r="D21" s="10" t="n">
        <f aca="false">COS(RADIANS(15))/(1-SIN(RADIANS(15))^2*COS(RADIANS(A21))^2)</f>
        <v>0.973554624977269</v>
      </c>
      <c r="E21" s="10" t="n">
        <f aca="false">COS(RADIANS(20))/(1-SIN(RADIANS(20))^2*COS(RADIANS(A21))^2)</f>
        <v>0.952729582464643</v>
      </c>
      <c r="F21" s="10" t="n">
        <f aca="false">COS(RADIANS(b1))/(1-SIN(RADIANS(b1))^2*COS(RADIANS(A21))^2)</f>
        <v>0.988293773124116</v>
      </c>
    </row>
    <row r="22" customFormat="false" ht="15" hidden="false" customHeight="false" outlineLevel="0" collapsed="false">
      <c r="A22" s="0" t="n">
        <v>120</v>
      </c>
      <c r="B22" s="10" t="n">
        <f aca="false">COS(RADIANS(5))/(1-SIN(RADIANS(5))^2*COS(RADIANS(A22))^2)</f>
        <v>0.998090102009971</v>
      </c>
      <c r="C22" s="10" t="n">
        <f aca="false">COS(RADIANS(10))/(1-SIN(RADIANS(10))^2*COS(RADIANS(A22))^2)</f>
        <v>0.992288039397401</v>
      </c>
      <c r="D22" s="10" t="n">
        <f aca="false">COS(RADIANS(15))/(1-SIN(RADIANS(15))^2*COS(RADIANS(A22))^2)</f>
        <v>0.982377530410059</v>
      </c>
      <c r="E22" s="10" t="n">
        <f aca="false">COS(RADIANS(20))/(1-SIN(RADIANS(20))^2*COS(RADIANS(A22))^2)</f>
        <v>0.968001280619519</v>
      </c>
      <c r="F22" s="10" t="n">
        <f aca="false">COS(RADIANS(b1))/(1-SIN(RADIANS(b1))^2*COS(RADIANS(A22))^2)</f>
        <v>0.992288039397401</v>
      </c>
    </row>
    <row r="23" customFormat="false" ht="15" hidden="false" customHeight="false" outlineLevel="0" collapsed="false">
      <c r="A23" s="0" t="n">
        <v>130</v>
      </c>
      <c r="B23" s="10" t="n">
        <f aca="false">COS(RADIANS(5))/(1-SIN(RADIANS(5))^2*COS(RADIANS(A23))^2)</f>
        <v>0.9993311340784</v>
      </c>
      <c r="C23" s="10" t="n">
        <f aca="false">COS(RADIANS(10))/(1-SIN(RADIANS(10))^2*COS(RADIANS(A23))^2)</f>
        <v>0.997232045864044</v>
      </c>
      <c r="D23" s="10" t="n">
        <f aca="false">COS(RADIANS(15))/(1-SIN(RADIANS(15))^2*COS(RADIANS(A23))^2)</f>
        <v>0.993421281490235</v>
      </c>
      <c r="E23" s="10" t="n">
        <f aca="false">COS(RADIANS(20))/(1-SIN(RADIANS(20))^2*COS(RADIANS(A23))^2)</f>
        <v>0.987416846992448</v>
      </c>
      <c r="F23" s="10" t="n">
        <f aca="false">COS(RADIANS(b1))/(1-SIN(RADIANS(b1))^2*COS(RADIANS(A23))^2)</f>
        <v>0.997232045864044</v>
      </c>
    </row>
    <row r="24" customFormat="false" ht="15" hidden="false" customHeight="false" outlineLevel="0" collapsed="false">
      <c r="A24" s="0" t="n">
        <v>140</v>
      </c>
      <c r="B24" s="10" t="n">
        <f aca="false">COS(RADIANS(5))/(1-SIN(RADIANS(5))^2*COS(RADIANS(A24))^2)</f>
        <v>1.00065520698266</v>
      </c>
      <c r="C24" s="10" t="n">
        <f aca="false">COS(RADIANS(10))/(1-SIN(RADIANS(10))^2*COS(RADIANS(A24))^2)</f>
        <v>1.0025477465911</v>
      </c>
      <c r="D24" s="10" t="n">
        <f aca="false">COS(RADIANS(15))/(1-SIN(RADIANS(15))^2*COS(RADIANS(A24))^2)</f>
        <v>1.00544981748283</v>
      </c>
      <c r="E24" s="10" t="n">
        <f aca="false">COS(RADIANS(20))/(1-SIN(RADIANS(20))^2*COS(RADIANS(A24))^2)</f>
        <v>1.00895255022983</v>
      </c>
      <c r="F24" s="10" t="n">
        <f aca="false">COS(RADIANS(b1))/(1-SIN(RADIANS(b1))^2*COS(RADIANS(A24))^2)</f>
        <v>1.0025477465911</v>
      </c>
    </row>
    <row r="25" customFormat="false" ht="15" hidden="false" customHeight="false" outlineLevel="0" collapsed="false">
      <c r="A25" s="0" t="n">
        <v>150</v>
      </c>
      <c r="B25" s="10" t="n">
        <f aca="false">COS(RADIANS(5))/(1-SIN(RADIANS(5))^2*COS(RADIANS(A25))^2)</f>
        <v>1.00190263017248</v>
      </c>
      <c r="C25" s="10" t="n">
        <f aca="false">COS(RADIANS(10))/(1-SIN(RADIANS(10))^2*COS(RADIANS(A25))^2)</f>
        <v>1.00759477815483</v>
      </c>
      <c r="D25" s="10" t="n">
        <f aca="false">COS(RADIANS(15))/(1-SIN(RADIANS(15))^2*COS(RADIANS(A25))^2)</f>
        <v>1.01702146640303</v>
      </c>
      <c r="E25" s="10" t="n">
        <f aca="false">COS(RADIANS(20))/(1-SIN(RADIANS(20))^2*COS(RADIANS(A25))^2)</f>
        <v>1.03006352816929</v>
      </c>
      <c r="F25" s="10" t="n">
        <f aca="false">COS(RADIANS(b1))/(1-SIN(RADIANS(b1))^2*COS(RADIANS(A25))^2)</f>
        <v>1.00759477815483</v>
      </c>
    </row>
    <row r="26" customFormat="false" ht="15" hidden="false" customHeight="false" outlineLevel="0" collapsed="false">
      <c r="A26" s="0" t="n">
        <v>160</v>
      </c>
      <c r="B26" s="10" t="n">
        <f aca="false">COS(RADIANS(5))/(1-SIN(RADIANS(5))^2*COS(RADIANS(A26))^2)</f>
        <v>1.00292184232591</v>
      </c>
      <c r="C26" s="10" t="n">
        <f aca="false">COS(RADIANS(10))/(1-SIN(RADIANS(10))^2*COS(RADIANS(A26))^2)</f>
        <v>1.01174690862648</v>
      </c>
      <c r="D26" s="10" t="n">
        <f aca="false">COS(RADIANS(15))/(1-SIN(RADIANS(15))^2*COS(RADIANS(A26))^2)</f>
        <v>1.02665369931984</v>
      </c>
      <c r="E26" s="10" t="n">
        <f aca="false">COS(RADIANS(20))/(1-SIN(RADIANS(20))^2*COS(RADIANS(A26))^2)</f>
        <v>1.04793834045151</v>
      </c>
      <c r="F26" s="10" t="n">
        <f aca="false">COS(RADIANS(b1))/(1-SIN(RADIANS(b1))^2*COS(RADIANS(A26))^2)</f>
        <v>1.01174690862648</v>
      </c>
    </row>
    <row r="27" customFormat="false" ht="15" hidden="false" customHeight="false" outlineLevel="0" collapsed="false">
      <c r="A27" s="0" t="n">
        <v>170</v>
      </c>
      <c r="B27" s="10" t="n">
        <f aca="false">COS(RADIANS(5))/(1-SIN(RADIANS(5))^2*COS(RADIANS(A27))^2)</f>
        <v>1.00358820500142</v>
      </c>
      <c r="C27" s="10" t="n">
        <f aca="false">COS(RADIANS(10))/(1-SIN(RADIANS(10))^2*COS(RADIANS(A27))^2)</f>
        <v>1.01447552635091</v>
      </c>
      <c r="D27" s="10" t="n">
        <f aca="false">COS(RADIANS(15))/(1-SIN(RADIANS(15))^2*COS(RADIANS(A27))^2)</f>
        <v>1.03303971398493</v>
      </c>
      <c r="E27" s="10" t="n">
        <f aca="false">COS(RADIANS(20))/(1-SIN(RADIANS(20))^2*COS(RADIANS(A27))^2)</f>
        <v>1.05994373198042</v>
      </c>
      <c r="F27" s="10" t="n">
        <f aca="false">COS(RADIANS(b1))/(1-SIN(RADIANS(b1))^2*COS(RADIANS(A27))^2)</f>
        <v>1.01447552635091</v>
      </c>
    </row>
    <row r="28" customFormat="false" ht="15" hidden="false" customHeight="false" outlineLevel="0" collapsed="false">
      <c r="A28" s="0" t="n">
        <v>180</v>
      </c>
      <c r="B28" s="10" t="n">
        <f aca="false">COS(RADIANS(5))/(1-SIN(RADIANS(5))^2*COS(RADIANS(A28))^2)</f>
        <v>1.00381983754335</v>
      </c>
      <c r="C28" s="10" t="n">
        <f aca="false">COS(RADIANS(10))/(1-SIN(RADIANS(10))^2*COS(RADIANS(A28))^2)</f>
        <v>1.01542661188575</v>
      </c>
      <c r="D28" s="10" t="n">
        <f aca="false">COS(RADIANS(15))/(1-SIN(RADIANS(15))^2*COS(RADIANS(A28))^2)</f>
        <v>1.03527618041008</v>
      </c>
      <c r="E28" s="10" t="n">
        <f aca="false">COS(RADIANS(20))/(1-SIN(RADIANS(20))^2*COS(RADIANS(A28))^2)</f>
        <v>1.06417777247591</v>
      </c>
      <c r="F28" s="10" t="n">
        <f aca="false">COS(RADIANS(b1))/(1-SIN(RADIANS(b1))^2*COS(RADIANS(A28))^2)</f>
        <v>1.01542661188575</v>
      </c>
    </row>
    <row r="29" customFormat="false" ht="15" hidden="false" customHeight="false" outlineLevel="0" collapsed="false">
      <c r="A29" s="0" t="n">
        <v>190</v>
      </c>
      <c r="B29" s="10" t="n">
        <f aca="false">COS(RADIANS(5))/(1-SIN(RADIANS(5))^2*COS(RADIANS(A29))^2)</f>
        <v>1.00358820500142</v>
      </c>
      <c r="C29" s="10" t="n">
        <f aca="false">COS(RADIANS(10))/(1-SIN(RADIANS(10))^2*COS(RADIANS(A29))^2)</f>
        <v>1.01447552635091</v>
      </c>
      <c r="D29" s="10" t="n">
        <f aca="false">COS(RADIANS(15))/(1-SIN(RADIANS(15))^2*COS(RADIANS(A29))^2)</f>
        <v>1.03303971398493</v>
      </c>
      <c r="E29" s="10" t="n">
        <f aca="false">COS(RADIANS(20))/(1-SIN(RADIANS(20))^2*COS(RADIANS(A29))^2)</f>
        <v>1.05994373198042</v>
      </c>
      <c r="F29" s="10" t="n">
        <f aca="false">COS(RADIANS(b1))/(1-SIN(RADIANS(b1))^2*COS(RADIANS(A29))^2)</f>
        <v>1.01447552635091</v>
      </c>
    </row>
    <row r="30" customFormat="false" ht="15" hidden="false" customHeight="false" outlineLevel="0" collapsed="false">
      <c r="A30" s="0" t="n">
        <v>200</v>
      </c>
      <c r="B30" s="10" t="n">
        <f aca="false">COS(RADIANS(5))/(1-SIN(RADIANS(5))^2*COS(RADIANS(A30))^2)</f>
        <v>1.00292184232591</v>
      </c>
      <c r="C30" s="10" t="n">
        <f aca="false">COS(RADIANS(10))/(1-SIN(RADIANS(10))^2*COS(RADIANS(A30))^2)</f>
        <v>1.01174690862648</v>
      </c>
      <c r="D30" s="10" t="n">
        <f aca="false">COS(RADIANS(15))/(1-SIN(RADIANS(15))^2*COS(RADIANS(A30))^2)</f>
        <v>1.02665369931984</v>
      </c>
      <c r="E30" s="10" t="n">
        <f aca="false">COS(RADIANS(20))/(1-SIN(RADIANS(20))^2*COS(RADIANS(A30))^2)</f>
        <v>1.04793834045151</v>
      </c>
      <c r="F30" s="10" t="n">
        <f aca="false">COS(RADIANS(b1))/(1-SIN(RADIANS(b1))^2*COS(RADIANS(A30))^2)</f>
        <v>1.01174690862648</v>
      </c>
    </row>
    <row r="31" customFormat="false" ht="15" hidden="false" customHeight="false" outlineLevel="0" collapsed="false">
      <c r="A31" s="0" t="n">
        <v>210</v>
      </c>
      <c r="B31" s="10" t="n">
        <f aca="false">COS(RADIANS(5))/(1-SIN(RADIANS(5))^2*COS(RADIANS(A31))^2)</f>
        <v>1.00190263017248</v>
      </c>
      <c r="C31" s="10" t="n">
        <f aca="false">COS(RADIANS(10))/(1-SIN(RADIANS(10))^2*COS(RADIANS(A31))^2)</f>
        <v>1.00759477815483</v>
      </c>
      <c r="D31" s="10" t="n">
        <f aca="false">COS(RADIANS(15))/(1-SIN(RADIANS(15))^2*COS(RADIANS(A31))^2)</f>
        <v>1.01702146640303</v>
      </c>
      <c r="E31" s="10" t="n">
        <f aca="false">COS(RADIANS(20))/(1-SIN(RADIANS(20))^2*COS(RADIANS(A31))^2)</f>
        <v>1.03006352816929</v>
      </c>
      <c r="F31" s="10" t="n">
        <f aca="false">COS(RADIANS(b1))/(1-SIN(RADIANS(b1))^2*COS(RADIANS(A31))^2)</f>
        <v>1.00759477815483</v>
      </c>
    </row>
    <row r="32" customFormat="false" ht="15" hidden="false" customHeight="false" outlineLevel="0" collapsed="false">
      <c r="A32" s="0" t="n">
        <v>220</v>
      </c>
      <c r="B32" s="10" t="n">
        <f aca="false">COS(RADIANS(5))/(1-SIN(RADIANS(5))^2*COS(RADIANS(A32))^2)</f>
        <v>1.00065520698266</v>
      </c>
      <c r="C32" s="10" t="n">
        <f aca="false">COS(RADIANS(10))/(1-SIN(RADIANS(10))^2*COS(RADIANS(A32))^2)</f>
        <v>1.0025477465911</v>
      </c>
      <c r="D32" s="10" t="n">
        <f aca="false">COS(RADIANS(15))/(1-SIN(RADIANS(15))^2*COS(RADIANS(A32))^2)</f>
        <v>1.00544981748283</v>
      </c>
      <c r="E32" s="10" t="n">
        <f aca="false">COS(RADIANS(20))/(1-SIN(RADIANS(20))^2*COS(RADIANS(A32))^2)</f>
        <v>1.00895255022983</v>
      </c>
      <c r="F32" s="10" t="n">
        <f aca="false">COS(RADIANS(b1))/(1-SIN(RADIANS(b1))^2*COS(RADIANS(A32))^2)</f>
        <v>1.0025477465911</v>
      </c>
    </row>
    <row r="33" customFormat="false" ht="15" hidden="false" customHeight="false" outlineLevel="0" collapsed="false">
      <c r="A33" s="0" t="n">
        <v>230</v>
      </c>
      <c r="B33" s="10" t="n">
        <f aca="false">COS(RADIANS(5))/(1-SIN(RADIANS(5))^2*COS(RADIANS(A33))^2)</f>
        <v>0.9993311340784</v>
      </c>
      <c r="C33" s="10" t="n">
        <f aca="false">COS(RADIANS(10))/(1-SIN(RADIANS(10))^2*COS(RADIANS(A33))^2)</f>
        <v>0.997232045864044</v>
      </c>
      <c r="D33" s="10" t="n">
        <f aca="false">COS(RADIANS(15))/(1-SIN(RADIANS(15))^2*COS(RADIANS(A33))^2)</f>
        <v>0.993421281490235</v>
      </c>
      <c r="E33" s="10" t="n">
        <f aca="false">COS(RADIANS(20))/(1-SIN(RADIANS(20))^2*COS(RADIANS(A33))^2)</f>
        <v>0.987416846992448</v>
      </c>
      <c r="F33" s="10" t="n">
        <f aca="false">COS(RADIANS(b1))/(1-SIN(RADIANS(b1))^2*COS(RADIANS(A33))^2)</f>
        <v>0.997232045864044</v>
      </c>
    </row>
    <row r="34" customFormat="false" ht="15" hidden="false" customHeight="false" outlineLevel="0" collapsed="false">
      <c r="A34" s="0" t="n">
        <v>240</v>
      </c>
      <c r="B34" s="10" t="n">
        <f aca="false">COS(RADIANS(5))/(1-SIN(RADIANS(5))^2*COS(RADIANS(A34))^2)</f>
        <v>0.998090102009971</v>
      </c>
      <c r="C34" s="10" t="n">
        <f aca="false">COS(RADIANS(10))/(1-SIN(RADIANS(10))^2*COS(RADIANS(A34))^2)</f>
        <v>0.992288039397401</v>
      </c>
      <c r="D34" s="10" t="n">
        <f aca="false">COS(RADIANS(15))/(1-SIN(RADIANS(15))^2*COS(RADIANS(A34))^2)</f>
        <v>0.982377530410059</v>
      </c>
      <c r="E34" s="10" t="n">
        <f aca="false">COS(RADIANS(20))/(1-SIN(RADIANS(20))^2*COS(RADIANS(A34))^2)</f>
        <v>0.968001280619519</v>
      </c>
      <c r="F34" s="10" t="n">
        <f aca="false">COS(RADIANS(b1))/(1-SIN(RADIANS(b1))^2*COS(RADIANS(A34))^2)</f>
        <v>0.992288039397401</v>
      </c>
    </row>
    <row r="35" customFormat="false" ht="15" hidden="false" customHeight="false" outlineLevel="0" collapsed="false">
      <c r="A35" s="0" t="n">
        <v>250</v>
      </c>
      <c r="B35" s="10" t="n">
        <f aca="false">COS(RADIANS(5))/(1-SIN(RADIANS(5))^2*COS(RADIANS(A35))^2)</f>
        <v>0.997080681701825</v>
      </c>
      <c r="C35" s="10" t="n">
        <f aca="false">COS(RADIANS(10))/(1-SIN(RADIANS(10))^2*COS(RADIANS(A35))^2)</f>
        <v>0.988293773124116</v>
      </c>
      <c r="D35" s="10" t="n">
        <f aca="false">COS(RADIANS(15))/(1-SIN(RADIANS(15))^2*COS(RADIANS(A35))^2)</f>
        <v>0.97355462497727</v>
      </c>
      <c r="E35" s="10" t="n">
        <f aca="false">COS(RADIANS(20))/(1-SIN(RADIANS(20))^2*COS(RADIANS(A35))^2)</f>
        <v>0.952729582464643</v>
      </c>
      <c r="F35" s="10" t="n">
        <f aca="false">COS(RADIANS(b1))/(1-SIN(RADIANS(b1))^2*COS(RADIANS(A35))^2)</f>
        <v>0.988293773124116</v>
      </c>
    </row>
    <row r="36" customFormat="false" ht="15" hidden="false" customHeight="false" outlineLevel="0" collapsed="false">
      <c r="A36" s="0" t="n">
        <v>260</v>
      </c>
      <c r="B36" s="10" t="n">
        <f aca="false">COS(RADIANS(5))/(1-SIN(RADIANS(5))^2*COS(RADIANS(A36))^2)</f>
        <v>0.996422929909779</v>
      </c>
      <c r="C36" s="10" t="n">
        <f aca="false">COS(RADIANS(10))/(1-SIN(RADIANS(10))^2*COS(RADIANS(A36))^2)</f>
        <v>0.985703999442143</v>
      </c>
      <c r="D36" s="10" t="n">
        <f aca="false">COS(RADIANS(15))/(1-SIN(RADIANS(15))^2*COS(RADIANS(A36))^2)</f>
        <v>0.967880862582232</v>
      </c>
      <c r="E36" s="10" t="n">
        <f aca="false">COS(RADIANS(20))/(1-SIN(RADIANS(20))^2*COS(RADIANS(A36))^2)</f>
        <v>0.943018942461435</v>
      </c>
      <c r="F36" s="10" t="n">
        <f aca="false">COS(RADIANS(b1))/(1-SIN(RADIANS(b1))^2*COS(RADIANS(A36))^2)</f>
        <v>0.985703999442143</v>
      </c>
    </row>
    <row r="37" customFormat="false" ht="15" hidden="false" customHeight="false" outlineLevel="0" collapsed="false">
      <c r="A37" s="0" t="n">
        <v>270</v>
      </c>
      <c r="B37" s="10" t="n">
        <f aca="false">COS(RADIANS(5))/(1-SIN(RADIANS(5))^2*COS(RADIANS(A37))^2)</f>
        <v>0.996194698091746</v>
      </c>
      <c r="C37" s="10" t="n">
        <f aca="false">COS(RADIANS(10))/(1-SIN(RADIANS(10))^2*COS(RADIANS(A37))^2)</f>
        <v>0.984807753012208</v>
      </c>
      <c r="D37" s="10" t="n">
        <f aca="false">COS(RADIANS(15))/(1-SIN(RADIANS(15))^2*COS(RADIANS(A37))^2)</f>
        <v>0.965925826289068</v>
      </c>
      <c r="E37" s="10" t="n">
        <f aca="false">COS(RADIANS(20))/(1-SIN(RADIANS(20))^2*COS(RADIANS(A37))^2)</f>
        <v>0.939692620785908</v>
      </c>
      <c r="F37" s="10" t="n">
        <f aca="false">COS(RADIANS(b1))/(1-SIN(RADIANS(b1))^2*COS(RADIANS(A37))^2)</f>
        <v>0.984807753012208</v>
      </c>
    </row>
    <row r="38" customFormat="false" ht="15" hidden="false" customHeight="false" outlineLevel="0" collapsed="false">
      <c r="A38" s="0" t="n">
        <v>280</v>
      </c>
      <c r="B38" s="10" t="n">
        <f aca="false">COS(RADIANS(5))/(1-SIN(RADIANS(5))^2*COS(RADIANS(A38))^2)</f>
        <v>0.996422929909779</v>
      </c>
      <c r="C38" s="10" t="n">
        <f aca="false">COS(RADIANS(10))/(1-SIN(RADIANS(10))^2*COS(RADIANS(A38))^2)</f>
        <v>0.985703999442143</v>
      </c>
      <c r="D38" s="10" t="n">
        <f aca="false">COS(RADIANS(15))/(1-SIN(RADIANS(15))^2*COS(RADIANS(A38))^2)</f>
        <v>0.967880862582232</v>
      </c>
      <c r="E38" s="10" t="n">
        <f aca="false">COS(RADIANS(20))/(1-SIN(RADIANS(20))^2*COS(RADIANS(A38))^2)</f>
        <v>0.943018942461435</v>
      </c>
      <c r="F38" s="10" t="n">
        <f aca="false">COS(RADIANS(b1))/(1-SIN(RADIANS(b1))^2*COS(RADIANS(A38))^2)</f>
        <v>0.985703999442143</v>
      </c>
    </row>
    <row r="39" customFormat="false" ht="15" hidden="false" customHeight="false" outlineLevel="0" collapsed="false">
      <c r="A39" s="0" t="n">
        <v>290</v>
      </c>
      <c r="B39" s="10" t="n">
        <f aca="false">COS(RADIANS(5))/(1-SIN(RADIANS(5))^2*COS(RADIANS(A39))^2)</f>
        <v>0.997080681701825</v>
      </c>
      <c r="C39" s="10" t="n">
        <f aca="false">COS(RADIANS(10))/(1-SIN(RADIANS(10))^2*COS(RADIANS(A39))^2)</f>
        <v>0.988293773124116</v>
      </c>
      <c r="D39" s="10" t="n">
        <f aca="false">COS(RADIANS(15))/(1-SIN(RADIANS(15))^2*COS(RADIANS(A39))^2)</f>
        <v>0.973554624977269</v>
      </c>
      <c r="E39" s="10" t="n">
        <f aca="false">COS(RADIANS(20))/(1-SIN(RADIANS(20))^2*COS(RADIANS(A39))^2)</f>
        <v>0.952729582464643</v>
      </c>
      <c r="F39" s="10" t="n">
        <f aca="false">COS(RADIANS(b1))/(1-SIN(RADIANS(b1))^2*COS(RADIANS(A39))^2)</f>
        <v>0.988293773124116</v>
      </c>
    </row>
    <row r="40" customFormat="false" ht="15" hidden="false" customHeight="false" outlineLevel="0" collapsed="false">
      <c r="A40" s="0" t="n">
        <v>300</v>
      </c>
      <c r="B40" s="10" t="n">
        <f aca="false">COS(RADIANS(5))/(1-SIN(RADIANS(5))^2*COS(RADIANS(A40))^2)</f>
        <v>0.998090102009971</v>
      </c>
      <c r="C40" s="10" t="n">
        <f aca="false">COS(RADIANS(10))/(1-SIN(RADIANS(10))^2*COS(RADIANS(A40))^2)</f>
        <v>0.992288039397401</v>
      </c>
      <c r="D40" s="10" t="n">
        <f aca="false">COS(RADIANS(15))/(1-SIN(RADIANS(15))^2*COS(RADIANS(A40))^2)</f>
        <v>0.982377530410059</v>
      </c>
      <c r="E40" s="10" t="n">
        <f aca="false">COS(RADIANS(20))/(1-SIN(RADIANS(20))^2*COS(RADIANS(A40))^2)</f>
        <v>0.968001280619519</v>
      </c>
      <c r="F40" s="10" t="n">
        <f aca="false">COS(RADIANS(b1))/(1-SIN(RADIANS(b1))^2*COS(RADIANS(A40))^2)</f>
        <v>0.992288039397401</v>
      </c>
    </row>
    <row r="41" customFormat="false" ht="15" hidden="false" customHeight="false" outlineLevel="0" collapsed="false">
      <c r="A41" s="0" t="n">
        <v>310</v>
      </c>
      <c r="B41" s="10" t="n">
        <f aca="false">COS(RADIANS(5))/(1-SIN(RADIANS(5))^2*COS(RADIANS(A41))^2)</f>
        <v>0.9993311340784</v>
      </c>
      <c r="C41" s="10" t="n">
        <f aca="false">COS(RADIANS(10))/(1-SIN(RADIANS(10))^2*COS(RADIANS(A41))^2)</f>
        <v>0.997232045864044</v>
      </c>
      <c r="D41" s="10" t="n">
        <f aca="false">COS(RADIANS(15))/(1-SIN(RADIANS(15))^2*COS(RADIANS(A41))^2)</f>
        <v>0.993421281490235</v>
      </c>
      <c r="E41" s="10" t="n">
        <f aca="false">COS(RADIANS(20))/(1-SIN(RADIANS(20))^2*COS(RADIANS(A41))^2)</f>
        <v>0.987416846992448</v>
      </c>
      <c r="F41" s="10" t="n">
        <f aca="false">COS(RADIANS(b1))/(1-SIN(RADIANS(b1))^2*COS(RADIANS(A41))^2)</f>
        <v>0.997232045864044</v>
      </c>
    </row>
    <row r="42" customFormat="false" ht="15" hidden="false" customHeight="false" outlineLevel="0" collapsed="false">
      <c r="A42" s="0" t="n">
        <v>320</v>
      </c>
      <c r="B42" s="10" t="n">
        <f aca="false">COS(RADIANS(5))/(1-SIN(RADIANS(5))^2*COS(RADIANS(A42))^2)</f>
        <v>1.00065520698266</v>
      </c>
      <c r="C42" s="10" t="n">
        <f aca="false">COS(RADIANS(10))/(1-SIN(RADIANS(10))^2*COS(RADIANS(A42))^2)</f>
        <v>1.0025477465911</v>
      </c>
      <c r="D42" s="10" t="n">
        <f aca="false">COS(RADIANS(15))/(1-SIN(RADIANS(15))^2*COS(RADIANS(A42))^2)</f>
        <v>1.00544981748283</v>
      </c>
      <c r="E42" s="10" t="n">
        <f aca="false">COS(RADIANS(20))/(1-SIN(RADIANS(20))^2*COS(RADIANS(A42))^2)</f>
        <v>1.00895255022983</v>
      </c>
      <c r="F42" s="10" t="n">
        <f aca="false">COS(RADIANS(b1))/(1-SIN(RADIANS(b1))^2*COS(RADIANS(A42))^2)</f>
        <v>1.0025477465911</v>
      </c>
    </row>
    <row r="43" customFormat="false" ht="15" hidden="false" customHeight="false" outlineLevel="0" collapsed="false">
      <c r="A43" s="0" t="n">
        <v>330</v>
      </c>
      <c r="B43" s="10" t="n">
        <f aca="false">COS(RADIANS(5))/(1-SIN(RADIANS(5))^2*COS(RADIANS(A43))^2)</f>
        <v>1.00190263017248</v>
      </c>
      <c r="C43" s="10" t="n">
        <f aca="false">COS(RADIANS(10))/(1-SIN(RADIANS(10))^2*COS(RADIANS(A43))^2)</f>
        <v>1.00759477815483</v>
      </c>
      <c r="D43" s="10" t="n">
        <f aca="false">COS(RADIANS(15))/(1-SIN(RADIANS(15))^2*COS(RADIANS(A43))^2)</f>
        <v>1.01702146640303</v>
      </c>
      <c r="E43" s="10" t="n">
        <f aca="false">COS(RADIANS(20))/(1-SIN(RADIANS(20))^2*COS(RADIANS(A43))^2)</f>
        <v>1.03006352816929</v>
      </c>
      <c r="F43" s="10" t="n">
        <f aca="false">COS(RADIANS(b1))/(1-SIN(RADIANS(b1))^2*COS(RADIANS(A43))^2)</f>
        <v>1.00759477815483</v>
      </c>
    </row>
    <row r="44" customFormat="false" ht="15" hidden="false" customHeight="false" outlineLevel="0" collapsed="false">
      <c r="A44" s="0" t="n">
        <v>340</v>
      </c>
      <c r="B44" s="10" t="n">
        <f aca="false">COS(RADIANS(5))/(1-SIN(RADIANS(5))^2*COS(RADIANS(A44))^2)</f>
        <v>1.00292184232591</v>
      </c>
      <c r="C44" s="10" t="n">
        <f aca="false">COS(RADIANS(10))/(1-SIN(RADIANS(10))^2*COS(RADIANS(A44))^2)</f>
        <v>1.01174690862648</v>
      </c>
      <c r="D44" s="10" t="n">
        <f aca="false">COS(RADIANS(15))/(1-SIN(RADIANS(15))^2*COS(RADIANS(A44))^2)</f>
        <v>1.02665369931984</v>
      </c>
      <c r="E44" s="10" t="n">
        <f aca="false">COS(RADIANS(20))/(1-SIN(RADIANS(20))^2*COS(RADIANS(A44))^2)</f>
        <v>1.04793834045151</v>
      </c>
      <c r="F44" s="10" t="n">
        <f aca="false">COS(RADIANS(b1))/(1-SIN(RADIANS(b1))^2*COS(RADIANS(A44))^2)</f>
        <v>1.01174690862648</v>
      </c>
    </row>
    <row r="45" customFormat="false" ht="15" hidden="false" customHeight="false" outlineLevel="0" collapsed="false">
      <c r="A45" s="0" t="n">
        <v>350</v>
      </c>
      <c r="B45" s="10" t="n">
        <f aca="false">COS(RADIANS(5))/(1-SIN(RADIANS(5))^2*COS(RADIANS(A45))^2)</f>
        <v>1.00358820500142</v>
      </c>
      <c r="C45" s="10" t="n">
        <f aca="false">COS(RADIANS(10))/(1-SIN(RADIANS(10))^2*COS(RADIANS(A45))^2)</f>
        <v>1.01447552635091</v>
      </c>
      <c r="D45" s="10" t="n">
        <f aca="false">COS(RADIANS(15))/(1-SIN(RADIANS(15))^2*COS(RADIANS(A45))^2)</f>
        <v>1.03303971398493</v>
      </c>
      <c r="E45" s="10" t="n">
        <f aca="false">COS(RADIANS(20))/(1-SIN(RADIANS(20))^2*COS(RADIANS(A45))^2)</f>
        <v>1.05994373198042</v>
      </c>
      <c r="F45" s="10" t="n">
        <f aca="false">COS(RADIANS(b1))/(1-SIN(RADIANS(b1))^2*COS(RADIANS(A45))^2)</f>
        <v>1.01447552635091</v>
      </c>
    </row>
    <row r="46" customFormat="false" ht="15" hidden="false" customHeight="false" outlineLevel="0" collapsed="false">
      <c r="A46" s="0" t="n">
        <v>360</v>
      </c>
      <c r="B46" s="10" t="n">
        <f aca="false">COS(RADIANS(5))/(1-SIN(RADIANS(5))^2*COS(RADIANS(A46))^2)</f>
        <v>1.00381983754335</v>
      </c>
      <c r="C46" s="10" t="n">
        <f aca="false">COS(RADIANS(10))/(1-SIN(RADIANS(10))^2*COS(RADIANS(A46))^2)</f>
        <v>1.01542661188575</v>
      </c>
      <c r="D46" s="10" t="n">
        <f aca="false">COS(RADIANS(15))/(1-SIN(RADIANS(15))^2*COS(RADIANS(A46))^2)</f>
        <v>1.03527618041008</v>
      </c>
      <c r="E46" s="10" t="n">
        <f aca="false">COS(RADIANS(20))/(1-SIN(RADIANS(20))^2*COS(RADIANS(A46))^2)</f>
        <v>1.06417777247591</v>
      </c>
      <c r="F46" s="10" t="n">
        <f aca="false">COS(RADIANS(b1))/(1-SIN(RADIANS(b1))^2*COS(RADIANS(A46))^2)</f>
        <v>1.01542661188575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79</v>
      </c>
    </row>
    <row r="3" customFormat="false" ht="41.75" hidden="false" customHeight="false" outlineLevel="0" collapsed="false">
      <c r="A3" s="5" t="s">
        <v>73</v>
      </c>
      <c r="B3" s="5" t="s">
        <v>80</v>
      </c>
      <c r="C3" s="5" t="s">
        <v>81</v>
      </c>
      <c r="D3" s="5" t="s">
        <v>82</v>
      </c>
      <c r="E3" s="5" t="s">
        <v>83</v>
      </c>
      <c r="F3" s="5" t="s">
        <v>84</v>
      </c>
    </row>
    <row r="4" customFormat="false" ht="15" hidden="false" customHeight="false" outlineLevel="0" collapsed="false">
      <c r="A4" s="0" t="n">
        <v>0</v>
      </c>
      <c r="B4" s="9" t="n">
        <f aca="false">(1/COS(RADIANS(b1)))/(COS(RADIANS(A4))^2+SIN(RADIANS(A4))^2/COS(RADIANS(b1))^2)</f>
        <v>1.01542661188575</v>
      </c>
      <c r="C4" s="9" t="n">
        <f aca="false">COS(RADIANS(A4))^2*COS(RADIANS(b1))^2/(COS(RADIANS(A4))^2*COS(RADIANS(b1))^2+SIN(RADIANS(A4))^2)</f>
        <v>1</v>
      </c>
      <c r="D4" s="9" t="n">
        <f aca="false">1-C4</f>
        <v>0</v>
      </c>
      <c r="E4" s="9" t="n">
        <f aca="false">B4*COS(RADIANS(b2))/(C4+COS(RADIANS(b2))^2*D4)</f>
        <v>1</v>
      </c>
      <c r="F4" s="9" t="n">
        <f aca="false">B4*(1/COS(RADIANS(b2)))/(C4+D4/COS(RADIANS(b2))^2)</f>
        <v>1.03109120412576</v>
      </c>
    </row>
    <row r="5" customFormat="false" ht="15" hidden="false" customHeight="false" outlineLevel="0" collapsed="false">
      <c r="A5" s="0" t="n">
        <v>10</v>
      </c>
      <c r="B5" s="9" t="n">
        <f aca="false">(1/COS(RADIANS(b1)))/(COS(RADIANS(A5))^2+SIN(RADIANS(A5))^2/COS(RADIANS(b1))^2)</f>
        <v>1.01447552635091</v>
      </c>
      <c r="C5" s="9" t="n">
        <f aca="false">COS(RADIANS(A5))^2*COS(RADIANS(b1))^2/(COS(RADIANS(A5))^2*COS(RADIANS(b1))^2+SIN(RADIANS(A5))^2)</f>
        <v>0.968937917028005</v>
      </c>
      <c r="D5" s="9" t="n">
        <f aca="false">1-C5</f>
        <v>0.0310620829719955</v>
      </c>
      <c r="E5" s="9" t="n">
        <f aca="false">B5*COS(RADIANS(b2))/(C5+COS(RADIANS(b2))^2*D5)</f>
        <v>1</v>
      </c>
      <c r="F5" s="9" t="n">
        <f aca="false">B5*(1/COS(RADIANS(b2)))/(C5+D5/COS(RADIANS(b2))^2)</f>
        <v>1.02913155498173</v>
      </c>
    </row>
    <row r="6" customFormat="false" ht="15" hidden="false" customHeight="false" outlineLevel="0" collapsed="false">
      <c r="A6" s="0" t="n">
        <v>20</v>
      </c>
      <c r="B6" s="9" t="n">
        <f aca="false">(1/COS(RADIANS(b1)))/(COS(RADIANS(A6))^2+SIN(RADIANS(A6))^2/COS(RADIANS(b1))^2)</f>
        <v>1.01174690862648</v>
      </c>
      <c r="C6" s="9" t="n">
        <f aca="false">COS(RADIANS(A6))^2*COS(RADIANS(b1))^2/(COS(RADIANS(A6))^2*COS(RADIANS(b1))^2+SIN(RADIANS(A6))^2)</f>
        <v>0.879822325369413</v>
      </c>
      <c r="D6" s="9" t="n">
        <f aca="false">1-C6</f>
        <v>0.120177674630587</v>
      </c>
      <c r="E6" s="9" t="n">
        <f aca="false">B6*COS(RADIANS(b2))/(C6+COS(RADIANS(b2))^2*D6)</f>
        <v>1</v>
      </c>
      <c r="F6" s="9" t="n">
        <f aca="false">B6*(1/COS(RADIANS(b2)))/(C6+D6/COS(RADIANS(b2))^2)</f>
        <v>1.02353034649802</v>
      </c>
    </row>
    <row r="7" customFormat="false" ht="15" hidden="false" customHeight="false" outlineLevel="0" collapsed="false">
      <c r="A7" s="0" t="n">
        <v>30</v>
      </c>
      <c r="B7" s="9" t="n">
        <f aca="false">(1/COS(RADIANS(b1)))/(COS(RADIANS(A7))^2+SIN(RADIANS(A7))^2/COS(RADIANS(b1))^2)</f>
        <v>1.00759477815483</v>
      </c>
      <c r="C7" s="9" t="n">
        <f aca="false">COS(RADIANS(A7))^2*COS(RADIANS(b1))^2/(COS(RADIANS(A7))^2*COS(RADIANS(b1))^2+SIN(RADIANS(A7))^2)</f>
        <v>0.744215362066119</v>
      </c>
      <c r="D7" s="9" t="n">
        <f aca="false">1-C7</f>
        <v>0.255784637933882</v>
      </c>
      <c r="E7" s="9" t="n">
        <f aca="false">B7*COS(RADIANS(b2))/(C7+COS(RADIANS(b2))^2*D7)</f>
        <v>1</v>
      </c>
      <c r="F7" s="9" t="n">
        <f aca="false">B7*(1/COS(RADIANS(b2)))/(C7+D7/COS(RADIANS(b2))^2)</f>
        <v>1.01506608401623</v>
      </c>
    </row>
    <row r="8" customFormat="false" ht="15" hidden="false" customHeight="false" outlineLevel="0" collapsed="false">
      <c r="A8" s="0" t="n">
        <v>40</v>
      </c>
      <c r="B8" s="9" t="n">
        <f aca="false">(1/COS(RADIANS(b1)))/(COS(RADIANS(A8))^2+SIN(RADIANS(A8))^2/COS(RADIANS(b1))^2)</f>
        <v>1.0025477465911</v>
      </c>
      <c r="C8" s="9" t="n">
        <f aca="false">COS(RADIANS(A8))^2*COS(RADIANS(b1))^2/(COS(RADIANS(A8))^2*COS(RADIANS(b1))^2+SIN(RADIANS(A8))^2)</f>
        <v>0.579381277798897</v>
      </c>
      <c r="D8" s="9" t="n">
        <f aca="false">1-C8</f>
        <v>0.420618722201103</v>
      </c>
      <c r="E8" s="9" t="n">
        <f aca="false">B8*COS(RADIANS(b2))/(C8+COS(RADIANS(b2))^2*D8)</f>
        <v>1</v>
      </c>
      <c r="F8" s="9" t="n">
        <f aca="false">B8*(1/COS(RADIANS(b2)))/(C8+D8/COS(RADIANS(b2))^2)</f>
        <v>1.00487240000523</v>
      </c>
    </row>
    <row r="9" customFormat="false" ht="15" hidden="false" customHeight="false" outlineLevel="0" collapsed="false">
      <c r="A9" s="0" t="n">
        <v>50</v>
      </c>
      <c r="B9" s="9" t="n">
        <f aca="false">(1/COS(RADIANS(b1)))/(COS(RADIANS(A9))^2+SIN(RADIANS(A9))^2/COS(RADIANS(b1))^2)</f>
        <v>0.997232045864044</v>
      </c>
      <c r="C9" s="9" t="n">
        <f aca="false">COS(RADIANS(A9))^2*COS(RADIANS(b1))^2/(COS(RADIANS(A9))^2*COS(RADIANS(b1))^2+SIN(RADIANS(A9))^2)</f>
        <v>0.405772563345726</v>
      </c>
      <c r="D9" s="9" t="n">
        <f aca="false">1-C9</f>
        <v>0.594227436654274</v>
      </c>
      <c r="E9" s="9" t="n">
        <f aca="false">B9*COS(RADIANS(b2))/(C9+COS(RADIANS(b2))^2*D9)</f>
        <v>1</v>
      </c>
      <c r="F9" s="9" t="n">
        <f aca="false">B9*(1/COS(RADIANS(b2)))/(C9+D9/COS(RADIANS(b2))^2)</f>
        <v>0.994246999174017</v>
      </c>
    </row>
    <row r="10" customFormat="false" ht="15" hidden="false" customHeight="false" outlineLevel="0" collapsed="false">
      <c r="A10" s="0" t="n">
        <v>60</v>
      </c>
      <c r="B10" s="9" t="n">
        <f aca="false">(1/COS(RADIANS(b1)))/(COS(RADIANS(A10))^2+SIN(RADIANS(A10))^2/COS(RADIANS(b1))^2)</f>
        <v>0.992288039397402</v>
      </c>
      <c r="C10" s="9" t="n">
        <f aca="false">COS(RADIANS(A10))^2*COS(RADIANS(b1))^2/(COS(RADIANS(A10))^2*COS(RADIANS(b1))^2+SIN(RADIANS(A10))^2)</f>
        <v>0.244303238604961</v>
      </c>
      <c r="D10" s="9" t="n">
        <f aca="false">1-C10</f>
        <v>0.755696761395039</v>
      </c>
      <c r="E10" s="9" t="n">
        <f aca="false">B10*COS(RADIANS(b2))/(C10+COS(RADIANS(b2))^2*D10)</f>
        <v>1</v>
      </c>
      <c r="F10" s="9" t="n">
        <f aca="false">B10*(1/COS(RADIANS(b2)))/(C10+D10/COS(RADIANS(b2))^2)</f>
        <v>0.984465158801612</v>
      </c>
    </row>
    <row r="11" customFormat="false" ht="15" hidden="false" customHeight="false" outlineLevel="0" collapsed="false">
      <c r="A11" s="0" t="n">
        <v>70</v>
      </c>
      <c r="B11" s="9" t="n">
        <f aca="false">(1/COS(RADIANS(b1)))/(COS(RADIANS(A11))^2+SIN(RADIANS(A11))^2/COS(RADIANS(b1))^2)</f>
        <v>0.988293773124116</v>
      </c>
      <c r="C11" s="9" t="n">
        <f aca="false">COS(RADIANS(A11))^2*COS(RADIANS(b1))^2/(COS(RADIANS(A11))^2*COS(RADIANS(b1))^2+SIN(RADIANS(A11))^2)</f>
        <v>0.113852058507659</v>
      </c>
      <c r="D11" s="9" t="n">
        <f aca="false">1-C11</f>
        <v>0.886147941492341</v>
      </c>
      <c r="E11" s="9" t="n">
        <f aca="false">B11*COS(RADIANS(b2))/(C11+COS(RADIANS(b2))^2*D11)</f>
        <v>1</v>
      </c>
      <c r="F11" s="9" t="n">
        <f aca="false">B11*(1/COS(RADIANS(b2)))/(C11+D11/COS(RADIANS(b2))^2)</f>
        <v>0.976632206631547</v>
      </c>
    </row>
    <row r="12" customFormat="false" ht="15" hidden="false" customHeight="false" outlineLevel="0" collapsed="false">
      <c r="A12" s="0" t="n">
        <v>80</v>
      </c>
      <c r="B12" s="9" t="n">
        <f aca="false">(1/COS(RADIANS(b1)))/(COS(RADIANS(A12))^2+SIN(RADIANS(A12))^2/COS(RADIANS(b1))^2)</f>
        <v>0.985703999442143</v>
      </c>
      <c r="C12" s="9" t="n">
        <f aca="false">COS(RADIANS(A12))^2*COS(RADIANS(b1))^2/(COS(RADIANS(A12))^2*COS(RADIANS(b1))^2+SIN(RADIANS(A12))^2)</f>
        <v>0.0292710591742364</v>
      </c>
      <c r="D12" s="9" t="n">
        <f aca="false">1-C12</f>
        <v>0.970728940825764</v>
      </c>
      <c r="E12" s="9" t="n">
        <f aca="false">B12*COS(RADIANS(b2))/(C12+COS(RADIANS(b2))^2*D12)</f>
        <v>1</v>
      </c>
      <c r="F12" s="9" t="n">
        <f aca="false">B12*(1/COS(RADIANS(b2)))/(C12+D12/COS(RADIANS(b2))^2)</f>
        <v>0.971586492632268</v>
      </c>
    </row>
    <row r="13" customFormat="false" ht="15" hidden="false" customHeight="false" outlineLevel="0" collapsed="false">
      <c r="A13" s="0" t="n">
        <v>90</v>
      </c>
      <c r="B13" s="9" t="n">
        <f aca="false">(1/COS(RADIANS(b1)))/(COS(RADIANS(A13))^2+SIN(RADIANS(A13))^2/COS(RADIANS(b1))^2)</f>
        <v>0.984807753012208</v>
      </c>
      <c r="C13" s="9" t="n">
        <f aca="false">COS(RADIANS(A13))^2*COS(RADIANS(b1))^2/(COS(RADIANS(A13))^2*COS(RADIANS(b1))^2+SIN(RADIANS(A13))^2)</f>
        <v>3.63634122922585E-033</v>
      </c>
      <c r="D13" s="9" t="n">
        <f aca="false">1-C13</f>
        <v>1</v>
      </c>
      <c r="E13" s="9" t="n">
        <f aca="false">B13*COS(RADIANS(b2))/(C13+COS(RADIANS(b2))^2*D13)</f>
        <v>1</v>
      </c>
      <c r="F13" s="9" t="n">
        <f aca="false">B13*(1/COS(RADIANS(b2)))/(C13+D13/COS(RADIANS(b2))^2)</f>
        <v>0.969846310392954</v>
      </c>
    </row>
    <row r="14" customFormat="false" ht="15" hidden="false" customHeight="false" outlineLevel="0" collapsed="false">
      <c r="A14" s="0" t="n">
        <v>100</v>
      </c>
      <c r="B14" s="9" t="n">
        <f aca="false">(1/COS(RADIANS(b1)))/(COS(RADIANS(A14))^2+SIN(RADIANS(A14))^2/COS(RADIANS(b1))^2)</f>
        <v>0.985703999442143</v>
      </c>
      <c r="C14" s="9" t="n">
        <f aca="false">COS(RADIANS(A14))^2*COS(RADIANS(b1))^2/(COS(RADIANS(A14))^2*COS(RADIANS(b1))^2+SIN(RADIANS(A14))^2)</f>
        <v>0.0292710591742364</v>
      </c>
      <c r="D14" s="9" t="n">
        <f aca="false">1-C14</f>
        <v>0.970728940825764</v>
      </c>
      <c r="E14" s="9" t="n">
        <f aca="false">B14*COS(RADIANS(b2))/(C14+COS(RADIANS(b2))^2*D14)</f>
        <v>1</v>
      </c>
      <c r="F14" s="9" t="n">
        <f aca="false">B14*(1/COS(RADIANS(b2)))/(C14+D14/COS(RADIANS(b2))^2)</f>
        <v>0.971586492632268</v>
      </c>
    </row>
    <row r="15" customFormat="false" ht="15" hidden="false" customHeight="false" outlineLevel="0" collapsed="false">
      <c r="A15" s="0" t="n">
        <v>110</v>
      </c>
      <c r="B15" s="9" t="n">
        <f aca="false">(1/COS(RADIANS(b1)))/(COS(RADIANS(A15))^2+SIN(RADIANS(A15))^2/COS(RADIANS(b1))^2)</f>
        <v>0.988293773124116</v>
      </c>
      <c r="C15" s="9" t="n">
        <f aca="false">COS(RADIANS(A15))^2*COS(RADIANS(b1))^2/(COS(RADIANS(A15))^2*COS(RADIANS(b1))^2+SIN(RADIANS(A15))^2)</f>
        <v>0.113852058507659</v>
      </c>
      <c r="D15" s="9" t="n">
        <f aca="false">1-C15</f>
        <v>0.886147941492341</v>
      </c>
      <c r="E15" s="9" t="n">
        <f aca="false">B15*COS(RADIANS(b2))/(C15+COS(RADIANS(b2))^2*D15)</f>
        <v>1</v>
      </c>
      <c r="F15" s="9" t="n">
        <f aca="false">B15*(1/COS(RADIANS(b2)))/(C15+D15/COS(RADIANS(b2))^2)</f>
        <v>0.976632206631547</v>
      </c>
    </row>
    <row r="16" customFormat="false" ht="15" hidden="false" customHeight="false" outlineLevel="0" collapsed="false">
      <c r="A16" s="0" t="n">
        <v>120</v>
      </c>
      <c r="B16" s="9" t="n">
        <f aca="false">(1/COS(RADIANS(b1)))/(COS(RADIANS(A16))^2+SIN(RADIANS(A16))^2/COS(RADIANS(b1))^2)</f>
        <v>0.992288039397402</v>
      </c>
      <c r="C16" s="9" t="n">
        <f aca="false">COS(RADIANS(A16))^2*COS(RADIANS(b1))^2/(COS(RADIANS(A16))^2*COS(RADIANS(b1))^2+SIN(RADIANS(A16))^2)</f>
        <v>0.244303238604961</v>
      </c>
      <c r="D16" s="9" t="n">
        <f aca="false">1-C16</f>
        <v>0.755696761395039</v>
      </c>
      <c r="E16" s="9" t="n">
        <f aca="false">B16*COS(RADIANS(b2))/(C16+COS(RADIANS(b2))^2*D16)</f>
        <v>1</v>
      </c>
      <c r="F16" s="9" t="n">
        <f aca="false">B16*(1/COS(RADIANS(b2)))/(C16+D16/COS(RADIANS(b2))^2)</f>
        <v>0.984465158801612</v>
      </c>
    </row>
    <row r="17" customFormat="false" ht="15" hidden="false" customHeight="false" outlineLevel="0" collapsed="false">
      <c r="A17" s="0" t="n">
        <v>130</v>
      </c>
      <c r="B17" s="9" t="n">
        <f aca="false">(1/COS(RADIANS(b1)))/(COS(RADIANS(A17))^2+SIN(RADIANS(A17))^2/COS(RADIANS(b1))^2)</f>
        <v>0.997232045864044</v>
      </c>
      <c r="C17" s="9" t="n">
        <f aca="false">COS(RADIANS(A17))^2*COS(RADIANS(b1))^2/(COS(RADIANS(A17))^2*COS(RADIANS(b1))^2+SIN(RADIANS(A17))^2)</f>
        <v>0.405772563345726</v>
      </c>
      <c r="D17" s="9" t="n">
        <f aca="false">1-C17</f>
        <v>0.594227436654274</v>
      </c>
      <c r="E17" s="9" t="n">
        <f aca="false">B17*COS(RADIANS(b2))/(C17+COS(RADIANS(b2))^2*D17)</f>
        <v>1</v>
      </c>
      <c r="F17" s="9" t="n">
        <f aca="false">B17*(1/COS(RADIANS(b2)))/(C17+D17/COS(RADIANS(b2))^2)</f>
        <v>0.994246999174017</v>
      </c>
    </row>
    <row r="18" customFormat="false" ht="15" hidden="false" customHeight="false" outlineLevel="0" collapsed="false">
      <c r="A18" s="0" t="n">
        <v>140</v>
      </c>
      <c r="B18" s="9" t="n">
        <f aca="false">(1/COS(RADIANS(b1)))/(COS(RADIANS(A18))^2+SIN(RADIANS(A18))^2/COS(RADIANS(b1))^2)</f>
        <v>1.0025477465911</v>
      </c>
      <c r="C18" s="9" t="n">
        <f aca="false">COS(RADIANS(A18))^2*COS(RADIANS(b1))^2/(COS(RADIANS(A18))^2*COS(RADIANS(b1))^2+SIN(RADIANS(A18))^2)</f>
        <v>0.579381277798896</v>
      </c>
      <c r="D18" s="9" t="n">
        <f aca="false">1-C18</f>
        <v>0.420618722201104</v>
      </c>
      <c r="E18" s="9" t="n">
        <f aca="false">B18*COS(RADIANS(b2))/(C18+COS(RADIANS(b2))^2*D18)</f>
        <v>1</v>
      </c>
      <c r="F18" s="9" t="n">
        <f aca="false">B18*(1/COS(RADIANS(b2)))/(C18+D18/COS(RADIANS(b2))^2)</f>
        <v>1.00487240000523</v>
      </c>
    </row>
    <row r="19" customFormat="false" ht="15" hidden="false" customHeight="false" outlineLevel="0" collapsed="false">
      <c r="A19" s="0" t="n">
        <v>150</v>
      </c>
      <c r="B19" s="9" t="n">
        <f aca="false">(1/COS(RADIANS(b1)))/(COS(RADIANS(A19))^2+SIN(RADIANS(A19))^2/COS(RADIANS(b1))^2)</f>
        <v>1.00759477815483</v>
      </c>
      <c r="C19" s="9" t="n">
        <f aca="false">COS(RADIANS(A19))^2*COS(RADIANS(b1))^2/(COS(RADIANS(A19))^2*COS(RADIANS(b1))^2+SIN(RADIANS(A19))^2)</f>
        <v>0.744215362066119</v>
      </c>
      <c r="D19" s="9" t="n">
        <f aca="false">1-C19</f>
        <v>0.255784637933882</v>
      </c>
      <c r="E19" s="9" t="n">
        <f aca="false">B19*COS(RADIANS(b2))/(C19+COS(RADIANS(b2))^2*D19)</f>
        <v>1</v>
      </c>
      <c r="F19" s="9" t="n">
        <f aca="false">B19*(1/COS(RADIANS(b2)))/(C19+D19/COS(RADIANS(b2))^2)</f>
        <v>1.01506608401623</v>
      </c>
    </row>
    <row r="20" customFormat="false" ht="15" hidden="false" customHeight="false" outlineLevel="0" collapsed="false">
      <c r="A20" s="0" t="n">
        <v>160</v>
      </c>
      <c r="B20" s="9" t="n">
        <f aca="false">(1/COS(RADIANS(b1)))/(COS(RADIANS(A20))^2+SIN(RADIANS(A20))^2/COS(RADIANS(b1))^2)</f>
        <v>1.01174690862648</v>
      </c>
      <c r="C20" s="9" t="n">
        <f aca="false">COS(RADIANS(A20))^2*COS(RADIANS(b1))^2/(COS(RADIANS(A20))^2*COS(RADIANS(b1))^2+SIN(RADIANS(A20))^2)</f>
        <v>0.879822325369413</v>
      </c>
      <c r="D20" s="9" t="n">
        <f aca="false">1-C20</f>
        <v>0.120177674630587</v>
      </c>
      <c r="E20" s="9" t="n">
        <f aca="false">B20*COS(RADIANS(b2))/(C20+COS(RADIANS(b2))^2*D20)</f>
        <v>1</v>
      </c>
      <c r="F20" s="9" t="n">
        <f aca="false">B20*(1/COS(RADIANS(b2)))/(C20+D20/COS(RADIANS(b2))^2)</f>
        <v>1.02353034649802</v>
      </c>
    </row>
    <row r="21" customFormat="false" ht="15" hidden="false" customHeight="false" outlineLevel="0" collapsed="false">
      <c r="A21" s="0" t="n">
        <v>170</v>
      </c>
      <c r="B21" s="9" t="n">
        <f aca="false">(1/COS(RADIANS(b1)))/(COS(RADIANS(A21))^2+SIN(RADIANS(A21))^2/COS(RADIANS(b1))^2)</f>
        <v>1.01447552635091</v>
      </c>
      <c r="C21" s="9" t="n">
        <f aca="false">COS(RADIANS(A21))^2*COS(RADIANS(b1))^2/(COS(RADIANS(A21))^2*COS(RADIANS(b1))^2+SIN(RADIANS(A21))^2)</f>
        <v>0.968937917028004</v>
      </c>
      <c r="D21" s="9" t="n">
        <f aca="false">1-C21</f>
        <v>0.0310620829719956</v>
      </c>
      <c r="E21" s="9" t="n">
        <f aca="false">B21*COS(RADIANS(b2))/(C21+COS(RADIANS(b2))^2*D21)</f>
        <v>1</v>
      </c>
      <c r="F21" s="9" t="n">
        <f aca="false">B21*(1/COS(RADIANS(b2)))/(C21+D21/COS(RADIANS(b2))^2)</f>
        <v>1.02913155498173</v>
      </c>
    </row>
    <row r="22" customFormat="false" ht="15" hidden="false" customHeight="false" outlineLevel="0" collapsed="false">
      <c r="A22" s="0" t="n">
        <v>180</v>
      </c>
      <c r="B22" s="9" t="n">
        <f aca="false">(1/COS(RADIANS(b1)))/(COS(RADIANS(A22))^2+SIN(RADIANS(A22))^2/COS(RADIANS(b1))^2)</f>
        <v>1.01542661188575</v>
      </c>
      <c r="C22" s="9" t="n">
        <f aca="false">COS(RADIANS(A22))^2*COS(RADIANS(b1))^2/(COS(RADIANS(A22))^2*COS(RADIANS(b1))^2+SIN(RADIANS(A22))^2)</f>
        <v>1</v>
      </c>
      <c r="D22" s="9" t="n">
        <f aca="false">1-C22</f>
        <v>0</v>
      </c>
      <c r="E22" s="9" t="n">
        <f aca="false">B22*COS(RADIANS(b2))/(C22+COS(RADIANS(b2))^2*D22)</f>
        <v>1</v>
      </c>
      <c r="F22" s="9" t="n">
        <f aca="false">B22*(1/COS(RADIANS(b2)))/(C22+D22/COS(RADIANS(b2))^2)</f>
        <v>1.03109120412576</v>
      </c>
    </row>
    <row r="23" customFormat="false" ht="15" hidden="false" customHeight="false" outlineLevel="0" collapsed="false">
      <c r="A23" s="0" t="n">
        <v>190</v>
      </c>
      <c r="B23" s="9" t="n">
        <f aca="false">(1/COS(RADIANS(b1)))/(COS(RADIANS(A23))^2+SIN(RADIANS(A23))^2/COS(RADIANS(b1))^2)</f>
        <v>1.01447552635091</v>
      </c>
      <c r="C23" s="9" t="n">
        <f aca="false">COS(RADIANS(A23))^2*COS(RADIANS(b1))^2/(COS(RADIANS(A23))^2*COS(RADIANS(b1))^2+SIN(RADIANS(A23))^2)</f>
        <v>0.968937917028004</v>
      </c>
      <c r="D23" s="9" t="n">
        <f aca="false">1-C23</f>
        <v>0.0310620829719956</v>
      </c>
      <c r="E23" s="9" t="n">
        <f aca="false">B23*COS(RADIANS(b2))/(C23+COS(RADIANS(b2))^2*D23)</f>
        <v>1</v>
      </c>
      <c r="F23" s="9" t="n">
        <f aca="false">B23*(1/COS(RADIANS(b2)))/(C23+D23/COS(RADIANS(b2))^2)</f>
        <v>1.02913155498173</v>
      </c>
    </row>
    <row r="24" customFormat="false" ht="15" hidden="false" customHeight="false" outlineLevel="0" collapsed="false">
      <c r="A24" s="0" t="n">
        <v>200</v>
      </c>
      <c r="B24" s="9" t="n">
        <f aca="false">(1/COS(RADIANS(b1)))/(COS(RADIANS(A24))^2+SIN(RADIANS(A24))^2/COS(RADIANS(b1))^2)</f>
        <v>1.01174690862648</v>
      </c>
      <c r="C24" s="9" t="n">
        <f aca="false">COS(RADIANS(A24))^2*COS(RADIANS(b1))^2/(COS(RADIANS(A24))^2*COS(RADIANS(b1))^2+SIN(RADIANS(A24))^2)</f>
        <v>0.879822325369413</v>
      </c>
      <c r="D24" s="9" t="n">
        <f aca="false">1-C24</f>
        <v>0.120177674630587</v>
      </c>
      <c r="E24" s="9" t="n">
        <f aca="false">B24*COS(RADIANS(b2))/(C24+COS(RADIANS(b2))^2*D24)</f>
        <v>1</v>
      </c>
      <c r="F24" s="9" t="n">
        <f aca="false">B24*(1/COS(RADIANS(b2)))/(C24+D24/COS(RADIANS(b2))^2)</f>
        <v>1.02353034649802</v>
      </c>
    </row>
    <row r="25" customFormat="false" ht="15" hidden="false" customHeight="false" outlineLevel="0" collapsed="false">
      <c r="A25" s="0" t="n">
        <v>210</v>
      </c>
      <c r="B25" s="9" t="n">
        <f aca="false">(1/COS(RADIANS(b1)))/(COS(RADIANS(A25))^2+SIN(RADIANS(A25))^2/COS(RADIANS(b1))^2)</f>
        <v>1.00759477815483</v>
      </c>
      <c r="C25" s="9" t="n">
        <f aca="false">COS(RADIANS(A25))^2*COS(RADIANS(b1))^2/(COS(RADIANS(A25))^2*COS(RADIANS(b1))^2+SIN(RADIANS(A25))^2)</f>
        <v>0.744215362066118</v>
      </c>
      <c r="D25" s="9" t="n">
        <f aca="false">1-C25</f>
        <v>0.255784637933882</v>
      </c>
      <c r="E25" s="9" t="n">
        <f aca="false">B25*COS(RADIANS(b2))/(C25+COS(RADIANS(b2))^2*D25)</f>
        <v>1</v>
      </c>
      <c r="F25" s="9" t="n">
        <f aca="false">B25*(1/COS(RADIANS(b2)))/(C25+D25/COS(RADIANS(b2))^2)</f>
        <v>1.01506608401623</v>
      </c>
    </row>
    <row r="26" customFormat="false" ht="15" hidden="false" customHeight="false" outlineLevel="0" collapsed="false">
      <c r="A26" s="0" t="n">
        <v>220</v>
      </c>
      <c r="B26" s="9" t="n">
        <f aca="false">(1/COS(RADIANS(b1)))/(COS(RADIANS(A26))^2+SIN(RADIANS(A26))^2/COS(RADIANS(b1))^2)</f>
        <v>1.0025477465911</v>
      </c>
      <c r="C26" s="9" t="n">
        <f aca="false">COS(RADIANS(A26))^2*COS(RADIANS(b1))^2/(COS(RADIANS(A26))^2*COS(RADIANS(b1))^2+SIN(RADIANS(A26))^2)</f>
        <v>0.579381277798897</v>
      </c>
      <c r="D26" s="9" t="n">
        <f aca="false">1-C26</f>
        <v>0.420618722201103</v>
      </c>
      <c r="E26" s="9" t="n">
        <f aca="false">B26*COS(RADIANS(b2))/(C26+COS(RADIANS(b2))^2*D26)</f>
        <v>1</v>
      </c>
      <c r="F26" s="9" t="n">
        <f aca="false">B26*(1/COS(RADIANS(b2)))/(C26+D26/COS(RADIANS(b2))^2)</f>
        <v>1.00487240000523</v>
      </c>
    </row>
    <row r="27" customFormat="false" ht="15" hidden="false" customHeight="false" outlineLevel="0" collapsed="false">
      <c r="A27" s="0" t="n">
        <v>230</v>
      </c>
      <c r="B27" s="9" t="n">
        <f aca="false">(1/COS(RADIANS(b1)))/(COS(RADIANS(A27))^2+SIN(RADIANS(A27))^2/COS(RADIANS(b1))^2)</f>
        <v>0.997232045864044</v>
      </c>
      <c r="C27" s="9" t="n">
        <f aca="false">COS(RADIANS(A27))^2*COS(RADIANS(b1))^2/(COS(RADIANS(A27))^2*COS(RADIANS(b1))^2+SIN(RADIANS(A27))^2)</f>
        <v>0.405772563345726</v>
      </c>
      <c r="D27" s="9" t="n">
        <f aca="false">1-C27</f>
        <v>0.594227436654274</v>
      </c>
      <c r="E27" s="9" t="n">
        <f aca="false">B27*COS(RADIANS(b2))/(C27+COS(RADIANS(b2))^2*D27)</f>
        <v>1</v>
      </c>
      <c r="F27" s="9" t="n">
        <f aca="false">B27*(1/COS(RADIANS(b2)))/(C27+D27/COS(RADIANS(b2))^2)</f>
        <v>0.994246999174017</v>
      </c>
    </row>
    <row r="28" customFormat="false" ht="15" hidden="false" customHeight="false" outlineLevel="0" collapsed="false">
      <c r="A28" s="0" t="n">
        <v>240</v>
      </c>
      <c r="B28" s="9" t="n">
        <f aca="false">(1/COS(RADIANS(b1)))/(COS(RADIANS(A28))^2+SIN(RADIANS(A28))^2/COS(RADIANS(b1))^2)</f>
        <v>0.992288039397402</v>
      </c>
      <c r="C28" s="9" t="n">
        <f aca="false">COS(RADIANS(A28))^2*COS(RADIANS(b1))^2/(COS(RADIANS(A28))^2*COS(RADIANS(b1))^2+SIN(RADIANS(A28))^2)</f>
        <v>0.244303238604962</v>
      </c>
      <c r="D28" s="9" t="n">
        <f aca="false">1-C28</f>
        <v>0.755696761395039</v>
      </c>
      <c r="E28" s="9" t="n">
        <f aca="false">B28*COS(RADIANS(b2))/(C28+COS(RADIANS(b2))^2*D28)</f>
        <v>1</v>
      </c>
      <c r="F28" s="9" t="n">
        <f aca="false">B28*(1/COS(RADIANS(b2)))/(C28+D28/COS(RADIANS(b2))^2)</f>
        <v>0.984465158801612</v>
      </c>
    </row>
    <row r="29" customFormat="false" ht="15" hidden="false" customHeight="false" outlineLevel="0" collapsed="false">
      <c r="A29" s="0" t="n">
        <v>250</v>
      </c>
      <c r="B29" s="9" t="n">
        <f aca="false">(1/COS(RADIANS(b1)))/(COS(RADIANS(A29))^2+SIN(RADIANS(A29))^2/COS(RADIANS(b1))^2)</f>
        <v>0.988293773124116</v>
      </c>
      <c r="C29" s="9" t="n">
        <f aca="false">COS(RADIANS(A29))^2*COS(RADIANS(b1))^2/(COS(RADIANS(A29))^2*COS(RADIANS(b1))^2+SIN(RADIANS(A29))^2)</f>
        <v>0.113852058507659</v>
      </c>
      <c r="D29" s="9" t="n">
        <f aca="false">1-C29</f>
        <v>0.886147941492341</v>
      </c>
      <c r="E29" s="9" t="n">
        <f aca="false">B29*COS(RADIANS(b2))/(C29+COS(RADIANS(b2))^2*D29)</f>
        <v>1</v>
      </c>
      <c r="F29" s="9" t="n">
        <f aca="false">B29*(1/COS(RADIANS(b2)))/(C29+D29/COS(RADIANS(b2))^2)</f>
        <v>0.976632206631547</v>
      </c>
    </row>
    <row r="30" customFormat="false" ht="15" hidden="false" customHeight="false" outlineLevel="0" collapsed="false">
      <c r="A30" s="0" t="n">
        <v>260</v>
      </c>
      <c r="B30" s="9" t="n">
        <f aca="false">(1/COS(RADIANS(b1)))/(COS(RADIANS(A30))^2+SIN(RADIANS(A30))^2/COS(RADIANS(b1))^2)</f>
        <v>0.985703999442143</v>
      </c>
      <c r="C30" s="9" t="n">
        <f aca="false">COS(RADIANS(A30))^2*COS(RADIANS(b1))^2/(COS(RADIANS(A30))^2*COS(RADIANS(b1))^2+SIN(RADIANS(A30))^2)</f>
        <v>0.0292710591742364</v>
      </c>
      <c r="D30" s="9" t="n">
        <f aca="false">1-C30</f>
        <v>0.970728940825764</v>
      </c>
      <c r="E30" s="9" t="n">
        <f aca="false">B30*COS(RADIANS(b2))/(C30+COS(RADIANS(b2))^2*D30)</f>
        <v>1</v>
      </c>
      <c r="F30" s="9" t="n">
        <f aca="false">B30*(1/COS(RADIANS(b2)))/(C30+D30/COS(RADIANS(b2))^2)</f>
        <v>0.971586492632268</v>
      </c>
    </row>
    <row r="31" customFormat="false" ht="15" hidden="false" customHeight="false" outlineLevel="0" collapsed="false">
      <c r="A31" s="0" t="n">
        <v>270</v>
      </c>
      <c r="B31" s="9" t="n">
        <f aca="false">(1/COS(RADIANS(b1)))/(COS(RADIANS(A31))^2+SIN(RADIANS(A31))^2/COS(RADIANS(b1))^2)</f>
        <v>0.984807753012208</v>
      </c>
      <c r="C31" s="9" t="n">
        <f aca="false">COS(RADIANS(A31))^2*COS(RADIANS(b1))^2/(COS(RADIANS(A31))^2*COS(RADIANS(b1))^2+SIN(RADIANS(A31))^2)</f>
        <v>3.27270710630327E-032</v>
      </c>
      <c r="D31" s="9" t="n">
        <f aca="false">1-C31</f>
        <v>1</v>
      </c>
      <c r="E31" s="9" t="n">
        <f aca="false">B31*COS(RADIANS(b2))/(C31+COS(RADIANS(b2))^2*D31)</f>
        <v>1</v>
      </c>
      <c r="F31" s="9" t="n">
        <f aca="false">B31*(1/COS(RADIANS(b2)))/(C31+D31/COS(RADIANS(b2))^2)</f>
        <v>0.969846310392954</v>
      </c>
    </row>
    <row r="32" customFormat="false" ht="15" hidden="false" customHeight="false" outlineLevel="0" collapsed="false">
      <c r="A32" s="0" t="n">
        <v>280</v>
      </c>
      <c r="B32" s="9" t="n">
        <f aca="false">(1/COS(RADIANS(b1)))/(COS(RADIANS(A32))^2+SIN(RADIANS(A32))^2/COS(RADIANS(b1))^2)</f>
        <v>0.985703999442143</v>
      </c>
      <c r="C32" s="9" t="n">
        <f aca="false">COS(RADIANS(A32))^2*COS(RADIANS(b1))^2/(COS(RADIANS(A32))^2*COS(RADIANS(b1))^2+SIN(RADIANS(A32))^2)</f>
        <v>0.0292710591742363</v>
      </c>
      <c r="D32" s="9" t="n">
        <f aca="false">1-C32</f>
        <v>0.970728940825764</v>
      </c>
      <c r="E32" s="9" t="n">
        <f aca="false">B32*COS(RADIANS(b2))/(C32+COS(RADIANS(b2))^2*D32)</f>
        <v>1</v>
      </c>
      <c r="F32" s="9" t="n">
        <f aca="false">B32*(1/COS(RADIANS(b2)))/(C32+D32/COS(RADIANS(b2))^2)</f>
        <v>0.971586492632267</v>
      </c>
    </row>
    <row r="33" customFormat="false" ht="15" hidden="false" customHeight="false" outlineLevel="0" collapsed="false">
      <c r="A33" s="0" t="n">
        <v>290</v>
      </c>
      <c r="B33" s="9" t="n">
        <f aca="false">(1/COS(RADIANS(b1)))/(COS(RADIANS(A33))^2+SIN(RADIANS(A33))^2/COS(RADIANS(b1))^2)</f>
        <v>0.988293773124116</v>
      </c>
      <c r="C33" s="9" t="n">
        <f aca="false">COS(RADIANS(A33))^2*COS(RADIANS(b1))^2/(COS(RADIANS(A33))^2*COS(RADIANS(b1))^2+SIN(RADIANS(A33))^2)</f>
        <v>0.113852058507659</v>
      </c>
      <c r="D33" s="9" t="n">
        <f aca="false">1-C33</f>
        <v>0.886147941492341</v>
      </c>
      <c r="E33" s="9" t="n">
        <f aca="false">B33*COS(RADIANS(b2))/(C33+COS(RADIANS(b2))^2*D33)</f>
        <v>1</v>
      </c>
      <c r="F33" s="9" t="n">
        <f aca="false">B33*(1/COS(RADIANS(b2)))/(C33+D33/COS(RADIANS(b2))^2)</f>
        <v>0.976632206631547</v>
      </c>
    </row>
    <row r="34" customFormat="false" ht="15" hidden="false" customHeight="false" outlineLevel="0" collapsed="false">
      <c r="A34" s="0" t="n">
        <v>300</v>
      </c>
      <c r="B34" s="9" t="n">
        <f aca="false">(1/COS(RADIANS(b1)))/(COS(RADIANS(A34))^2+SIN(RADIANS(A34))^2/COS(RADIANS(b1))^2)</f>
        <v>0.992288039397402</v>
      </c>
      <c r="C34" s="9" t="n">
        <f aca="false">COS(RADIANS(A34))^2*COS(RADIANS(b1))^2/(COS(RADIANS(A34))^2*COS(RADIANS(b1))^2+SIN(RADIANS(A34))^2)</f>
        <v>0.244303238604961</v>
      </c>
      <c r="D34" s="9" t="n">
        <f aca="false">1-C34</f>
        <v>0.755696761395039</v>
      </c>
      <c r="E34" s="9" t="n">
        <f aca="false">B34*COS(RADIANS(b2))/(C34+COS(RADIANS(b2))^2*D34)</f>
        <v>1</v>
      </c>
      <c r="F34" s="9" t="n">
        <f aca="false">B34*(1/COS(RADIANS(b2)))/(C34+D34/COS(RADIANS(b2))^2)</f>
        <v>0.984465158801612</v>
      </c>
    </row>
    <row r="35" customFormat="false" ht="15" hidden="false" customHeight="false" outlineLevel="0" collapsed="false">
      <c r="A35" s="0" t="n">
        <v>310</v>
      </c>
      <c r="B35" s="9" t="n">
        <f aca="false">(1/COS(RADIANS(b1)))/(COS(RADIANS(A35))^2+SIN(RADIANS(A35))^2/COS(RADIANS(b1))^2)</f>
        <v>0.997232045864044</v>
      </c>
      <c r="C35" s="9" t="n">
        <f aca="false">COS(RADIANS(A35))^2*COS(RADIANS(b1))^2/(COS(RADIANS(A35))^2*COS(RADIANS(b1))^2+SIN(RADIANS(A35))^2)</f>
        <v>0.405772563345726</v>
      </c>
      <c r="D35" s="9" t="n">
        <f aca="false">1-C35</f>
        <v>0.594227436654274</v>
      </c>
      <c r="E35" s="9" t="n">
        <f aca="false">B35*COS(RADIANS(b2))/(C35+COS(RADIANS(b2))^2*D35)</f>
        <v>1</v>
      </c>
      <c r="F35" s="9" t="n">
        <f aca="false">B35*(1/COS(RADIANS(b2)))/(C35+D35/COS(RADIANS(b2))^2)</f>
        <v>0.994246999174017</v>
      </c>
    </row>
    <row r="36" customFormat="false" ht="15" hidden="false" customHeight="false" outlineLevel="0" collapsed="false">
      <c r="A36" s="0" t="n">
        <v>320</v>
      </c>
      <c r="B36" s="9" t="n">
        <f aca="false">(1/COS(RADIANS(b1)))/(COS(RADIANS(A36))^2+SIN(RADIANS(A36))^2/COS(RADIANS(b1))^2)</f>
        <v>1.0025477465911</v>
      </c>
      <c r="C36" s="9" t="n">
        <f aca="false">COS(RADIANS(A36))^2*COS(RADIANS(b1))^2/(COS(RADIANS(A36))^2*COS(RADIANS(b1))^2+SIN(RADIANS(A36))^2)</f>
        <v>0.579381277798896</v>
      </c>
      <c r="D36" s="9" t="n">
        <f aca="false">1-C36</f>
        <v>0.420618722201104</v>
      </c>
      <c r="E36" s="9" t="n">
        <f aca="false">B36*COS(RADIANS(b2))/(C36+COS(RADIANS(b2))^2*D36)</f>
        <v>1</v>
      </c>
      <c r="F36" s="9" t="n">
        <f aca="false">B36*(1/COS(RADIANS(b2)))/(C36+D36/COS(RADIANS(b2))^2)</f>
        <v>1.00487240000523</v>
      </c>
    </row>
    <row r="37" customFormat="false" ht="15" hidden="false" customHeight="false" outlineLevel="0" collapsed="false">
      <c r="A37" s="0" t="n">
        <v>330</v>
      </c>
      <c r="B37" s="9" t="n">
        <f aca="false">(1/COS(RADIANS(b1)))/(COS(RADIANS(A37))^2+SIN(RADIANS(A37))^2/COS(RADIANS(b1))^2)</f>
        <v>1.00759477815483</v>
      </c>
      <c r="C37" s="9" t="n">
        <f aca="false">COS(RADIANS(A37))^2*COS(RADIANS(b1))^2/(COS(RADIANS(A37))^2*COS(RADIANS(b1))^2+SIN(RADIANS(A37))^2)</f>
        <v>0.744215362066118</v>
      </c>
      <c r="D37" s="9" t="n">
        <f aca="false">1-C37</f>
        <v>0.255784637933882</v>
      </c>
      <c r="E37" s="9" t="n">
        <f aca="false">B37*COS(RADIANS(b2))/(C37+COS(RADIANS(b2))^2*D37)</f>
        <v>1</v>
      </c>
      <c r="F37" s="9" t="n">
        <f aca="false">B37*(1/COS(RADIANS(b2)))/(C37+D37/COS(RADIANS(b2))^2)</f>
        <v>1.01506608401623</v>
      </c>
    </row>
    <row r="38" customFormat="false" ht="15" hidden="false" customHeight="false" outlineLevel="0" collapsed="false">
      <c r="A38" s="0" t="n">
        <v>340</v>
      </c>
      <c r="B38" s="9" t="n">
        <f aca="false">(1/COS(RADIANS(b1)))/(COS(RADIANS(A38))^2+SIN(RADIANS(A38))^2/COS(RADIANS(b1))^2)</f>
        <v>1.01174690862648</v>
      </c>
      <c r="C38" s="9" t="n">
        <f aca="false">COS(RADIANS(A38))^2*COS(RADIANS(b1))^2/(COS(RADIANS(A38))^2*COS(RADIANS(b1))^2+SIN(RADIANS(A38))^2)</f>
        <v>0.879822325369413</v>
      </c>
      <c r="D38" s="9" t="n">
        <f aca="false">1-C38</f>
        <v>0.120177674630587</v>
      </c>
      <c r="E38" s="9" t="n">
        <f aca="false">B38*COS(RADIANS(b2))/(C38+COS(RADIANS(b2))^2*D38)</f>
        <v>1</v>
      </c>
      <c r="F38" s="9" t="n">
        <f aca="false">B38*(1/COS(RADIANS(b2)))/(C38+D38/COS(RADIANS(b2))^2)</f>
        <v>1.02353034649802</v>
      </c>
    </row>
    <row r="39" customFormat="false" ht="15" hidden="false" customHeight="false" outlineLevel="0" collapsed="false">
      <c r="A39" s="0" t="n">
        <v>350</v>
      </c>
      <c r="B39" s="9" t="n">
        <f aca="false">(1/COS(RADIANS(b1)))/(COS(RADIANS(A39))^2+SIN(RADIANS(A39))^2/COS(RADIANS(b1))^2)</f>
        <v>1.01447552635091</v>
      </c>
      <c r="C39" s="9" t="n">
        <f aca="false">COS(RADIANS(A39))^2*COS(RADIANS(b1))^2/(COS(RADIANS(A39))^2*COS(RADIANS(b1))^2+SIN(RADIANS(A39))^2)</f>
        <v>0.968937917028005</v>
      </c>
      <c r="D39" s="9" t="n">
        <f aca="false">1-C39</f>
        <v>0.0310620829719955</v>
      </c>
      <c r="E39" s="9" t="n">
        <f aca="false">B39*COS(RADIANS(b2))/(C39+COS(RADIANS(b2))^2*D39)</f>
        <v>1</v>
      </c>
      <c r="F39" s="9" t="n">
        <f aca="false">B39*(1/COS(RADIANS(b2)))/(C39+D39/COS(RADIANS(b2))^2)</f>
        <v>1.02913155498173</v>
      </c>
    </row>
    <row r="40" customFormat="false" ht="15" hidden="false" customHeight="false" outlineLevel="0" collapsed="false">
      <c r="A40" s="0" t="n">
        <v>360</v>
      </c>
      <c r="B40" s="9" t="n">
        <f aca="false">(1/COS(RADIANS(b1)))/(COS(RADIANS(A40))^2+SIN(RADIANS(A40))^2/COS(RADIANS(b1))^2)</f>
        <v>1.01542661188575</v>
      </c>
      <c r="C40" s="9" t="n">
        <f aca="false">COS(RADIANS(A40))^2*COS(RADIANS(b1))^2/(COS(RADIANS(A40))^2*COS(RADIANS(b1))^2+SIN(RADIANS(A40))^2)</f>
        <v>1</v>
      </c>
      <c r="D40" s="9" t="n">
        <f aca="false">1-C40</f>
        <v>0</v>
      </c>
      <c r="E40" s="9" t="n">
        <f aca="false">B40*COS(RADIANS(b2))/(C40+COS(RADIANS(b2))^2*D40)</f>
        <v>1</v>
      </c>
      <c r="F40" s="9" t="n">
        <f aca="false">B40*(1/COS(RADIANS(b2)))/(C40+D40/COS(RADIANS(b2))^2)</f>
        <v>1.03109120412576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85</v>
      </c>
    </row>
    <row r="3" customFormat="false" ht="15" hidden="false" customHeight="false" outlineLevel="0" collapsed="false">
      <c r="A3" s="8" t="s">
        <v>63</v>
      </c>
    </row>
    <row r="4" customFormat="false" ht="15" hidden="false" customHeight="false" outlineLevel="0" collapsed="false">
      <c r="A4" s="0" t="s">
        <v>86</v>
      </c>
      <c r="B4" s="0" t="s">
        <v>87</v>
      </c>
      <c r="C4" s="9" t="n">
        <f aca="false">Dt-2*tw</f>
        <v>60.2</v>
      </c>
      <c r="D4" s="7" t="s">
        <v>28</v>
      </c>
    </row>
    <row r="5" customFormat="false" ht="15" hidden="false" customHeight="false" outlineLevel="0" collapsed="false">
      <c r="A5" s="0" t="s">
        <v>88</v>
      </c>
      <c r="B5" s="0" t="s">
        <v>89</v>
      </c>
      <c r="C5" s="9" t="n">
        <f aca="false">PI()*((Dt/1000)^4-(din/1000)^4)/64</f>
        <v>1.53416444387046E-007</v>
      </c>
      <c r="D5" s="7" t="s">
        <v>90</v>
      </c>
      <c r="E5" s="7" t="s">
        <v>91</v>
      </c>
    </row>
    <row r="6" customFormat="false" ht="15" hidden="false" customHeight="false" outlineLevel="0" collapsed="false">
      <c r="A6" s="0" t="s">
        <v>92</v>
      </c>
      <c r="B6" s="0" t="s">
        <v>93</v>
      </c>
      <c r="C6" s="9" t="n">
        <f aca="false">PI()*((Dt/1000)^2-(din/1000)^2)/4</f>
        <v>0.000320607384280472</v>
      </c>
      <c r="D6" s="7" t="s">
        <v>94</v>
      </c>
      <c r="E6" s="7" t="s">
        <v>91</v>
      </c>
    </row>
    <row r="7" customFormat="false" ht="15" hidden="false" customHeight="false" outlineLevel="0" collapsed="false">
      <c r="A7" s="0" t="s">
        <v>95</v>
      </c>
      <c r="B7" s="0" t="s">
        <v>96</v>
      </c>
      <c r="C7" s="9" t="n">
        <f aca="false">30/PI()*(PI()^2/Lt^2)*SQRT(Ea*Iz/(rhoa*At))</f>
        <v>5440.50321436473</v>
      </c>
      <c r="D7" s="7" t="s">
        <v>42</v>
      </c>
      <c r="E7" s="7" t="s">
        <v>97</v>
      </c>
    </row>
    <row r="8" customFormat="false" ht="15" hidden="false" customHeight="false" outlineLevel="0" collapsed="false">
      <c r="A8" s="0" t="s">
        <v>98</v>
      </c>
      <c r="B8" s="0" t="s">
        <v>99</v>
      </c>
      <c r="C8" s="9" t="n">
        <f aca="false">nP/icmin</f>
        <v>7718.79824248902</v>
      </c>
      <c r="D8" s="7" t="s">
        <v>42</v>
      </c>
      <c r="E8" s="7" t="s">
        <v>100</v>
      </c>
    </row>
    <row r="9" customFormat="false" ht="15" hidden="false" customHeight="false" outlineLevel="0" collapsed="false">
      <c r="A9" s="0" t="s">
        <v>101</v>
      </c>
      <c r="B9" s="0" t="s">
        <v>102</v>
      </c>
      <c r="C9" s="9" t="n">
        <f aca="false">nc/nmax</f>
        <v>0.704838116433313</v>
      </c>
      <c r="D9" s="7" t="s">
        <v>45</v>
      </c>
      <c r="E9" s="7" t="s">
        <v>100</v>
      </c>
    </row>
    <row r="10" customFormat="false" ht="15" hidden="false" customHeight="false" outlineLevel="0" collapsed="false">
      <c r="A10" s="0" t="s">
        <v>103</v>
      </c>
      <c r="B10" s="0" t="s">
        <v>45</v>
      </c>
      <c r="C10" s="9" t="str">
        <f aca="false">IF(Sc&gt;=1.3,"SÍ","NO: usar árbol en dos tramos o mayor diámetro")</f>
        <v>NO: usar árbol en dos tramos o mayor diámetro</v>
      </c>
      <c r="D10" s="7" t="s">
        <v>45</v>
      </c>
    </row>
    <row r="11" customFormat="false" ht="15" hidden="false" customHeight="false" outlineLevel="0" collapsed="false">
      <c r="A11" s="0" t="s">
        <v>104</v>
      </c>
      <c r="B11" s="0" t="s">
        <v>105</v>
      </c>
      <c r="C11" s="9" t="n">
        <f aca="false">nc*4</f>
        <v>21762.0128574589</v>
      </c>
      <c r="D11" s="7" t="s">
        <v>42</v>
      </c>
      <c r="E11" s="7" t="s">
        <v>106</v>
      </c>
    </row>
    <row r="14" customFormat="false" ht="28.35" hidden="false" customHeight="false" outlineLevel="0" collapsed="false">
      <c r="A14" s="5" t="s">
        <v>107</v>
      </c>
      <c r="B14" s="5" t="s">
        <v>108</v>
      </c>
      <c r="C14" s="5" t="s">
        <v>99</v>
      </c>
      <c r="D14" s="5" t="s">
        <v>109</v>
      </c>
    </row>
    <row r="15" customFormat="false" ht="15" hidden="false" customHeight="false" outlineLevel="0" collapsed="false">
      <c r="A15" s="0" t="n">
        <v>0.6</v>
      </c>
      <c r="B15" s="10" t="n">
        <f aca="false">30/PI()*(PI()^2/A15^2)*SQRT(Ea*Iz/(rhoa*At))</f>
        <v>29620.5175004302</v>
      </c>
      <c r="C15" s="9" t="n">
        <f aca="false">nmax</f>
        <v>7718.79824248902</v>
      </c>
      <c r="D15" s="10" t="n">
        <f aca="false">1.3*nmax</f>
        <v>10034.4377152357</v>
      </c>
    </row>
    <row r="16" customFormat="false" ht="15" hidden="false" customHeight="false" outlineLevel="0" collapsed="false">
      <c r="A16" s="0" t="n">
        <v>0.8</v>
      </c>
      <c r="B16" s="10" t="n">
        <f aca="false">30/PI()*(PI()^2/A16^2)*SQRT(Ea*Iz/(rhoa*At))</f>
        <v>16661.541093992</v>
      </c>
      <c r="C16" s="9" t="n">
        <f aca="false">nmax</f>
        <v>7718.79824248902</v>
      </c>
      <c r="D16" s="10" t="n">
        <f aca="false">1.3*nmax</f>
        <v>10034.4377152357</v>
      </c>
    </row>
    <row r="17" customFormat="false" ht="15" hidden="false" customHeight="false" outlineLevel="0" collapsed="false">
      <c r="A17" s="0" t="n">
        <v>1</v>
      </c>
      <c r="B17" s="10" t="n">
        <f aca="false">30/PI()*(PI()^2/A17^2)*SQRT(Ea*Iz/(rhoa*At))</f>
        <v>10663.3863001549</v>
      </c>
      <c r="C17" s="9" t="n">
        <f aca="false">nmax</f>
        <v>7718.79824248902</v>
      </c>
      <c r="D17" s="10" t="n">
        <f aca="false">1.3*nmax</f>
        <v>10034.4377152357</v>
      </c>
    </row>
    <row r="18" customFormat="false" ht="15" hidden="false" customHeight="false" outlineLevel="0" collapsed="false">
      <c r="A18" s="0" t="n">
        <v>1.2</v>
      </c>
      <c r="B18" s="10" t="n">
        <f aca="false">30/PI()*(PI()^2/A18^2)*SQRT(Ea*Iz/(rhoa*At))</f>
        <v>7405.12937510755</v>
      </c>
      <c r="C18" s="9" t="n">
        <f aca="false">nmax</f>
        <v>7718.79824248902</v>
      </c>
      <c r="D18" s="10" t="n">
        <f aca="false">1.3*nmax</f>
        <v>10034.4377152357</v>
      </c>
    </row>
    <row r="19" customFormat="false" ht="15" hidden="false" customHeight="false" outlineLevel="0" collapsed="false">
      <c r="A19" s="0" t="n">
        <v>1.4</v>
      </c>
      <c r="B19" s="10" t="n">
        <f aca="false">30/PI()*(PI()^2/A19^2)*SQRT(Ea*Iz/(rhoa*At))</f>
        <v>5440.50321436473</v>
      </c>
      <c r="C19" s="9" t="n">
        <f aca="false">nmax</f>
        <v>7718.79824248902</v>
      </c>
      <c r="D19" s="10" t="n">
        <f aca="false">1.3*nmax</f>
        <v>10034.4377152357</v>
      </c>
    </row>
    <row r="20" customFormat="false" ht="15" hidden="false" customHeight="false" outlineLevel="0" collapsed="false">
      <c r="A20" s="0" t="n">
        <v>1.6</v>
      </c>
      <c r="B20" s="10" t="n">
        <f aca="false">30/PI()*(PI()^2/A20^2)*SQRT(Ea*Iz/(rhoa*At))</f>
        <v>4165.38527349799</v>
      </c>
      <c r="C20" s="9" t="n">
        <f aca="false">nmax</f>
        <v>7718.79824248902</v>
      </c>
      <c r="D20" s="10" t="n">
        <f aca="false">1.3*nmax</f>
        <v>10034.4377152357</v>
      </c>
    </row>
    <row r="21" customFormat="false" ht="15" hidden="false" customHeight="false" outlineLevel="0" collapsed="false">
      <c r="A21" s="0" t="n">
        <v>1.8</v>
      </c>
      <c r="B21" s="10" t="n">
        <f aca="false">30/PI()*(PI()^2/A21^2)*SQRT(Ea*Iz/(rhoa*At))</f>
        <v>3291.16861115891</v>
      </c>
      <c r="C21" s="9" t="n">
        <f aca="false">nmax</f>
        <v>7718.79824248902</v>
      </c>
      <c r="D21" s="10" t="n">
        <f aca="false">1.3*nmax</f>
        <v>10034.4377152357</v>
      </c>
    </row>
    <row r="22" customFormat="false" ht="15" hidden="false" customHeight="false" outlineLevel="0" collapsed="false">
      <c r="A22" s="0" t="n">
        <v>2</v>
      </c>
      <c r="B22" s="10" t="n">
        <f aca="false">30/PI()*(PI()^2/A22^2)*SQRT(Ea*Iz/(rhoa*At))</f>
        <v>2665.84657503872</v>
      </c>
      <c r="C22" s="9" t="n">
        <f aca="false">nmax</f>
        <v>7718.79824248902</v>
      </c>
      <c r="D22" s="10" t="n">
        <f aca="false">1.3*nmax</f>
        <v>10034.4377152357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110</v>
      </c>
    </row>
    <row r="3" customFormat="false" ht="15" hidden="false" customHeight="false" outlineLevel="0" collapsed="false">
      <c r="A3" s="8" t="s">
        <v>63</v>
      </c>
    </row>
    <row r="4" customFormat="false" ht="15" hidden="false" customHeight="false" outlineLevel="0" collapsed="false">
      <c r="A4" s="0" t="s">
        <v>111</v>
      </c>
      <c r="B4" s="0" t="s">
        <v>112</v>
      </c>
      <c r="C4" s="9" t="n">
        <f aca="false">Mmax*it1*eta/2</f>
        <v>428.697</v>
      </c>
      <c r="D4" s="7" t="s">
        <v>49</v>
      </c>
      <c r="E4" s="7" t="s">
        <v>113</v>
      </c>
    </row>
    <row r="5" customFormat="false" ht="15" hidden="false" customHeight="false" outlineLevel="0" collapsed="false">
      <c r="A5" s="0" t="s">
        <v>114</v>
      </c>
      <c r="B5" s="0" t="s">
        <v>115</v>
      </c>
      <c r="C5" s="9" t="n">
        <f aca="false">16*Ts/(PI()*(ds/1000)^3)/1000000</f>
        <v>157.938070922839</v>
      </c>
      <c r="D5" s="7" t="s">
        <v>60</v>
      </c>
      <c r="E5" s="7" t="s">
        <v>116</v>
      </c>
    </row>
    <row r="6" customFormat="false" ht="15" hidden="false" customHeight="false" outlineLevel="0" collapsed="false">
      <c r="A6" s="0" t="s">
        <v>117</v>
      </c>
      <c r="B6" s="0" t="s">
        <v>118</v>
      </c>
      <c r="C6" s="9" t="n">
        <f aca="false">tadm/tau</f>
        <v>1.5828989080292</v>
      </c>
      <c r="D6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2026-09-16T05:34:59Z</dcterms:created>
  <dc:creator>openpyxl</dc:creator>
  <dc:description/>
  <dc:language>en-US</dc:language>
  <cp:lastModifiedBy/>
  <dcterms:modified xsi:type="dcterms:W3CDTF">2026-09-16T05:35:00Z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